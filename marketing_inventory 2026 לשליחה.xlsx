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ametrineisrael-my.sharepoint.com/personal/idan_g_ametrine-tech_com/Documents/קבצים מצורפים/צוות מסחרי/עבודה שוטפת/"/>
    </mc:Choice>
  </mc:AlternateContent>
  <xr:revisionPtr revIDLastSave="8" documentId="8_{973E511F-ECB8-41D8-B1E9-CACC02A709AF}" xr6:coauthVersionLast="47" xr6:coauthVersionMax="47" xr10:uidLastSave="{4CF3A806-6191-4B3B-BE38-33D3D78BB693}"/>
  <bookViews>
    <workbookView xWindow="-120" yWindow="-120" windowWidth="29040" windowHeight="15720" tabRatio="500" firstSheet="1" activeTab="4" xr2:uid="{00000000-000D-0000-FFFF-FFFF00000000}"/>
  </bookViews>
  <sheets>
    <sheet name="לוח בקרה" sheetId="2" r:id="rId1"/>
    <sheet name="מלאי" sheetId="3" r:id="rId2"/>
    <sheet name="השאלות" sheetId="4" r:id="rId3"/>
    <sheet name="תכולה" sheetId="5" state="hidden" r:id="rId4"/>
    <sheet name="לוח בקרה טכנו-מבצעי" sheetId="6" r:id="rId5"/>
    <sheet name="ערכים טכנולוגיים" sheetId="7" r:id="rId6"/>
    <sheet name="הגדרות" sheetId="8" r:id="rId7"/>
    <sheet name="מלאי רצוי" sheetId="9" r:id="rId8"/>
  </sheets>
  <externalReferences>
    <externalReference r:id="rId9"/>
  </externalReferences>
  <definedNames>
    <definedName name="_xlnm._FilterDatabase" localSheetId="2" hidden="1">השאלות!$A$4:$M$54</definedName>
    <definedName name="_xlnm._FilterDatabase" localSheetId="1" hidden="1">מלאי!$B$1:$B$357</definedName>
    <definedName name="_xlnm._FilterDatabase" localSheetId="5" hidden="1">'ערכים טכנולוגיים'!$B$1:$B$354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6" l="1"/>
  <c r="AC166" i="3"/>
  <c r="AB166" i="3"/>
  <c r="AA166" i="3"/>
  <c r="Z166" i="3"/>
  <c r="AD166" i="3" s="1"/>
  <c r="AF166" i="3" s="1"/>
  <c r="E166" i="3"/>
  <c r="AC165" i="3"/>
  <c r="AB165" i="3"/>
  <c r="AA165" i="3"/>
  <c r="Z165" i="3"/>
  <c r="E165" i="3"/>
  <c r="AC164" i="3"/>
  <c r="AB164" i="3"/>
  <c r="AA164" i="3"/>
  <c r="Z164" i="3"/>
  <c r="AE164" i="3" s="1"/>
  <c r="AG164" i="3" s="1"/>
  <c r="E164" i="3"/>
  <c r="AC163" i="3"/>
  <c r="AB163" i="3"/>
  <c r="AA163" i="3"/>
  <c r="Z163" i="3"/>
  <c r="E163" i="3"/>
  <c r="AC162" i="3"/>
  <c r="AB162" i="3"/>
  <c r="AA162" i="3"/>
  <c r="Z162" i="3"/>
  <c r="E162" i="3"/>
  <c r="AE163" i="3" l="1"/>
  <c r="AG163" i="3" s="1"/>
  <c r="AD164" i="3"/>
  <c r="AF164" i="3" s="1"/>
  <c r="AD162" i="3"/>
  <c r="AF162" i="3" s="1"/>
  <c r="AE166" i="3"/>
  <c r="AG166" i="3" s="1"/>
  <c r="AE165" i="3"/>
  <c r="AG165" i="3" s="1"/>
  <c r="AD165" i="3"/>
  <c r="AF165" i="3" s="1"/>
  <c r="AD163" i="3"/>
  <c r="AF163" i="3" s="1"/>
  <c r="AE162" i="3"/>
  <c r="AG162" i="3" s="1"/>
  <c r="Z79" i="3"/>
  <c r="AA79" i="3"/>
  <c r="AB79" i="3"/>
  <c r="AC79" i="3"/>
  <c r="E79" i="3"/>
  <c r="E156" i="3"/>
  <c r="Z156" i="3"/>
  <c r="AA156" i="3"/>
  <c r="AB156" i="3"/>
  <c r="AC156" i="3"/>
  <c r="E157" i="3"/>
  <c r="Z157" i="3"/>
  <c r="AA157" i="3"/>
  <c r="AB157" i="3"/>
  <c r="AC157" i="3"/>
  <c r="E158" i="3"/>
  <c r="Z158" i="3"/>
  <c r="AA158" i="3"/>
  <c r="AB158" i="3"/>
  <c r="AC158" i="3"/>
  <c r="E159" i="3"/>
  <c r="Z159" i="3"/>
  <c r="AA159" i="3"/>
  <c r="AB159" i="3"/>
  <c r="AC159" i="3"/>
  <c r="E160" i="3"/>
  <c r="Z160" i="3"/>
  <c r="AA160" i="3"/>
  <c r="AB160" i="3"/>
  <c r="AC160" i="3"/>
  <c r="Z155" i="3"/>
  <c r="AA155" i="3"/>
  <c r="AB155" i="3"/>
  <c r="AC155" i="3"/>
  <c r="E155" i="3"/>
  <c r="Z154" i="3"/>
  <c r="AA154" i="3"/>
  <c r="AB154" i="3"/>
  <c r="AC154" i="3"/>
  <c r="E154" i="3"/>
  <c r="E152" i="3"/>
  <c r="Z152" i="3"/>
  <c r="AA152" i="3"/>
  <c r="AB152" i="3"/>
  <c r="AC152" i="3"/>
  <c r="E153" i="3"/>
  <c r="Z153" i="3"/>
  <c r="AA153" i="3"/>
  <c r="AB153" i="3"/>
  <c r="AC153" i="3"/>
  <c r="Z151" i="3"/>
  <c r="AA151" i="3"/>
  <c r="AB151" i="3"/>
  <c r="AC151" i="3"/>
  <c r="E151" i="3"/>
  <c r="AC144" i="3"/>
  <c r="AB144" i="3"/>
  <c r="AA144" i="3"/>
  <c r="Z144" i="3"/>
  <c r="E144" i="3"/>
  <c r="AC136" i="3"/>
  <c r="AB136" i="3"/>
  <c r="AA136" i="3"/>
  <c r="Z136" i="3"/>
  <c r="E136" i="3"/>
  <c r="AC133" i="3"/>
  <c r="AB133" i="3"/>
  <c r="AA133" i="3"/>
  <c r="Z133" i="3"/>
  <c r="E133" i="3"/>
  <c r="AA122" i="3"/>
  <c r="AC130" i="3"/>
  <c r="AB130" i="3"/>
  <c r="AA130" i="3"/>
  <c r="Z130" i="3"/>
  <c r="E130" i="3"/>
  <c r="AD3" i="3"/>
  <c r="AC128" i="3"/>
  <c r="AB128" i="3"/>
  <c r="AA128" i="3"/>
  <c r="Z128" i="3"/>
  <c r="E128" i="3"/>
  <c r="AC127" i="3"/>
  <c r="AB127" i="3"/>
  <c r="AA127" i="3"/>
  <c r="Z127" i="3"/>
  <c r="E127" i="3"/>
  <c r="AC126" i="3"/>
  <c r="AB126" i="3"/>
  <c r="AA126" i="3"/>
  <c r="Z126" i="3"/>
  <c r="E126" i="3"/>
  <c r="AC125" i="3"/>
  <c r="AB125" i="3"/>
  <c r="AA125" i="3"/>
  <c r="Z125" i="3"/>
  <c r="E125" i="3"/>
  <c r="AC124" i="3"/>
  <c r="AB124" i="3"/>
  <c r="AA124" i="3"/>
  <c r="Z124" i="3"/>
  <c r="E124" i="3"/>
  <c r="AC123" i="3"/>
  <c r="AB123" i="3"/>
  <c r="AA123" i="3"/>
  <c r="Z123" i="3"/>
  <c r="E123" i="3"/>
  <c r="AC122" i="3"/>
  <c r="AB122" i="3"/>
  <c r="Z122" i="3"/>
  <c r="E122" i="3"/>
  <c r="AC121" i="3"/>
  <c r="AB121" i="3"/>
  <c r="AA121" i="3"/>
  <c r="Z121" i="3"/>
  <c r="E121" i="3"/>
  <c r="AC120" i="3"/>
  <c r="AB120" i="3"/>
  <c r="AA120" i="3"/>
  <c r="Z120" i="3"/>
  <c r="E120" i="3"/>
  <c r="AC119" i="3"/>
  <c r="AB119" i="3"/>
  <c r="AA119" i="3"/>
  <c r="Z119" i="3"/>
  <c r="E119" i="3"/>
  <c r="AC116" i="3"/>
  <c r="AB116" i="3"/>
  <c r="AA116" i="3"/>
  <c r="Z116" i="3"/>
  <c r="E116" i="3"/>
  <c r="AC117" i="3"/>
  <c r="AB117" i="3"/>
  <c r="AA117" i="3"/>
  <c r="Z117" i="3"/>
  <c r="E117" i="3"/>
  <c r="AC111" i="3"/>
  <c r="AB111" i="3"/>
  <c r="AA111" i="3"/>
  <c r="Z111" i="3"/>
  <c r="E111" i="3"/>
  <c r="AC110" i="3"/>
  <c r="AB110" i="3"/>
  <c r="AA110" i="3"/>
  <c r="Z110" i="3"/>
  <c r="E110" i="3"/>
  <c r="Z106" i="3"/>
  <c r="AA106" i="3"/>
  <c r="AB106" i="3"/>
  <c r="AC106" i="3"/>
  <c r="E106" i="3"/>
  <c r="AC97" i="3"/>
  <c r="AB97" i="3"/>
  <c r="AA97" i="3"/>
  <c r="Z97" i="3"/>
  <c r="E97" i="3"/>
  <c r="E15" i="3"/>
  <c r="A79" i="7"/>
  <c r="D11" i="7"/>
  <c r="AC88" i="3"/>
  <c r="AB88" i="3"/>
  <c r="AA88" i="3"/>
  <c r="Z88" i="3"/>
  <c r="E88" i="3"/>
  <c r="AC40" i="3"/>
  <c r="AB40" i="3"/>
  <c r="AA40" i="3"/>
  <c r="Z40" i="3"/>
  <c r="E40" i="3"/>
  <c r="AC87" i="3"/>
  <c r="AB87" i="3"/>
  <c r="AA87" i="3"/>
  <c r="Z87" i="3"/>
  <c r="E87" i="3"/>
  <c r="AC86" i="3"/>
  <c r="AB86" i="3"/>
  <c r="AA86" i="3"/>
  <c r="Z86" i="3"/>
  <c r="E86" i="3"/>
  <c r="AC85" i="3"/>
  <c r="AB85" i="3"/>
  <c r="AA85" i="3"/>
  <c r="Z85" i="3"/>
  <c r="E85" i="3"/>
  <c r="AC84" i="3"/>
  <c r="AB84" i="3"/>
  <c r="AA84" i="3"/>
  <c r="Z84" i="3"/>
  <c r="E84" i="3"/>
  <c r="AC83" i="3"/>
  <c r="AB83" i="3"/>
  <c r="AA83" i="3"/>
  <c r="Z83" i="3"/>
  <c r="E83" i="3"/>
  <c r="AC82" i="3"/>
  <c r="AB82" i="3"/>
  <c r="AA82" i="3"/>
  <c r="Z82" i="3"/>
  <c r="E82" i="3"/>
  <c r="E81" i="3"/>
  <c r="Z81" i="3"/>
  <c r="AA81" i="3"/>
  <c r="AB81" i="3"/>
  <c r="AC81" i="3"/>
  <c r="AC80" i="3"/>
  <c r="AB80" i="3"/>
  <c r="AA80" i="3"/>
  <c r="Z80" i="3"/>
  <c r="E80" i="3"/>
  <c r="AC78" i="3"/>
  <c r="AB78" i="3"/>
  <c r="AA78" i="3"/>
  <c r="Z78" i="3"/>
  <c r="E78" i="3"/>
  <c r="AC77" i="3"/>
  <c r="AB77" i="3"/>
  <c r="AA77" i="3"/>
  <c r="Z77" i="3"/>
  <c r="E77" i="3"/>
  <c r="AC76" i="3"/>
  <c r="AB76" i="3"/>
  <c r="AA76" i="3"/>
  <c r="Z76" i="3"/>
  <c r="E76" i="3"/>
  <c r="AC75" i="3"/>
  <c r="AB75" i="3"/>
  <c r="AA75" i="3"/>
  <c r="Z75" i="3"/>
  <c r="E75" i="3"/>
  <c r="AC74" i="3"/>
  <c r="AB74" i="3"/>
  <c r="AA74" i="3"/>
  <c r="Z74" i="3"/>
  <c r="E74" i="3"/>
  <c r="AC73" i="3"/>
  <c r="AB73" i="3"/>
  <c r="AA73" i="3"/>
  <c r="Z73" i="3"/>
  <c r="E73" i="3"/>
  <c r="AC72" i="3"/>
  <c r="AB72" i="3"/>
  <c r="AA72" i="3"/>
  <c r="Z72" i="3"/>
  <c r="E72" i="3"/>
  <c r="AC71" i="3"/>
  <c r="AB71" i="3"/>
  <c r="AA71" i="3"/>
  <c r="Z71" i="3"/>
  <c r="E71" i="3"/>
  <c r="AC70" i="3"/>
  <c r="AB70" i="3"/>
  <c r="AA70" i="3"/>
  <c r="Z70" i="3"/>
  <c r="E70" i="3"/>
  <c r="AC69" i="3"/>
  <c r="AB69" i="3"/>
  <c r="AA69" i="3"/>
  <c r="Z69" i="3"/>
  <c r="E69" i="3"/>
  <c r="AC31" i="3"/>
  <c r="AB31" i="3"/>
  <c r="AA31" i="3"/>
  <c r="Z31" i="3"/>
  <c r="E31" i="3"/>
  <c r="E68" i="3"/>
  <c r="Z68" i="3"/>
  <c r="AA68" i="3"/>
  <c r="AB68" i="3"/>
  <c r="AC68" i="3"/>
  <c r="AC67" i="3"/>
  <c r="AB67" i="3"/>
  <c r="AA67" i="3"/>
  <c r="Z67" i="3"/>
  <c r="E67" i="3"/>
  <c r="AC38" i="3"/>
  <c r="AB38" i="3"/>
  <c r="AA38" i="3"/>
  <c r="Z38" i="3"/>
  <c r="E38" i="3"/>
  <c r="AC66" i="3"/>
  <c r="AB66" i="3"/>
  <c r="AA66" i="3"/>
  <c r="Z66" i="3"/>
  <c r="E66" i="3"/>
  <c r="AC28" i="3"/>
  <c r="AB28" i="3"/>
  <c r="AA28" i="3"/>
  <c r="Z28" i="3"/>
  <c r="E28" i="3"/>
  <c r="AC55" i="3"/>
  <c r="AB55" i="3"/>
  <c r="AA55" i="3"/>
  <c r="Z55" i="3"/>
  <c r="E55" i="3"/>
  <c r="AC39" i="3"/>
  <c r="AB39" i="3"/>
  <c r="AA39" i="3"/>
  <c r="Z39" i="3"/>
  <c r="E39" i="3"/>
  <c r="AC30" i="3"/>
  <c r="AB30" i="3"/>
  <c r="AA30" i="3"/>
  <c r="Z30" i="3"/>
  <c r="E30" i="3"/>
  <c r="AC32" i="3"/>
  <c r="AB32" i="3"/>
  <c r="AA32" i="3"/>
  <c r="Z32" i="3"/>
  <c r="E32" i="3"/>
  <c r="AC51" i="3"/>
  <c r="AB51" i="3"/>
  <c r="AA51" i="3"/>
  <c r="Z51" i="3"/>
  <c r="E51" i="3"/>
  <c r="L354" i="7"/>
  <c r="H354" i="7"/>
  <c r="D354" i="7"/>
  <c r="C354" i="7"/>
  <c r="B354" i="7"/>
  <c r="A354" i="7"/>
  <c r="L353" i="7"/>
  <c r="H353" i="7"/>
  <c r="D353" i="7"/>
  <c r="C353" i="7"/>
  <c r="B353" i="7"/>
  <c r="A353" i="7"/>
  <c r="L352" i="7"/>
  <c r="H352" i="7"/>
  <c r="D352" i="7"/>
  <c r="C352" i="7"/>
  <c r="B352" i="7"/>
  <c r="A352" i="7"/>
  <c r="L351" i="7"/>
  <c r="H351" i="7"/>
  <c r="D351" i="7"/>
  <c r="C351" i="7"/>
  <c r="B351" i="7"/>
  <c r="A351" i="7"/>
  <c r="L350" i="7"/>
  <c r="H350" i="7"/>
  <c r="D350" i="7"/>
  <c r="C350" i="7"/>
  <c r="B350" i="7"/>
  <c r="A350" i="7"/>
  <c r="L349" i="7"/>
  <c r="H349" i="7"/>
  <c r="D349" i="7"/>
  <c r="C349" i="7"/>
  <c r="B349" i="7"/>
  <c r="A349" i="7"/>
  <c r="L348" i="7"/>
  <c r="H348" i="7"/>
  <c r="D348" i="7"/>
  <c r="C348" i="7"/>
  <c r="B348" i="7"/>
  <c r="A348" i="7"/>
  <c r="L347" i="7"/>
  <c r="H347" i="7"/>
  <c r="D347" i="7"/>
  <c r="C347" i="7"/>
  <c r="B347" i="7"/>
  <c r="A347" i="7"/>
  <c r="L346" i="7"/>
  <c r="H346" i="7"/>
  <c r="D346" i="7"/>
  <c r="C346" i="7"/>
  <c r="B346" i="7"/>
  <c r="A346" i="7"/>
  <c r="L345" i="7"/>
  <c r="H345" i="7"/>
  <c r="D345" i="7"/>
  <c r="C345" i="7"/>
  <c r="B345" i="7"/>
  <c r="A345" i="7"/>
  <c r="L344" i="7"/>
  <c r="H344" i="7"/>
  <c r="D344" i="7"/>
  <c r="C344" i="7"/>
  <c r="B344" i="7"/>
  <c r="A344" i="7"/>
  <c r="L343" i="7"/>
  <c r="H343" i="7"/>
  <c r="D343" i="7"/>
  <c r="C343" i="7"/>
  <c r="B343" i="7"/>
  <c r="A343" i="7"/>
  <c r="L342" i="7"/>
  <c r="H342" i="7"/>
  <c r="D342" i="7"/>
  <c r="C342" i="7"/>
  <c r="B342" i="7"/>
  <c r="A342" i="7"/>
  <c r="L341" i="7"/>
  <c r="H341" i="7"/>
  <c r="D341" i="7"/>
  <c r="C341" i="7"/>
  <c r="B341" i="7"/>
  <c r="A341" i="7"/>
  <c r="L340" i="7"/>
  <c r="H340" i="7"/>
  <c r="D340" i="7"/>
  <c r="C340" i="7"/>
  <c r="B340" i="7"/>
  <c r="A340" i="7"/>
  <c r="L339" i="7"/>
  <c r="H339" i="7"/>
  <c r="D339" i="7"/>
  <c r="C339" i="7"/>
  <c r="B339" i="7"/>
  <c r="A339" i="7"/>
  <c r="L338" i="7"/>
  <c r="H338" i="7"/>
  <c r="D338" i="7"/>
  <c r="C338" i="7"/>
  <c r="B338" i="7"/>
  <c r="A338" i="7"/>
  <c r="L337" i="7"/>
  <c r="H337" i="7"/>
  <c r="D337" i="7"/>
  <c r="C337" i="7"/>
  <c r="B337" i="7"/>
  <c r="A337" i="7"/>
  <c r="L336" i="7"/>
  <c r="H336" i="7"/>
  <c r="D336" i="7"/>
  <c r="C336" i="7"/>
  <c r="B336" i="7"/>
  <c r="A336" i="7"/>
  <c r="L335" i="7"/>
  <c r="H335" i="7"/>
  <c r="D335" i="7"/>
  <c r="C335" i="7"/>
  <c r="B335" i="7"/>
  <c r="A335" i="7"/>
  <c r="L334" i="7"/>
  <c r="H334" i="7"/>
  <c r="D334" i="7"/>
  <c r="C334" i="7"/>
  <c r="B334" i="7"/>
  <c r="A334" i="7"/>
  <c r="L333" i="7"/>
  <c r="H333" i="7"/>
  <c r="D333" i="7"/>
  <c r="C333" i="7"/>
  <c r="B333" i="7"/>
  <c r="A333" i="7"/>
  <c r="L332" i="7"/>
  <c r="H332" i="7"/>
  <c r="D332" i="7"/>
  <c r="C332" i="7"/>
  <c r="B332" i="7"/>
  <c r="A332" i="7"/>
  <c r="L331" i="7"/>
  <c r="H331" i="7"/>
  <c r="D331" i="7"/>
  <c r="C331" i="7"/>
  <c r="B331" i="7"/>
  <c r="A331" i="7"/>
  <c r="L330" i="7"/>
  <c r="H330" i="7"/>
  <c r="D330" i="7"/>
  <c r="C330" i="7"/>
  <c r="B330" i="7"/>
  <c r="A330" i="7"/>
  <c r="L329" i="7"/>
  <c r="H329" i="7"/>
  <c r="D329" i="7"/>
  <c r="C329" i="7"/>
  <c r="B329" i="7"/>
  <c r="A329" i="7"/>
  <c r="L328" i="7"/>
  <c r="H328" i="7"/>
  <c r="D328" i="7"/>
  <c r="C328" i="7"/>
  <c r="B328" i="7"/>
  <c r="A328" i="7"/>
  <c r="L327" i="7"/>
  <c r="H327" i="7"/>
  <c r="D327" i="7"/>
  <c r="C327" i="7"/>
  <c r="B327" i="7"/>
  <c r="A327" i="7"/>
  <c r="L326" i="7"/>
  <c r="H326" i="7"/>
  <c r="D326" i="7"/>
  <c r="C326" i="7"/>
  <c r="B326" i="7"/>
  <c r="A326" i="7"/>
  <c r="L325" i="7"/>
  <c r="H325" i="7"/>
  <c r="D325" i="7"/>
  <c r="C325" i="7"/>
  <c r="B325" i="7"/>
  <c r="A325" i="7"/>
  <c r="L324" i="7"/>
  <c r="H324" i="7"/>
  <c r="D324" i="7"/>
  <c r="C324" i="7"/>
  <c r="B324" i="7"/>
  <c r="A324" i="7"/>
  <c r="L323" i="7"/>
  <c r="H323" i="7"/>
  <c r="D323" i="7"/>
  <c r="C323" i="7"/>
  <c r="B323" i="7"/>
  <c r="A323" i="7"/>
  <c r="L322" i="7"/>
  <c r="H322" i="7"/>
  <c r="D322" i="7"/>
  <c r="C322" i="7"/>
  <c r="B322" i="7"/>
  <c r="A322" i="7"/>
  <c r="L321" i="7"/>
  <c r="H321" i="7"/>
  <c r="D321" i="7"/>
  <c r="C321" i="7"/>
  <c r="B321" i="7"/>
  <c r="A321" i="7"/>
  <c r="L320" i="7"/>
  <c r="H320" i="7"/>
  <c r="D320" i="7"/>
  <c r="C320" i="7"/>
  <c r="B320" i="7"/>
  <c r="A320" i="7"/>
  <c r="L319" i="7"/>
  <c r="H319" i="7"/>
  <c r="D319" i="7"/>
  <c r="C319" i="7"/>
  <c r="B319" i="7"/>
  <c r="A319" i="7"/>
  <c r="L318" i="7"/>
  <c r="H318" i="7"/>
  <c r="D318" i="7"/>
  <c r="C318" i="7"/>
  <c r="B318" i="7"/>
  <c r="A318" i="7"/>
  <c r="L317" i="7"/>
  <c r="H317" i="7"/>
  <c r="D317" i="7"/>
  <c r="C317" i="7"/>
  <c r="B317" i="7"/>
  <c r="A317" i="7"/>
  <c r="L316" i="7"/>
  <c r="H316" i="7"/>
  <c r="D316" i="7"/>
  <c r="C316" i="7"/>
  <c r="B316" i="7"/>
  <c r="A316" i="7"/>
  <c r="L315" i="7"/>
  <c r="H315" i="7"/>
  <c r="D315" i="7"/>
  <c r="C315" i="7"/>
  <c r="B315" i="7"/>
  <c r="A315" i="7"/>
  <c r="L314" i="7"/>
  <c r="H314" i="7"/>
  <c r="D314" i="7"/>
  <c r="C314" i="7"/>
  <c r="B314" i="7"/>
  <c r="A314" i="7"/>
  <c r="L313" i="7"/>
  <c r="H313" i="7"/>
  <c r="D313" i="7"/>
  <c r="C313" i="7"/>
  <c r="B313" i="7"/>
  <c r="A313" i="7"/>
  <c r="L312" i="7"/>
  <c r="H312" i="7"/>
  <c r="D312" i="7"/>
  <c r="C312" i="7"/>
  <c r="B312" i="7"/>
  <c r="A312" i="7"/>
  <c r="L311" i="7"/>
  <c r="H311" i="7"/>
  <c r="D311" i="7"/>
  <c r="C311" i="7"/>
  <c r="B311" i="7"/>
  <c r="A311" i="7"/>
  <c r="L310" i="7"/>
  <c r="H310" i="7"/>
  <c r="D310" i="7"/>
  <c r="C310" i="7"/>
  <c r="B310" i="7"/>
  <c r="A310" i="7"/>
  <c r="L309" i="7"/>
  <c r="H309" i="7"/>
  <c r="D309" i="7"/>
  <c r="C309" i="7"/>
  <c r="B309" i="7"/>
  <c r="A309" i="7"/>
  <c r="L308" i="7"/>
  <c r="H308" i="7"/>
  <c r="D308" i="7"/>
  <c r="C308" i="7"/>
  <c r="B308" i="7"/>
  <c r="A308" i="7"/>
  <c r="L307" i="7"/>
  <c r="H307" i="7"/>
  <c r="D307" i="7"/>
  <c r="C307" i="7"/>
  <c r="B307" i="7"/>
  <c r="A307" i="7"/>
  <c r="L306" i="7"/>
  <c r="H306" i="7"/>
  <c r="D306" i="7"/>
  <c r="C306" i="7"/>
  <c r="B306" i="7"/>
  <c r="A306" i="7"/>
  <c r="L305" i="7"/>
  <c r="H305" i="7"/>
  <c r="D305" i="7"/>
  <c r="C305" i="7"/>
  <c r="B305" i="7"/>
  <c r="A305" i="7"/>
  <c r="L304" i="7"/>
  <c r="H304" i="7"/>
  <c r="D304" i="7"/>
  <c r="C304" i="7"/>
  <c r="B304" i="7"/>
  <c r="A304" i="7"/>
  <c r="L303" i="7"/>
  <c r="H303" i="7"/>
  <c r="D303" i="7"/>
  <c r="C303" i="7"/>
  <c r="B303" i="7"/>
  <c r="A303" i="7"/>
  <c r="L302" i="7"/>
  <c r="H302" i="7"/>
  <c r="D302" i="7"/>
  <c r="C302" i="7"/>
  <c r="B302" i="7"/>
  <c r="A302" i="7"/>
  <c r="L301" i="7"/>
  <c r="H301" i="7"/>
  <c r="D301" i="7"/>
  <c r="C301" i="7"/>
  <c r="B301" i="7"/>
  <c r="A301" i="7"/>
  <c r="L300" i="7"/>
  <c r="H300" i="7"/>
  <c r="D300" i="7"/>
  <c r="C300" i="7"/>
  <c r="B300" i="7"/>
  <c r="A300" i="7"/>
  <c r="L299" i="7"/>
  <c r="H299" i="7"/>
  <c r="D299" i="7"/>
  <c r="C299" i="7"/>
  <c r="B299" i="7"/>
  <c r="A299" i="7"/>
  <c r="L298" i="7"/>
  <c r="H298" i="7"/>
  <c r="D298" i="7"/>
  <c r="C298" i="7"/>
  <c r="B298" i="7"/>
  <c r="A298" i="7"/>
  <c r="L297" i="7"/>
  <c r="H297" i="7"/>
  <c r="D297" i="7"/>
  <c r="C297" i="7"/>
  <c r="B297" i="7"/>
  <c r="A297" i="7"/>
  <c r="L296" i="7"/>
  <c r="H296" i="7"/>
  <c r="D296" i="7"/>
  <c r="C296" i="7"/>
  <c r="B296" i="7"/>
  <c r="A296" i="7"/>
  <c r="L295" i="7"/>
  <c r="H295" i="7"/>
  <c r="D295" i="7"/>
  <c r="C295" i="7"/>
  <c r="B295" i="7"/>
  <c r="A295" i="7"/>
  <c r="L294" i="7"/>
  <c r="H294" i="7"/>
  <c r="D294" i="7"/>
  <c r="C294" i="7"/>
  <c r="B294" i="7"/>
  <c r="A294" i="7"/>
  <c r="L293" i="7"/>
  <c r="H293" i="7"/>
  <c r="D293" i="7"/>
  <c r="C293" i="7"/>
  <c r="B293" i="7"/>
  <c r="A293" i="7"/>
  <c r="L292" i="7"/>
  <c r="H292" i="7"/>
  <c r="D292" i="7"/>
  <c r="C292" i="7"/>
  <c r="B292" i="7"/>
  <c r="A292" i="7"/>
  <c r="L291" i="7"/>
  <c r="H291" i="7"/>
  <c r="D291" i="7"/>
  <c r="C291" i="7"/>
  <c r="B291" i="7"/>
  <c r="A291" i="7"/>
  <c r="L290" i="7"/>
  <c r="H290" i="7"/>
  <c r="D290" i="7"/>
  <c r="C290" i="7"/>
  <c r="B290" i="7"/>
  <c r="A290" i="7"/>
  <c r="L289" i="7"/>
  <c r="H289" i="7"/>
  <c r="D289" i="7"/>
  <c r="C289" i="7"/>
  <c r="B289" i="7"/>
  <c r="A289" i="7"/>
  <c r="L288" i="7"/>
  <c r="H288" i="7"/>
  <c r="D288" i="7"/>
  <c r="C288" i="7"/>
  <c r="B288" i="7"/>
  <c r="A288" i="7"/>
  <c r="L287" i="7"/>
  <c r="H287" i="7"/>
  <c r="D287" i="7"/>
  <c r="C287" i="7"/>
  <c r="B287" i="7"/>
  <c r="A287" i="7"/>
  <c r="L286" i="7"/>
  <c r="H286" i="7"/>
  <c r="D286" i="7"/>
  <c r="C286" i="7"/>
  <c r="B286" i="7"/>
  <c r="A286" i="7"/>
  <c r="L285" i="7"/>
  <c r="H285" i="7"/>
  <c r="D285" i="7"/>
  <c r="C285" i="7"/>
  <c r="B285" i="7"/>
  <c r="A285" i="7"/>
  <c r="L284" i="7"/>
  <c r="H284" i="7"/>
  <c r="D284" i="7"/>
  <c r="C284" i="7"/>
  <c r="B284" i="7"/>
  <c r="A284" i="7"/>
  <c r="L283" i="7"/>
  <c r="H283" i="7"/>
  <c r="D283" i="7"/>
  <c r="C283" i="7"/>
  <c r="B283" i="7"/>
  <c r="A283" i="7"/>
  <c r="L282" i="7"/>
  <c r="H282" i="7"/>
  <c r="D282" i="7"/>
  <c r="C282" i="7"/>
  <c r="B282" i="7"/>
  <c r="A282" i="7"/>
  <c r="L281" i="7"/>
  <c r="H281" i="7"/>
  <c r="D281" i="7"/>
  <c r="C281" i="7"/>
  <c r="B281" i="7"/>
  <c r="A281" i="7"/>
  <c r="L280" i="7"/>
  <c r="H280" i="7"/>
  <c r="D280" i="7"/>
  <c r="C280" i="7"/>
  <c r="B280" i="7"/>
  <c r="A280" i="7"/>
  <c r="L279" i="7"/>
  <c r="H279" i="7"/>
  <c r="D279" i="7"/>
  <c r="C279" i="7"/>
  <c r="B279" i="7"/>
  <c r="A279" i="7"/>
  <c r="L278" i="7"/>
  <c r="H278" i="7"/>
  <c r="D278" i="7"/>
  <c r="C278" i="7"/>
  <c r="B278" i="7"/>
  <c r="A278" i="7"/>
  <c r="L277" i="7"/>
  <c r="H277" i="7"/>
  <c r="D277" i="7"/>
  <c r="C277" i="7"/>
  <c r="B277" i="7"/>
  <c r="A277" i="7"/>
  <c r="L276" i="7"/>
  <c r="H276" i="7"/>
  <c r="D276" i="7"/>
  <c r="C276" i="7"/>
  <c r="B276" i="7"/>
  <c r="A276" i="7"/>
  <c r="L275" i="7"/>
  <c r="H275" i="7"/>
  <c r="D275" i="7"/>
  <c r="C275" i="7"/>
  <c r="B275" i="7"/>
  <c r="A275" i="7"/>
  <c r="L274" i="7"/>
  <c r="H274" i="7"/>
  <c r="D274" i="7"/>
  <c r="C274" i="7"/>
  <c r="B274" i="7"/>
  <c r="A274" i="7"/>
  <c r="L273" i="7"/>
  <c r="H273" i="7"/>
  <c r="D273" i="7"/>
  <c r="C273" i="7"/>
  <c r="B273" i="7"/>
  <c r="A273" i="7"/>
  <c r="L272" i="7"/>
  <c r="H272" i="7"/>
  <c r="D272" i="7"/>
  <c r="C272" i="7"/>
  <c r="B272" i="7"/>
  <c r="A272" i="7"/>
  <c r="L271" i="7"/>
  <c r="H271" i="7"/>
  <c r="D271" i="7"/>
  <c r="C271" i="7"/>
  <c r="B271" i="7"/>
  <c r="A271" i="7"/>
  <c r="L270" i="7"/>
  <c r="H270" i="7"/>
  <c r="D270" i="7"/>
  <c r="C270" i="7"/>
  <c r="B270" i="7"/>
  <c r="A270" i="7"/>
  <c r="L269" i="7"/>
  <c r="H269" i="7"/>
  <c r="D269" i="7"/>
  <c r="C269" i="7"/>
  <c r="B269" i="7"/>
  <c r="A269" i="7"/>
  <c r="L268" i="7"/>
  <c r="H268" i="7"/>
  <c r="D268" i="7"/>
  <c r="C268" i="7"/>
  <c r="B268" i="7"/>
  <c r="A268" i="7"/>
  <c r="L267" i="7"/>
  <c r="H267" i="7"/>
  <c r="D267" i="7"/>
  <c r="C267" i="7"/>
  <c r="B267" i="7"/>
  <c r="A267" i="7"/>
  <c r="L266" i="7"/>
  <c r="H266" i="7"/>
  <c r="D266" i="7"/>
  <c r="C266" i="7"/>
  <c r="B266" i="7"/>
  <c r="A266" i="7"/>
  <c r="L265" i="7"/>
  <c r="H265" i="7"/>
  <c r="D265" i="7"/>
  <c r="C265" i="7"/>
  <c r="B265" i="7"/>
  <c r="A265" i="7"/>
  <c r="L264" i="7"/>
  <c r="H264" i="7"/>
  <c r="D264" i="7"/>
  <c r="C264" i="7"/>
  <c r="B264" i="7"/>
  <c r="A264" i="7"/>
  <c r="L263" i="7"/>
  <c r="H263" i="7"/>
  <c r="D263" i="7"/>
  <c r="C263" i="7"/>
  <c r="B263" i="7"/>
  <c r="A263" i="7"/>
  <c r="L262" i="7"/>
  <c r="H262" i="7"/>
  <c r="D262" i="7"/>
  <c r="C262" i="7"/>
  <c r="B262" i="7"/>
  <c r="A262" i="7"/>
  <c r="L261" i="7"/>
  <c r="H261" i="7"/>
  <c r="D261" i="7"/>
  <c r="C261" i="7"/>
  <c r="B261" i="7"/>
  <c r="A261" i="7"/>
  <c r="L260" i="7"/>
  <c r="H260" i="7"/>
  <c r="D260" i="7"/>
  <c r="C260" i="7"/>
  <c r="B260" i="7"/>
  <c r="A260" i="7"/>
  <c r="L259" i="7"/>
  <c r="H259" i="7"/>
  <c r="D259" i="7"/>
  <c r="C259" i="7"/>
  <c r="B259" i="7"/>
  <c r="A259" i="7"/>
  <c r="L258" i="7"/>
  <c r="H258" i="7"/>
  <c r="D258" i="7"/>
  <c r="C258" i="7"/>
  <c r="B258" i="7"/>
  <c r="A258" i="7"/>
  <c r="L257" i="7"/>
  <c r="H257" i="7"/>
  <c r="D257" i="7"/>
  <c r="C257" i="7"/>
  <c r="B257" i="7"/>
  <c r="A257" i="7"/>
  <c r="L256" i="7"/>
  <c r="H256" i="7"/>
  <c r="D256" i="7"/>
  <c r="C256" i="7"/>
  <c r="B256" i="7"/>
  <c r="A256" i="7"/>
  <c r="L255" i="7"/>
  <c r="H255" i="7"/>
  <c r="D255" i="7"/>
  <c r="C255" i="7"/>
  <c r="B255" i="7"/>
  <c r="A255" i="7"/>
  <c r="L254" i="7"/>
  <c r="H254" i="7"/>
  <c r="D254" i="7"/>
  <c r="C254" i="7"/>
  <c r="B254" i="7"/>
  <c r="A254" i="7"/>
  <c r="L253" i="7"/>
  <c r="H253" i="7"/>
  <c r="D253" i="7"/>
  <c r="C253" i="7"/>
  <c r="B253" i="7"/>
  <c r="A253" i="7"/>
  <c r="L252" i="7"/>
  <c r="H252" i="7"/>
  <c r="D252" i="7"/>
  <c r="C252" i="7"/>
  <c r="B252" i="7"/>
  <c r="A252" i="7"/>
  <c r="L251" i="7"/>
  <c r="H251" i="7"/>
  <c r="D251" i="7"/>
  <c r="C251" i="7"/>
  <c r="B251" i="7"/>
  <c r="A251" i="7"/>
  <c r="L250" i="7"/>
  <c r="H250" i="7"/>
  <c r="D250" i="7"/>
  <c r="C250" i="7"/>
  <c r="B250" i="7"/>
  <c r="A250" i="7"/>
  <c r="L249" i="7"/>
  <c r="H249" i="7"/>
  <c r="D249" i="7"/>
  <c r="C249" i="7"/>
  <c r="B249" i="7"/>
  <c r="A249" i="7"/>
  <c r="L248" i="7"/>
  <c r="H248" i="7"/>
  <c r="D248" i="7"/>
  <c r="C248" i="7"/>
  <c r="B248" i="7"/>
  <c r="A248" i="7"/>
  <c r="L247" i="7"/>
  <c r="H247" i="7"/>
  <c r="D247" i="7"/>
  <c r="C247" i="7"/>
  <c r="B247" i="7"/>
  <c r="A247" i="7"/>
  <c r="L246" i="7"/>
  <c r="H246" i="7"/>
  <c r="D246" i="7"/>
  <c r="C246" i="7"/>
  <c r="B246" i="7"/>
  <c r="A246" i="7"/>
  <c r="L245" i="7"/>
  <c r="H245" i="7"/>
  <c r="D245" i="7"/>
  <c r="C245" i="7"/>
  <c r="B245" i="7"/>
  <c r="A245" i="7"/>
  <c r="L244" i="7"/>
  <c r="H244" i="7"/>
  <c r="D244" i="7"/>
  <c r="C244" i="7"/>
  <c r="B244" i="7"/>
  <c r="A244" i="7"/>
  <c r="L243" i="7"/>
  <c r="H243" i="7"/>
  <c r="D243" i="7"/>
  <c r="C243" i="7"/>
  <c r="B243" i="7"/>
  <c r="A243" i="7"/>
  <c r="L242" i="7"/>
  <c r="H242" i="7"/>
  <c r="D242" i="7"/>
  <c r="C242" i="7"/>
  <c r="B242" i="7"/>
  <c r="A242" i="7"/>
  <c r="L241" i="7"/>
  <c r="H241" i="7"/>
  <c r="D241" i="7"/>
  <c r="C241" i="7"/>
  <c r="B241" i="7"/>
  <c r="A241" i="7"/>
  <c r="L240" i="7"/>
  <c r="H240" i="7"/>
  <c r="D240" i="7"/>
  <c r="C240" i="7"/>
  <c r="B240" i="7"/>
  <c r="A240" i="7"/>
  <c r="L239" i="7"/>
  <c r="H239" i="7"/>
  <c r="D239" i="7"/>
  <c r="C239" i="7"/>
  <c r="B239" i="7"/>
  <c r="A239" i="7"/>
  <c r="L238" i="7"/>
  <c r="H238" i="7"/>
  <c r="D238" i="7"/>
  <c r="C238" i="7"/>
  <c r="B238" i="7"/>
  <c r="A238" i="7"/>
  <c r="L237" i="7"/>
  <c r="H237" i="7"/>
  <c r="D237" i="7"/>
  <c r="C237" i="7"/>
  <c r="B237" i="7"/>
  <c r="A237" i="7"/>
  <c r="L236" i="7"/>
  <c r="H236" i="7"/>
  <c r="D236" i="7"/>
  <c r="C236" i="7"/>
  <c r="B236" i="7"/>
  <c r="A236" i="7"/>
  <c r="L235" i="7"/>
  <c r="H235" i="7"/>
  <c r="D235" i="7"/>
  <c r="C235" i="7"/>
  <c r="B235" i="7"/>
  <c r="A235" i="7"/>
  <c r="L234" i="7"/>
  <c r="H234" i="7"/>
  <c r="D234" i="7"/>
  <c r="C234" i="7"/>
  <c r="B234" i="7"/>
  <c r="A234" i="7"/>
  <c r="L233" i="7"/>
  <c r="H233" i="7"/>
  <c r="D233" i="7"/>
  <c r="C233" i="7"/>
  <c r="B233" i="7"/>
  <c r="A233" i="7"/>
  <c r="L232" i="7"/>
  <c r="H232" i="7"/>
  <c r="D232" i="7"/>
  <c r="C232" i="7"/>
  <c r="B232" i="7"/>
  <c r="A232" i="7"/>
  <c r="L231" i="7"/>
  <c r="H231" i="7"/>
  <c r="D231" i="7"/>
  <c r="C231" i="7"/>
  <c r="B231" i="7"/>
  <c r="A231" i="7"/>
  <c r="L230" i="7"/>
  <c r="H230" i="7"/>
  <c r="D230" i="7"/>
  <c r="C230" i="7"/>
  <c r="B230" i="7"/>
  <c r="A230" i="7"/>
  <c r="L229" i="7"/>
  <c r="H229" i="7"/>
  <c r="D229" i="7"/>
  <c r="C229" i="7"/>
  <c r="B229" i="7"/>
  <c r="A229" i="7"/>
  <c r="L228" i="7"/>
  <c r="H228" i="7"/>
  <c r="D228" i="7"/>
  <c r="C228" i="7"/>
  <c r="B228" i="7"/>
  <c r="A228" i="7"/>
  <c r="L227" i="7"/>
  <c r="H227" i="7"/>
  <c r="D227" i="7"/>
  <c r="C227" i="7"/>
  <c r="B227" i="7"/>
  <c r="A227" i="7"/>
  <c r="L226" i="7"/>
  <c r="H226" i="7"/>
  <c r="D226" i="7"/>
  <c r="C226" i="7"/>
  <c r="B226" i="7"/>
  <c r="A226" i="7"/>
  <c r="L225" i="7"/>
  <c r="H225" i="7"/>
  <c r="D225" i="7"/>
  <c r="C225" i="7"/>
  <c r="B225" i="7"/>
  <c r="A225" i="7"/>
  <c r="L224" i="7"/>
  <c r="H224" i="7"/>
  <c r="D224" i="7"/>
  <c r="C224" i="7"/>
  <c r="B224" i="7"/>
  <c r="A224" i="7"/>
  <c r="L223" i="7"/>
  <c r="H223" i="7"/>
  <c r="D223" i="7"/>
  <c r="C223" i="7"/>
  <c r="B223" i="7"/>
  <c r="A223" i="7"/>
  <c r="L222" i="7"/>
  <c r="H222" i="7"/>
  <c r="D222" i="7"/>
  <c r="C222" i="7"/>
  <c r="B222" i="7"/>
  <c r="A222" i="7"/>
  <c r="L221" i="7"/>
  <c r="H221" i="7"/>
  <c r="D221" i="7"/>
  <c r="C221" i="7"/>
  <c r="B221" i="7"/>
  <c r="A221" i="7"/>
  <c r="L220" i="7"/>
  <c r="H220" i="7"/>
  <c r="D220" i="7"/>
  <c r="C220" i="7"/>
  <c r="B220" i="7"/>
  <c r="A220" i="7"/>
  <c r="L219" i="7"/>
  <c r="H219" i="7"/>
  <c r="D219" i="7"/>
  <c r="C219" i="7"/>
  <c r="B219" i="7"/>
  <c r="A219" i="7"/>
  <c r="L218" i="7"/>
  <c r="H218" i="7"/>
  <c r="D218" i="7"/>
  <c r="C218" i="7"/>
  <c r="B218" i="7"/>
  <c r="A218" i="7"/>
  <c r="L217" i="7"/>
  <c r="H217" i="7"/>
  <c r="D217" i="7"/>
  <c r="C217" i="7"/>
  <c r="B217" i="7"/>
  <c r="A217" i="7"/>
  <c r="L216" i="7"/>
  <c r="H216" i="7"/>
  <c r="D216" i="7"/>
  <c r="C216" i="7"/>
  <c r="B216" i="7"/>
  <c r="A216" i="7"/>
  <c r="L215" i="7"/>
  <c r="H215" i="7"/>
  <c r="D215" i="7"/>
  <c r="C215" i="7"/>
  <c r="B215" i="7"/>
  <c r="A215" i="7"/>
  <c r="L214" i="7"/>
  <c r="H214" i="7"/>
  <c r="D214" i="7"/>
  <c r="C214" i="7"/>
  <c r="B214" i="7"/>
  <c r="A214" i="7"/>
  <c r="L213" i="7"/>
  <c r="H213" i="7"/>
  <c r="D213" i="7"/>
  <c r="C213" i="7"/>
  <c r="B213" i="7"/>
  <c r="A213" i="7"/>
  <c r="L212" i="7"/>
  <c r="H212" i="7"/>
  <c r="D212" i="7"/>
  <c r="C212" i="7"/>
  <c r="B212" i="7"/>
  <c r="A212" i="7"/>
  <c r="L211" i="7"/>
  <c r="H211" i="7"/>
  <c r="D211" i="7"/>
  <c r="C211" i="7"/>
  <c r="B211" i="7"/>
  <c r="A211" i="7"/>
  <c r="L210" i="7"/>
  <c r="H210" i="7"/>
  <c r="D210" i="7"/>
  <c r="C210" i="7"/>
  <c r="B210" i="7"/>
  <c r="A210" i="7"/>
  <c r="L209" i="7"/>
  <c r="H209" i="7"/>
  <c r="D209" i="7"/>
  <c r="C209" i="7"/>
  <c r="B209" i="7"/>
  <c r="A209" i="7"/>
  <c r="L208" i="7"/>
  <c r="H208" i="7"/>
  <c r="D208" i="7"/>
  <c r="C208" i="7"/>
  <c r="B208" i="7"/>
  <c r="A208" i="7"/>
  <c r="L207" i="7"/>
  <c r="H207" i="7"/>
  <c r="D207" i="7"/>
  <c r="C207" i="7"/>
  <c r="B207" i="7"/>
  <c r="A207" i="7"/>
  <c r="L206" i="7"/>
  <c r="H206" i="7"/>
  <c r="D206" i="7"/>
  <c r="C206" i="7"/>
  <c r="B206" i="7"/>
  <c r="A206" i="7"/>
  <c r="L205" i="7"/>
  <c r="H205" i="7"/>
  <c r="D205" i="7"/>
  <c r="C205" i="7"/>
  <c r="B205" i="7"/>
  <c r="A205" i="7"/>
  <c r="L204" i="7"/>
  <c r="H204" i="7"/>
  <c r="D204" i="7"/>
  <c r="C204" i="7"/>
  <c r="B204" i="7"/>
  <c r="A204" i="7"/>
  <c r="L203" i="7"/>
  <c r="H203" i="7"/>
  <c r="D203" i="7"/>
  <c r="C203" i="7"/>
  <c r="B203" i="7"/>
  <c r="A203" i="7"/>
  <c r="L202" i="7"/>
  <c r="H202" i="7"/>
  <c r="D202" i="7"/>
  <c r="C202" i="7"/>
  <c r="B202" i="7"/>
  <c r="A202" i="7"/>
  <c r="L201" i="7"/>
  <c r="H201" i="7"/>
  <c r="D201" i="7"/>
  <c r="C201" i="7"/>
  <c r="B201" i="7"/>
  <c r="A201" i="7"/>
  <c r="L200" i="7"/>
  <c r="H200" i="7"/>
  <c r="D200" i="7"/>
  <c r="C200" i="7"/>
  <c r="B200" i="7"/>
  <c r="A200" i="7"/>
  <c r="L199" i="7"/>
  <c r="H199" i="7"/>
  <c r="D199" i="7"/>
  <c r="C199" i="7"/>
  <c r="B199" i="7"/>
  <c r="A199" i="7"/>
  <c r="L198" i="7"/>
  <c r="H198" i="7"/>
  <c r="D198" i="7"/>
  <c r="C198" i="7"/>
  <c r="B198" i="7"/>
  <c r="A198" i="7"/>
  <c r="L197" i="7"/>
  <c r="H197" i="7"/>
  <c r="D197" i="7"/>
  <c r="C197" i="7"/>
  <c r="B197" i="7"/>
  <c r="A197" i="7"/>
  <c r="L196" i="7"/>
  <c r="H196" i="7"/>
  <c r="D196" i="7"/>
  <c r="C196" i="7"/>
  <c r="B196" i="7"/>
  <c r="A196" i="7"/>
  <c r="L195" i="7"/>
  <c r="H195" i="7"/>
  <c r="D195" i="7"/>
  <c r="C195" i="7"/>
  <c r="B195" i="7"/>
  <c r="A195" i="7"/>
  <c r="L194" i="7"/>
  <c r="H194" i="7"/>
  <c r="D194" i="7"/>
  <c r="C194" i="7"/>
  <c r="B194" i="7"/>
  <c r="A194" i="7"/>
  <c r="L193" i="7"/>
  <c r="H193" i="7"/>
  <c r="D193" i="7"/>
  <c r="C193" i="7"/>
  <c r="B193" i="7"/>
  <c r="A193" i="7"/>
  <c r="L192" i="7"/>
  <c r="H192" i="7"/>
  <c r="D192" i="7"/>
  <c r="C192" i="7"/>
  <c r="B192" i="7"/>
  <c r="A192" i="7"/>
  <c r="L191" i="7"/>
  <c r="H191" i="7"/>
  <c r="D191" i="7"/>
  <c r="C191" i="7"/>
  <c r="B191" i="7"/>
  <c r="A191" i="7"/>
  <c r="L190" i="7"/>
  <c r="H190" i="7"/>
  <c r="D190" i="7"/>
  <c r="C190" i="7"/>
  <c r="B190" i="7"/>
  <c r="A190" i="7"/>
  <c r="L189" i="7"/>
  <c r="H189" i="7"/>
  <c r="D189" i="7"/>
  <c r="C189" i="7"/>
  <c r="B189" i="7"/>
  <c r="A189" i="7"/>
  <c r="L188" i="7"/>
  <c r="H188" i="7"/>
  <c r="D188" i="7"/>
  <c r="C188" i="7"/>
  <c r="B188" i="7"/>
  <c r="A188" i="7"/>
  <c r="L187" i="7"/>
  <c r="H187" i="7"/>
  <c r="D187" i="7"/>
  <c r="C187" i="7"/>
  <c r="B187" i="7"/>
  <c r="A187" i="7"/>
  <c r="L186" i="7"/>
  <c r="H186" i="7"/>
  <c r="D186" i="7"/>
  <c r="C186" i="7"/>
  <c r="B186" i="7"/>
  <c r="A186" i="7"/>
  <c r="L185" i="7"/>
  <c r="H185" i="7"/>
  <c r="D185" i="7"/>
  <c r="C185" i="7"/>
  <c r="B185" i="7"/>
  <c r="A185" i="7"/>
  <c r="L184" i="7"/>
  <c r="H184" i="7"/>
  <c r="D184" i="7"/>
  <c r="C184" i="7"/>
  <c r="B184" i="7"/>
  <c r="A184" i="7"/>
  <c r="L183" i="7"/>
  <c r="H183" i="7"/>
  <c r="D183" i="7"/>
  <c r="C183" i="7"/>
  <c r="B183" i="7"/>
  <c r="A183" i="7"/>
  <c r="L182" i="7"/>
  <c r="H182" i="7"/>
  <c r="D182" i="7"/>
  <c r="C182" i="7"/>
  <c r="B182" i="7"/>
  <c r="A182" i="7"/>
  <c r="L181" i="7"/>
  <c r="H181" i="7"/>
  <c r="D181" i="7"/>
  <c r="C181" i="7"/>
  <c r="B181" i="7"/>
  <c r="A181" i="7"/>
  <c r="L180" i="7"/>
  <c r="H180" i="7"/>
  <c r="D180" i="7"/>
  <c r="C180" i="7"/>
  <c r="B180" i="7"/>
  <c r="A180" i="7"/>
  <c r="L179" i="7"/>
  <c r="H179" i="7"/>
  <c r="D179" i="7"/>
  <c r="C179" i="7"/>
  <c r="B179" i="7"/>
  <c r="A179" i="7"/>
  <c r="L178" i="7"/>
  <c r="H178" i="7"/>
  <c r="D178" i="7"/>
  <c r="C178" i="7"/>
  <c r="B178" i="7"/>
  <c r="A178" i="7"/>
  <c r="L177" i="7"/>
  <c r="H177" i="7"/>
  <c r="D177" i="7"/>
  <c r="C177" i="7"/>
  <c r="B177" i="7"/>
  <c r="A177" i="7"/>
  <c r="L176" i="7"/>
  <c r="H176" i="7"/>
  <c r="D176" i="7"/>
  <c r="C176" i="7"/>
  <c r="B176" i="7"/>
  <c r="A176" i="7"/>
  <c r="L175" i="7"/>
  <c r="H175" i="7"/>
  <c r="D175" i="7"/>
  <c r="C175" i="7"/>
  <c r="B175" i="7"/>
  <c r="A175" i="7"/>
  <c r="L174" i="7"/>
  <c r="H174" i="7"/>
  <c r="D174" i="7"/>
  <c r="C174" i="7"/>
  <c r="B174" i="7"/>
  <c r="A174" i="7"/>
  <c r="L173" i="7"/>
  <c r="H173" i="7"/>
  <c r="D173" i="7"/>
  <c r="C173" i="7"/>
  <c r="B173" i="7"/>
  <c r="A173" i="7"/>
  <c r="L172" i="7"/>
  <c r="H172" i="7"/>
  <c r="D172" i="7"/>
  <c r="C172" i="7"/>
  <c r="B172" i="7"/>
  <c r="A172" i="7"/>
  <c r="L171" i="7"/>
  <c r="H171" i="7"/>
  <c r="D171" i="7"/>
  <c r="C171" i="7"/>
  <c r="B171" i="7"/>
  <c r="A171" i="7"/>
  <c r="L170" i="7"/>
  <c r="H170" i="7"/>
  <c r="D170" i="7"/>
  <c r="C170" i="7"/>
  <c r="B170" i="7"/>
  <c r="A170" i="7"/>
  <c r="L169" i="7"/>
  <c r="H169" i="7"/>
  <c r="D169" i="7"/>
  <c r="C169" i="7"/>
  <c r="B169" i="7"/>
  <c r="A169" i="7"/>
  <c r="L168" i="7"/>
  <c r="H168" i="7"/>
  <c r="D168" i="7"/>
  <c r="C168" i="7"/>
  <c r="B168" i="7"/>
  <c r="A168" i="7"/>
  <c r="L167" i="7"/>
  <c r="H167" i="7"/>
  <c r="D167" i="7"/>
  <c r="C167" i="7"/>
  <c r="B167" i="7"/>
  <c r="A167" i="7"/>
  <c r="L166" i="7"/>
  <c r="H166" i="7"/>
  <c r="D166" i="7"/>
  <c r="C166" i="7"/>
  <c r="B166" i="7"/>
  <c r="A166" i="7"/>
  <c r="L165" i="7"/>
  <c r="H165" i="7"/>
  <c r="D165" i="7"/>
  <c r="C165" i="7"/>
  <c r="B165" i="7"/>
  <c r="A165" i="7"/>
  <c r="L164" i="7"/>
  <c r="H164" i="7"/>
  <c r="D164" i="7"/>
  <c r="C164" i="7"/>
  <c r="B164" i="7"/>
  <c r="A164" i="7"/>
  <c r="L163" i="7"/>
  <c r="H163" i="7"/>
  <c r="D163" i="7"/>
  <c r="C163" i="7"/>
  <c r="B163" i="7"/>
  <c r="A163" i="7"/>
  <c r="L162" i="7"/>
  <c r="H162" i="7"/>
  <c r="D162" i="7"/>
  <c r="C162" i="7"/>
  <c r="B162" i="7"/>
  <c r="A162" i="7"/>
  <c r="L161" i="7"/>
  <c r="H161" i="7"/>
  <c r="D161" i="7"/>
  <c r="C161" i="7"/>
  <c r="B161" i="7"/>
  <c r="A161" i="7"/>
  <c r="L160" i="7"/>
  <c r="H160" i="7"/>
  <c r="D160" i="7"/>
  <c r="C160" i="7"/>
  <c r="B160" i="7"/>
  <c r="A160" i="7"/>
  <c r="L159" i="7"/>
  <c r="H159" i="7"/>
  <c r="D159" i="7"/>
  <c r="C159" i="7"/>
  <c r="B159" i="7"/>
  <c r="A159" i="7"/>
  <c r="L158" i="7"/>
  <c r="H158" i="7"/>
  <c r="D158" i="7"/>
  <c r="C158" i="7"/>
  <c r="B158" i="7"/>
  <c r="A158" i="7"/>
  <c r="L157" i="7"/>
  <c r="H157" i="7"/>
  <c r="D157" i="7"/>
  <c r="C157" i="7"/>
  <c r="B157" i="7"/>
  <c r="A157" i="7"/>
  <c r="L156" i="7"/>
  <c r="H156" i="7"/>
  <c r="D156" i="7"/>
  <c r="C156" i="7"/>
  <c r="B156" i="7"/>
  <c r="A156" i="7"/>
  <c r="L155" i="7"/>
  <c r="H155" i="7"/>
  <c r="D155" i="7"/>
  <c r="C155" i="7"/>
  <c r="B155" i="7"/>
  <c r="A155" i="7"/>
  <c r="L154" i="7"/>
  <c r="H154" i="7"/>
  <c r="D154" i="7"/>
  <c r="C154" i="7"/>
  <c r="B154" i="7"/>
  <c r="A154" i="7"/>
  <c r="L153" i="7"/>
  <c r="H153" i="7"/>
  <c r="D153" i="7"/>
  <c r="C153" i="7"/>
  <c r="B153" i="7"/>
  <c r="A153" i="7"/>
  <c r="L152" i="7"/>
  <c r="H152" i="7"/>
  <c r="D152" i="7"/>
  <c r="C152" i="7"/>
  <c r="B152" i="7"/>
  <c r="A152" i="7"/>
  <c r="L151" i="7"/>
  <c r="H151" i="7"/>
  <c r="D151" i="7"/>
  <c r="C151" i="7"/>
  <c r="B151" i="7"/>
  <c r="A151" i="7"/>
  <c r="L150" i="7"/>
  <c r="H150" i="7"/>
  <c r="D150" i="7"/>
  <c r="C150" i="7"/>
  <c r="B150" i="7"/>
  <c r="A150" i="7"/>
  <c r="L149" i="7"/>
  <c r="H149" i="7"/>
  <c r="D149" i="7"/>
  <c r="C149" i="7"/>
  <c r="B149" i="7"/>
  <c r="A149" i="7"/>
  <c r="L148" i="7"/>
  <c r="H148" i="7"/>
  <c r="D148" i="7"/>
  <c r="C148" i="7"/>
  <c r="B148" i="7"/>
  <c r="A148" i="7"/>
  <c r="L147" i="7"/>
  <c r="H147" i="7"/>
  <c r="D147" i="7"/>
  <c r="C147" i="7"/>
  <c r="B147" i="7"/>
  <c r="A147" i="7"/>
  <c r="L146" i="7"/>
  <c r="H146" i="7"/>
  <c r="D146" i="7"/>
  <c r="C146" i="7"/>
  <c r="B146" i="7"/>
  <c r="A146" i="7"/>
  <c r="L145" i="7"/>
  <c r="H145" i="7"/>
  <c r="D145" i="7"/>
  <c r="C145" i="7"/>
  <c r="B145" i="7"/>
  <c r="A145" i="7"/>
  <c r="L144" i="7"/>
  <c r="H144" i="7"/>
  <c r="D144" i="7"/>
  <c r="C144" i="7"/>
  <c r="B144" i="7"/>
  <c r="A144" i="7"/>
  <c r="L143" i="7"/>
  <c r="H143" i="7"/>
  <c r="D143" i="7"/>
  <c r="C143" i="7"/>
  <c r="B143" i="7"/>
  <c r="A143" i="7"/>
  <c r="L142" i="7"/>
  <c r="H142" i="7"/>
  <c r="D142" i="7"/>
  <c r="C142" i="7"/>
  <c r="B142" i="7"/>
  <c r="A142" i="7"/>
  <c r="L141" i="7"/>
  <c r="H141" i="7"/>
  <c r="D141" i="7"/>
  <c r="C141" i="7"/>
  <c r="B141" i="7"/>
  <c r="A141" i="7"/>
  <c r="L140" i="7"/>
  <c r="H140" i="7"/>
  <c r="D140" i="7"/>
  <c r="C140" i="7"/>
  <c r="B140" i="7"/>
  <c r="A140" i="7"/>
  <c r="L139" i="7"/>
  <c r="H139" i="7"/>
  <c r="D139" i="7"/>
  <c r="C139" i="7"/>
  <c r="B139" i="7"/>
  <c r="A139" i="7"/>
  <c r="L138" i="7"/>
  <c r="H138" i="7"/>
  <c r="D138" i="7"/>
  <c r="C138" i="7"/>
  <c r="B138" i="7"/>
  <c r="A138" i="7"/>
  <c r="L137" i="7"/>
  <c r="H137" i="7"/>
  <c r="D137" i="7"/>
  <c r="C137" i="7"/>
  <c r="B137" i="7"/>
  <c r="A137" i="7"/>
  <c r="L136" i="7"/>
  <c r="H136" i="7"/>
  <c r="D136" i="7"/>
  <c r="C136" i="7"/>
  <c r="B136" i="7"/>
  <c r="A136" i="7"/>
  <c r="L135" i="7"/>
  <c r="H135" i="7"/>
  <c r="D135" i="7"/>
  <c r="C135" i="7"/>
  <c r="B135" i="7"/>
  <c r="A135" i="7"/>
  <c r="L134" i="7"/>
  <c r="H134" i="7"/>
  <c r="D134" i="7"/>
  <c r="C134" i="7"/>
  <c r="B134" i="7"/>
  <c r="A134" i="7"/>
  <c r="L133" i="7"/>
  <c r="H133" i="7"/>
  <c r="D133" i="7"/>
  <c r="C133" i="7"/>
  <c r="B133" i="7"/>
  <c r="A133" i="7"/>
  <c r="L132" i="7"/>
  <c r="H132" i="7"/>
  <c r="D132" i="7"/>
  <c r="C132" i="7"/>
  <c r="B132" i="7"/>
  <c r="A132" i="7"/>
  <c r="L131" i="7"/>
  <c r="H131" i="7"/>
  <c r="D131" i="7"/>
  <c r="C131" i="7"/>
  <c r="B131" i="7"/>
  <c r="A131" i="7"/>
  <c r="L130" i="7"/>
  <c r="H130" i="7"/>
  <c r="D130" i="7"/>
  <c r="C130" i="7"/>
  <c r="B130" i="7"/>
  <c r="A130" i="7"/>
  <c r="L129" i="7"/>
  <c r="H129" i="7"/>
  <c r="D129" i="7"/>
  <c r="C129" i="7"/>
  <c r="B129" i="7"/>
  <c r="A129" i="7"/>
  <c r="L128" i="7"/>
  <c r="H128" i="7"/>
  <c r="D128" i="7"/>
  <c r="C128" i="7"/>
  <c r="B128" i="7"/>
  <c r="A128" i="7"/>
  <c r="L127" i="7"/>
  <c r="H127" i="7"/>
  <c r="D127" i="7"/>
  <c r="C127" i="7"/>
  <c r="B127" i="7"/>
  <c r="A127" i="7"/>
  <c r="L126" i="7"/>
  <c r="H126" i="7"/>
  <c r="D126" i="7"/>
  <c r="C126" i="7"/>
  <c r="B126" i="7"/>
  <c r="A126" i="7"/>
  <c r="L125" i="7"/>
  <c r="H125" i="7"/>
  <c r="D125" i="7"/>
  <c r="C125" i="7"/>
  <c r="B125" i="7"/>
  <c r="A125" i="7"/>
  <c r="L124" i="7"/>
  <c r="H124" i="7"/>
  <c r="D124" i="7"/>
  <c r="C124" i="7"/>
  <c r="B124" i="7"/>
  <c r="A124" i="7"/>
  <c r="L123" i="7"/>
  <c r="H123" i="7"/>
  <c r="D123" i="7"/>
  <c r="C123" i="7"/>
  <c r="B123" i="7"/>
  <c r="A123" i="7"/>
  <c r="L122" i="7"/>
  <c r="H122" i="7"/>
  <c r="D122" i="7"/>
  <c r="C122" i="7"/>
  <c r="B122" i="7"/>
  <c r="A122" i="7"/>
  <c r="L121" i="7"/>
  <c r="H121" i="7"/>
  <c r="D121" i="7"/>
  <c r="C121" i="7"/>
  <c r="B121" i="7"/>
  <c r="A121" i="7"/>
  <c r="L120" i="7"/>
  <c r="H120" i="7"/>
  <c r="D120" i="7"/>
  <c r="C120" i="7"/>
  <c r="B120" i="7"/>
  <c r="A120" i="7"/>
  <c r="L119" i="7"/>
  <c r="H119" i="7"/>
  <c r="D119" i="7"/>
  <c r="C119" i="7"/>
  <c r="B119" i="7"/>
  <c r="A119" i="7"/>
  <c r="L118" i="7"/>
  <c r="H118" i="7"/>
  <c r="D118" i="7"/>
  <c r="C118" i="7"/>
  <c r="B118" i="7"/>
  <c r="A118" i="7"/>
  <c r="L117" i="7"/>
  <c r="H117" i="7"/>
  <c r="D117" i="7"/>
  <c r="C117" i="7"/>
  <c r="B117" i="7"/>
  <c r="A117" i="7"/>
  <c r="L116" i="7"/>
  <c r="H116" i="7"/>
  <c r="D116" i="7"/>
  <c r="C116" i="7"/>
  <c r="B116" i="7"/>
  <c r="A116" i="7"/>
  <c r="L115" i="7"/>
  <c r="H115" i="7"/>
  <c r="D115" i="7"/>
  <c r="C115" i="7"/>
  <c r="B115" i="7"/>
  <c r="A115" i="7"/>
  <c r="L114" i="7"/>
  <c r="H114" i="7"/>
  <c r="D114" i="7"/>
  <c r="C114" i="7"/>
  <c r="B114" i="7"/>
  <c r="A114" i="7"/>
  <c r="L113" i="7"/>
  <c r="H113" i="7"/>
  <c r="D113" i="7"/>
  <c r="C113" i="7"/>
  <c r="B113" i="7"/>
  <c r="A113" i="7"/>
  <c r="L112" i="7"/>
  <c r="H112" i="7"/>
  <c r="D112" i="7"/>
  <c r="C112" i="7"/>
  <c r="B112" i="7"/>
  <c r="A112" i="7"/>
  <c r="L111" i="7"/>
  <c r="H111" i="7"/>
  <c r="D111" i="7"/>
  <c r="C111" i="7"/>
  <c r="B111" i="7"/>
  <c r="A111" i="7"/>
  <c r="L110" i="7"/>
  <c r="H110" i="7"/>
  <c r="D110" i="7"/>
  <c r="C110" i="7"/>
  <c r="B110" i="7"/>
  <c r="A110" i="7"/>
  <c r="L109" i="7"/>
  <c r="H109" i="7"/>
  <c r="D109" i="7"/>
  <c r="C109" i="7"/>
  <c r="B109" i="7"/>
  <c r="A109" i="7"/>
  <c r="L108" i="7"/>
  <c r="H108" i="7"/>
  <c r="D108" i="7"/>
  <c r="C108" i="7"/>
  <c r="B108" i="7"/>
  <c r="A108" i="7"/>
  <c r="L107" i="7"/>
  <c r="H107" i="7"/>
  <c r="D107" i="7"/>
  <c r="C107" i="7"/>
  <c r="B107" i="7"/>
  <c r="A107" i="7"/>
  <c r="L106" i="7"/>
  <c r="H106" i="7"/>
  <c r="D106" i="7"/>
  <c r="C106" i="7"/>
  <c r="B106" i="7"/>
  <c r="A106" i="7"/>
  <c r="L105" i="7"/>
  <c r="H105" i="7"/>
  <c r="D105" i="7"/>
  <c r="C105" i="7"/>
  <c r="B105" i="7"/>
  <c r="A105" i="7"/>
  <c r="L104" i="7"/>
  <c r="H104" i="7"/>
  <c r="D104" i="7"/>
  <c r="C104" i="7"/>
  <c r="B104" i="7"/>
  <c r="A104" i="7"/>
  <c r="L103" i="7"/>
  <c r="H103" i="7"/>
  <c r="D103" i="7"/>
  <c r="C103" i="7"/>
  <c r="B103" i="7"/>
  <c r="A103" i="7"/>
  <c r="L102" i="7"/>
  <c r="H102" i="7"/>
  <c r="D102" i="7"/>
  <c r="C102" i="7"/>
  <c r="B102" i="7"/>
  <c r="A102" i="7"/>
  <c r="L101" i="7"/>
  <c r="H101" i="7"/>
  <c r="D101" i="7"/>
  <c r="C101" i="7"/>
  <c r="B101" i="7"/>
  <c r="A101" i="7"/>
  <c r="L100" i="7"/>
  <c r="H100" i="7"/>
  <c r="D100" i="7"/>
  <c r="C100" i="7"/>
  <c r="B100" i="7"/>
  <c r="A100" i="7"/>
  <c r="L99" i="7"/>
  <c r="H99" i="7"/>
  <c r="D99" i="7"/>
  <c r="C99" i="7"/>
  <c r="B99" i="7"/>
  <c r="A99" i="7"/>
  <c r="L98" i="7"/>
  <c r="H98" i="7"/>
  <c r="D98" i="7"/>
  <c r="C98" i="7"/>
  <c r="B98" i="7"/>
  <c r="A98" i="7"/>
  <c r="L97" i="7"/>
  <c r="H97" i="7"/>
  <c r="D97" i="7"/>
  <c r="C97" i="7"/>
  <c r="B97" i="7"/>
  <c r="A97" i="7"/>
  <c r="L96" i="7"/>
  <c r="H96" i="7"/>
  <c r="D96" i="7"/>
  <c r="C96" i="7"/>
  <c r="B96" i="7"/>
  <c r="A96" i="7"/>
  <c r="L95" i="7"/>
  <c r="H95" i="7"/>
  <c r="D95" i="7"/>
  <c r="C95" i="7"/>
  <c r="B95" i="7"/>
  <c r="A95" i="7"/>
  <c r="L94" i="7"/>
  <c r="H94" i="7"/>
  <c r="D94" i="7"/>
  <c r="C94" i="7"/>
  <c r="B94" i="7"/>
  <c r="A94" i="7"/>
  <c r="L93" i="7"/>
  <c r="H93" i="7"/>
  <c r="D93" i="7"/>
  <c r="C93" i="7"/>
  <c r="B93" i="7"/>
  <c r="A93" i="7"/>
  <c r="L92" i="7"/>
  <c r="H92" i="7"/>
  <c r="D92" i="7"/>
  <c r="C92" i="7"/>
  <c r="B92" i="7"/>
  <c r="A92" i="7"/>
  <c r="L91" i="7"/>
  <c r="H91" i="7"/>
  <c r="D91" i="7"/>
  <c r="C91" i="7"/>
  <c r="B91" i="7"/>
  <c r="A91" i="7"/>
  <c r="L90" i="7"/>
  <c r="H90" i="7"/>
  <c r="D90" i="7"/>
  <c r="C90" i="7"/>
  <c r="B90" i="7"/>
  <c r="A90" i="7"/>
  <c r="L89" i="7"/>
  <c r="H89" i="7"/>
  <c r="D89" i="7"/>
  <c r="C89" i="7"/>
  <c r="B89" i="7"/>
  <c r="A89" i="7"/>
  <c r="L88" i="7"/>
  <c r="H88" i="7"/>
  <c r="D88" i="7"/>
  <c r="C88" i="7"/>
  <c r="B88" i="7"/>
  <c r="A88" i="7"/>
  <c r="L87" i="7"/>
  <c r="H87" i="7"/>
  <c r="D87" i="7"/>
  <c r="C87" i="7"/>
  <c r="B87" i="7"/>
  <c r="A87" i="7"/>
  <c r="L86" i="7"/>
  <c r="H86" i="7"/>
  <c r="D86" i="7"/>
  <c r="C86" i="7"/>
  <c r="B86" i="7"/>
  <c r="A86" i="7"/>
  <c r="L85" i="7"/>
  <c r="H85" i="7"/>
  <c r="D85" i="7"/>
  <c r="C85" i="7"/>
  <c r="B85" i="7"/>
  <c r="A85" i="7"/>
  <c r="L84" i="7"/>
  <c r="H84" i="7"/>
  <c r="D84" i="7"/>
  <c r="C84" i="7"/>
  <c r="B84" i="7"/>
  <c r="A84" i="7"/>
  <c r="L83" i="7"/>
  <c r="H83" i="7"/>
  <c r="D83" i="7"/>
  <c r="C83" i="7"/>
  <c r="B83" i="7"/>
  <c r="A83" i="7"/>
  <c r="L82" i="7"/>
  <c r="H82" i="7"/>
  <c r="D82" i="7"/>
  <c r="C82" i="7"/>
  <c r="B82" i="7"/>
  <c r="A82" i="7"/>
  <c r="L81" i="7"/>
  <c r="H81" i="7"/>
  <c r="D81" i="7"/>
  <c r="C81" i="7"/>
  <c r="B81" i="7"/>
  <c r="A81" i="7"/>
  <c r="L80" i="7"/>
  <c r="H80" i="7"/>
  <c r="D80" i="7"/>
  <c r="C80" i="7"/>
  <c r="B80" i="7"/>
  <c r="A80" i="7"/>
  <c r="L79" i="7"/>
  <c r="H79" i="7"/>
  <c r="D79" i="7"/>
  <c r="C79" i="7"/>
  <c r="B79" i="7"/>
  <c r="L78" i="7"/>
  <c r="H78" i="7"/>
  <c r="D78" i="7"/>
  <c r="C78" i="7"/>
  <c r="B78" i="7"/>
  <c r="A78" i="7"/>
  <c r="L77" i="7"/>
  <c r="H77" i="7"/>
  <c r="D77" i="7"/>
  <c r="C77" i="7"/>
  <c r="B77" i="7"/>
  <c r="A77" i="7"/>
  <c r="L76" i="7"/>
  <c r="H76" i="7"/>
  <c r="D76" i="7"/>
  <c r="C76" i="7"/>
  <c r="B76" i="7"/>
  <c r="A76" i="7"/>
  <c r="L75" i="7"/>
  <c r="H75" i="7"/>
  <c r="D75" i="7"/>
  <c r="C75" i="7"/>
  <c r="B75" i="7"/>
  <c r="A75" i="7"/>
  <c r="L74" i="7"/>
  <c r="H74" i="7"/>
  <c r="D74" i="7"/>
  <c r="C74" i="7"/>
  <c r="B74" i="7"/>
  <c r="A74" i="7"/>
  <c r="L73" i="7"/>
  <c r="H73" i="7"/>
  <c r="D73" i="7"/>
  <c r="C73" i="7"/>
  <c r="B73" i="7"/>
  <c r="A73" i="7"/>
  <c r="L72" i="7"/>
  <c r="H72" i="7"/>
  <c r="D72" i="7"/>
  <c r="C72" i="7"/>
  <c r="B72" i="7"/>
  <c r="A72" i="7"/>
  <c r="L71" i="7"/>
  <c r="H71" i="7"/>
  <c r="D71" i="7"/>
  <c r="C71" i="7"/>
  <c r="B71" i="7"/>
  <c r="A71" i="7"/>
  <c r="L70" i="7"/>
  <c r="H70" i="7"/>
  <c r="D70" i="7"/>
  <c r="C70" i="7"/>
  <c r="B70" i="7"/>
  <c r="A70" i="7"/>
  <c r="L69" i="7"/>
  <c r="H69" i="7"/>
  <c r="D69" i="7"/>
  <c r="C69" i="7"/>
  <c r="B69" i="7"/>
  <c r="A69" i="7"/>
  <c r="L68" i="7"/>
  <c r="H68" i="7"/>
  <c r="D68" i="7"/>
  <c r="C68" i="7"/>
  <c r="B68" i="7"/>
  <c r="A68" i="7"/>
  <c r="L67" i="7"/>
  <c r="H67" i="7"/>
  <c r="D67" i="7"/>
  <c r="C67" i="7"/>
  <c r="B67" i="7"/>
  <c r="A67" i="7"/>
  <c r="L66" i="7"/>
  <c r="H66" i="7"/>
  <c r="D66" i="7"/>
  <c r="C66" i="7"/>
  <c r="B66" i="7"/>
  <c r="A66" i="7"/>
  <c r="L65" i="7"/>
  <c r="H65" i="7"/>
  <c r="D65" i="7"/>
  <c r="C65" i="7"/>
  <c r="B65" i="7"/>
  <c r="A65" i="7"/>
  <c r="L64" i="7"/>
  <c r="H64" i="7"/>
  <c r="D64" i="7"/>
  <c r="C64" i="7"/>
  <c r="B64" i="7"/>
  <c r="A64" i="7"/>
  <c r="L63" i="7"/>
  <c r="H63" i="7"/>
  <c r="D63" i="7"/>
  <c r="C63" i="7"/>
  <c r="B63" i="7"/>
  <c r="A63" i="7"/>
  <c r="L62" i="7"/>
  <c r="H62" i="7"/>
  <c r="D62" i="7"/>
  <c r="C62" i="7"/>
  <c r="B62" i="7"/>
  <c r="A62" i="7"/>
  <c r="L61" i="7"/>
  <c r="H61" i="7"/>
  <c r="D61" i="7"/>
  <c r="C61" i="7"/>
  <c r="B61" i="7"/>
  <c r="A61" i="7"/>
  <c r="L60" i="7"/>
  <c r="H60" i="7"/>
  <c r="D60" i="7"/>
  <c r="C60" i="7"/>
  <c r="B60" i="7"/>
  <c r="A60" i="7"/>
  <c r="L59" i="7"/>
  <c r="H59" i="7"/>
  <c r="D59" i="7"/>
  <c r="C59" i="7"/>
  <c r="B59" i="7"/>
  <c r="A59" i="7"/>
  <c r="L58" i="7"/>
  <c r="H58" i="7"/>
  <c r="D58" i="7"/>
  <c r="C58" i="7"/>
  <c r="B58" i="7"/>
  <c r="A58" i="7"/>
  <c r="L57" i="7"/>
  <c r="H57" i="7"/>
  <c r="D57" i="7"/>
  <c r="C57" i="7"/>
  <c r="B57" i="7"/>
  <c r="A57" i="7"/>
  <c r="L56" i="7"/>
  <c r="H56" i="7"/>
  <c r="D56" i="7"/>
  <c r="C56" i="7"/>
  <c r="B56" i="7"/>
  <c r="A56" i="7"/>
  <c r="L55" i="7"/>
  <c r="H55" i="7"/>
  <c r="D55" i="7"/>
  <c r="C55" i="7"/>
  <c r="B55" i="7"/>
  <c r="A55" i="7"/>
  <c r="L54" i="7"/>
  <c r="H54" i="7"/>
  <c r="D54" i="7"/>
  <c r="C54" i="7"/>
  <c r="B54" i="7"/>
  <c r="A54" i="7"/>
  <c r="L53" i="7"/>
  <c r="H53" i="7"/>
  <c r="D53" i="7"/>
  <c r="C53" i="7"/>
  <c r="B53" i="7"/>
  <c r="A53" i="7"/>
  <c r="L52" i="7"/>
  <c r="H52" i="7"/>
  <c r="D52" i="7"/>
  <c r="C52" i="7"/>
  <c r="B52" i="7"/>
  <c r="A52" i="7"/>
  <c r="L51" i="7"/>
  <c r="H51" i="7"/>
  <c r="D51" i="7"/>
  <c r="C51" i="7"/>
  <c r="B51" i="7"/>
  <c r="A51" i="7"/>
  <c r="L50" i="7"/>
  <c r="H50" i="7"/>
  <c r="D50" i="7"/>
  <c r="C50" i="7"/>
  <c r="B50" i="7"/>
  <c r="A50" i="7"/>
  <c r="L49" i="7"/>
  <c r="H49" i="7"/>
  <c r="D49" i="7"/>
  <c r="C49" i="7"/>
  <c r="B49" i="7"/>
  <c r="A49" i="7"/>
  <c r="L48" i="7"/>
  <c r="H48" i="7"/>
  <c r="D48" i="7"/>
  <c r="C48" i="7"/>
  <c r="B48" i="7"/>
  <c r="A48" i="7"/>
  <c r="L47" i="7"/>
  <c r="H47" i="7"/>
  <c r="D47" i="7"/>
  <c r="C47" i="7"/>
  <c r="B47" i="7"/>
  <c r="A47" i="7"/>
  <c r="L46" i="7"/>
  <c r="H46" i="7"/>
  <c r="D46" i="7"/>
  <c r="C46" i="7"/>
  <c r="B46" i="7"/>
  <c r="A46" i="7"/>
  <c r="L45" i="7"/>
  <c r="H45" i="7"/>
  <c r="D45" i="7"/>
  <c r="C45" i="7"/>
  <c r="B45" i="7"/>
  <c r="A45" i="7"/>
  <c r="L44" i="7"/>
  <c r="H44" i="7"/>
  <c r="D44" i="7"/>
  <c r="C44" i="7"/>
  <c r="B44" i="7"/>
  <c r="A44" i="7"/>
  <c r="L43" i="7"/>
  <c r="H43" i="7"/>
  <c r="D43" i="7"/>
  <c r="C43" i="7"/>
  <c r="B43" i="7"/>
  <c r="A43" i="7"/>
  <c r="L42" i="7"/>
  <c r="H42" i="7"/>
  <c r="D42" i="7"/>
  <c r="C42" i="7"/>
  <c r="B42" i="7"/>
  <c r="A42" i="7"/>
  <c r="L41" i="7"/>
  <c r="H41" i="7"/>
  <c r="D41" i="7"/>
  <c r="C41" i="7"/>
  <c r="B41" i="7"/>
  <c r="A41" i="7"/>
  <c r="L40" i="7"/>
  <c r="H40" i="7"/>
  <c r="D40" i="7"/>
  <c r="C40" i="7"/>
  <c r="B40" i="7"/>
  <c r="A40" i="7"/>
  <c r="L39" i="7"/>
  <c r="H39" i="7"/>
  <c r="D39" i="7"/>
  <c r="C39" i="7"/>
  <c r="B39" i="7"/>
  <c r="A39" i="7"/>
  <c r="L38" i="7"/>
  <c r="H38" i="7"/>
  <c r="D38" i="7"/>
  <c r="C38" i="7"/>
  <c r="B38" i="7"/>
  <c r="A38" i="7"/>
  <c r="L37" i="7"/>
  <c r="H37" i="7"/>
  <c r="D37" i="7"/>
  <c r="C37" i="7"/>
  <c r="B37" i="7"/>
  <c r="A37" i="7"/>
  <c r="L36" i="7"/>
  <c r="H36" i="7"/>
  <c r="D36" i="7"/>
  <c r="C36" i="7"/>
  <c r="B36" i="7"/>
  <c r="A36" i="7"/>
  <c r="L35" i="7"/>
  <c r="H35" i="7"/>
  <c r="D35" i="7"/>
  <c r="C35" i="7"/>
  <c r="B35" i="7"/>
  <c r="A35" i="7"/>
  <c r="L34" i="7"/>
  <c r="H34" i="7"/>
  <c r="D34" i="7"/>
  <c r="C34" i="7"/>
  <c r="B34" i="7"/>
  <c r="A34" i="7"/>
  <c r="L33" i="7"/>
  <c r="H33" i="7"/>
  <c r="D33" i="7"/>
  <c r="C33" i="7"/>
  <c r="B33" i="7"/>
  <c r="A33" i="7"/>
  <c r="L32" i="7"/>
  <c r="H32" i="7"/>
  <c r="D32" i="7"/>
  <c r="C32" i="7"/>
  <c r="B32" i="7"/>
  <c r="A32" i="7"/>
  <c r="L31" i="7"/>
  <c r="H31" i="7"/>
  <c r="D31" i="7"/>
  <c r="C31" i="7"/>
  <c r="B31" i="7"/>
  <c r="A31" i="7"/>
  <c r="L30" i="7"/>
  <c r="H30" i="7"/>
  <c r="D30" i="7"/>
  <c r="C30" i="7"/>
  <c r="B30" i="7"/>
  <c r="A30" i="7"/>
  <c r="L29" i="7"/>
  <c r="H29" i="7"/>
  <c r="D29" i="7"/>
  <c r="C29" i="7"/>
  <c r="B29" i="7"/>
  <c r="A29" i="7"/>
  <c r="L28" i="7"/>
  <c r="H28" i="7"/>
  <c r="D28" i="7"/>
  <c r="C28" i="7"/>
  <c r="B28" i="7"/>
  <c r="A28" i="7"/>
  <c r="L27" i="7"/>
  <c r="H27" i="7"/>
  <c r="D27" i="7"/>
  <c r="C27" i="7"/>
  <c r="B27" i="7"/>
  <c r="A27" i="7"/>
  <c r="L26" i="7"/>
  <c r="H26" i="7"/>
  <c r="D26" i="7"/>
  <c r="C26" i="7"/>
  <c r="B26" i="7"/>
  <c r="A26" i="7"/>
  <c r="L25" i="7"/>
  <c r="H25" i="7"/>
  <c r="D25" i="7"/>
  <c r="C25" i="7"/>
  <c r="B25" i="7"/>
  <c r="A25" i="7"/>
  <c r="L24" i="7"/>
  <c r="H24" i="7"/>
  <c r="D24" i="7"/>
  <c r="C24" i="7"/>
  <c r="B24" i="7"/>
  <c r="A24" i="7"/>
  <c r="L23" i="7"/>
  <c r="H23" i="7"/>
  <c r="D23" i="7"/>
  <c r="C23" i="7"/>
  <c r="B23" i="7"/>
  <c r="A23" i="7"/>
  <c r="L22" i="7"/>
  <c r="H22" i="7"/>
  <c r="D22" i="7"/>
  <c r="C22" i="7"/>
  <c r="B22" i="7"/>
  <c r="A22" i="7"/>
  <c r="L21" i="7"/>
  <c r="H21" i="7"/>
  <c r="D21" i="7"/>
  <c r="C21" i="7"/>
  <c r="B21" i="7"/>
  <c r="A21" i="7"/>
  <c r="L20" i="7"/>
  <c r="H20" i="7"/>
  <c r="D20" i="7"/>
  <c r="C20" i="7"/>
  <c r="B20" i="7"/>
  <c r="A20" i="7"/>
  <c r="L19" i="7"/>
  <c r="H19" i="7"/>
  <c r="D19" i="7"/>
  <c r="C19" i="7"/>
  <c r="B19" i="7"/>
  <c r="A19" i="7"/>
  <c r="L18" i="7"/>
  <c r="H18" i="7"/>
  <c r="D18" i="7"/>
  <c r="C18" i="7"/>
  <c r="B18" i="7"/>
  <c r="A18" i="7"/>
  <c r="L17" i="7"/>
  <c r="H17" i="7"/>
  <c r="D17" i="7"/>
  <c r="C17" i="7"/>
  <c r="B17" i="7"/>
  <c r="A17" i="7"/>
  <c r="L16" i="7"/>
  <c r="H16" i="7"/>
  <c r="D16" i="7"/>
  <c r="C16" i="7"/>
  <c r="B16" i="7"/>
  <c r="A16" i="7"/>
  <c r="L15" i="7"/>
  <c r="H15" i="7"/>
  <c r="D15" i="7"/>
  <c r="C15" i="7"/>
  <c r="B15" i="7"/>
  <c r="A15" i="7"/>
  <c r="L14" i="7"/>
  <c r="H14" i="7"/>
  <c r="D14" i="7"/>
  <c r="C14" i="7"/>
  <c r="B14" i="7"/>
  <c r="A14" i="7"/>
  <c r="L13" i="7"/>
  <c r="H13" i="7"/>
  <c r="D13" i="7"/>
  <c r="C13" i="7"/>
  <c r="B13" i="7"/>
  <c r="A13" i="7"/>
  <c r="L12" i="7"/>
  <c r="H12" i="7"/>
  <c r="D12" i="7"/>
  <c r="C12" i="7"/>
  <c r="B12" i="7"/>
  <c r="A12" i="7"/>
  <c r="L11" i="7"/>
  <c r="H11" i="7"/>
  <c r="C11" i="7"/>
  <c r="B11" i="7"/>
  <c r="A11" i="7"/>
  <c r="L10" i="7"/>
  <c r="H10" i="7"/>
  <c r="D10" i="7"/>
  <c r="C10" i="7"/>
  <c r="B10" i="7"/>
  <c r="A10" i="7"/>
  <c r="L9" i="7"/>
  <c r="H9" i="7"/>
  <c r="D9" i="7"/>
  <c r="C9" i="7"/>
  <c r="B9" i="7"/>
  <c r="A9" i="7"/>
  <c r="L8" i="7"/>
  <c r="H8" i="7"/>
  <c r="D8" i="7"/>
  <c r="C8" i="7"/>
  <c r="B8" i="7"/>
  <c r="A8" i="7"/>
  <c r="L7" i="7"/>
  <c r="H7" i="7"/>
  <c r="D7" i="7"/>
  <c r="C7" i="7"/>
  <c r="B7" i="7"/>
  <c r="A7" i="7"/>
  <c r="L6" i="7"/>
  <c r="H6" i="7"/>
  <c r="D6" i="7"/>
  <c r="C6" i="7"/>
  <c r="B6" i="7"/>
  <c r="A6" i="7"/>
  <c r="L5" i="7"/>
  <c r="H5" i="7"/>
  <c r="D5" i="7"/>
  <c r="C5" i="7"/>
  <c r="B5" i="7"/>
  <c r="A5" i="7"/>
  <c r="F16" i="6"/>
  <c r="C354" i="5"/>
  <c r="B354" i="5"/>
  <c r="A354" i="5"/>
  <c r="C353" i="5"/>
  <c r="B353" i="5"/>
  <c r="A353" i="5"/>
  <c r="C352" i="5"/>
  <c r="B352" i="5"/>
  <c r="A352" i="5"/>
  <c r="C351" i="5"/>
  <c r="B351" i="5"/>
  <c r="A351" i="5"/>
  <c r="C350" i="5"/>
  <c r="B350" i="5"/>
  <c r="A350" i="5"/>
  <c r="C349" i="5"/>
  <c r="B349" i="5"/>
  <c r="A349" i="5"/>
  <c r="C348" i="5"/>
  <c r="B348" i="5"/>
  <c r="A348" i="5"/>
  <c r="C347" i="5"/>
  <c r="B347" i="5"/>
  <c r="A347" i="5"/>
  <c r="C346" i="5"/>
  <c r="B346" i="5"/>
  <c r="A346" i="5"/>
  <c r="C345" i="5"/>
  <c r="B345" i="5"/>
  <c r="A345" i="5"/>
  <c r="C344" i="5"/>
  <c r="B344" i="5"/>
  <c r="A344" i="5"/>
  <c r="C343" i="5"/>
  <c r="B343" i="5"/>
  <c r="A343" i="5"/>
  <c r="C342" i="5"/>
  <c r="B342" i="5"/>
  <c r="A342" i="5"/>
  <c r="C341" i="5"/>
  <c r="B341" i="5"/>
  <c r="A341" i="5"/>
  <c r="C340" i="5"/>
  <c r="B340" i="5"/>
  <c r="A340" i="5"/>
  <c r="C339" i="5"/>
  <c r="B339" i="5"/>
  <c r="A339" i="5"/>
  <c r="C338" i="5"/>
  <c r="B338" i="5"/>
  <c r="A338" i="5"/>
  <c r="C337" i="5"/>
  <c r="B337" i="5"/>
  <c r="A337" i="5"/>
  <c r="C336" i="5"/>
  <c r="B336" i="5"/>
  <c r="A336" i="5"/>
  <c r="C335" i="5"/>
  <c r="B335" i="5"/>
  <c r="A335" i="5"/>
  <c r="C334" i="5"/>
  <c r="B334" i="5"/>
  <c r="A334" i="5"/>
  <c r="C333" i="5"/>
  <c r="B333" i="5"/>
  <c r="A333" i="5"/>
  <c r="C332" i="5"/>
  <c r="B332" i="5"/>
  <c r="A332" i="5"/>
  <c r="C331" i="5"/>
  <c r="B331" i="5"/>
  <c r="A331" i="5"/>
  <c r="C330" i="5"/>
  <c r="B330" i="5"/>
  <c r="A330" i="5"/>
  <c r="C329" i="5"/>
  <c r="B329" i="5"/>
  <c r="A329" i="5"/>
  <c r="C328" i="5"/>
  <c r="B328" i="5"/>
  <c r="A328" i="5"/>
  <c r="C327" i="5"/>
  <c r="B327" i="5"/>
  <c r="A327" i="5"/>
  <c r="C326" i="5"/>
  <c r="B326" i="5"/>
  <c r="A326" i="5"/>
  <c r="C325" i="5"/>
  <c r="B325" i="5"/>
  <c r="A325" i="5"/>
  <c r="C324" i="5"/>
  <c r="B324" i="5"/>
  <c r="A324" i="5"/>
  <c r="C323" i="5"/>
  <c r="B323" i="5"/>
  <c r="A323" i="5"/>
  <c r="C322" i="5"/>
  <c r="B322" i="5"/>
  <c r="A322" i="5"/>
  <c r="C321" i="5"/>
  <c r="B321" i="5"/>
  <c r="A321" i="5"/>
  <c r="C320" i="5"/>
  <c r="B320" i="5"/>
  <c r="A320" i="5"/>
  <c r="C319" i="5"/>
  <c r="B319" i="5"/>
  <c r="A319" i="5"/>
  <c r="C318" i="5"/>
  <c r="B318" i="5"/>
  <c r="A318" i="5"/>
  <c r="C317" i="5"/>
  <c r="B317" i="5"/>
  <c r="A317" i="5"/>
  <c r="C316" i="5"/>
  <c r="B316" i="5"/>
  <c r="A316" i="5"/>
  <c r="C315" i="5"/>
  <c r="B315" i="5"/>
  <c r="A315" i="5"/>
  <c r="C314" i="5"/>
  <c r="B314" i="5"/>
  <c r="A314" i="5"/>
  <c r="C313" i="5"/>
  <c r="B313" i="5"/>
  <c r="A313" i="5"/>
  <c r="C312" i="5"/>
  <c r="B312" i="5"/>
  <c r="A312" i="5"/>
  <c r="C311" i="5"/>
  <c r="B311" i="5"/>
  <c r="A311" i="5"/>
  <c r="C310" i="5"/>
  <c r="B310" i="5"/>
  <c r="A310" i="5"/>
  <c r="C309" i="5"/>
  <c r="B309" i="5"/>
  <c r="A309" i="5"/>
  <c r="C308" i="5"/>
  <c r="B308" i="5"/>
  <c r="A308" i="5"/>
  <c r="C307" i="5"/>
  <c r="B307" i="5"/>
  <c r="A307" i="5"/>
  <c r="C306" i="5"/>
  <c r="B306" i="5"/>
  <c r="A306" i="5"/>
  <c r="C305" i="5"/>
  <c r="B305" i="5"/>
  <c r="A305" i="5"/>
  <c r="C304" i="5"/>
  <c r="B304" i="5"/>
  <c r="A304" i="5"/>
  <c r="C303" i="5"/>
  <c r="B303" i="5"/>
  <c r="A303" i="5"/>
  <c r="C302" i="5"/>
  <c r="B302" i="5"/>
  <c r="A302" i="5"/>
  <c r="C301" i="5"/>
  <c r="B301" i="5"/>
  <c r="A301" i="5"/>
  <c r="C300" i="5"/>
  <c r="B300" i="5"/>
  <c r="A300" i="5"/>
  <c r="C299" i="5"/>
  <c r="B299" i="5"/>
  <c r="A299" i="5"/>
  <c r="C298" i="5"/>
  <c r="B298" i="5"/>
  <c r="A298" i="5"/>
  <c r="C297" i="5"/>
  <c r="B297" i="5"/>
  <c r="A297" i="5"/>
  <c r="C296" i="5"/>
  <c r="B296" i="5"/>
  <c r="A296" i="5"/>
  <c r="C295" i="5"/>
  <c r="B295" i="5"/>
  <c r="A295" i="5"/>
  <c r="C294" i="5"/>
  <c r="B294" i="5"/>
  <c r="A294" i="5"/>
  <c r="C293" i="5"/>
  <c r="B293" i="5"/>
  <c r="A293" i="5"/>
  <c r="C292" i="5"/>
  <c r="B292" i="5"/>
  <c r="A292" i="5"/>
  <c r="C291" i="5"/>
  <c r="B291" i="5"/>
  <c r="A291" i="5"/>
  <c r="C290" i="5"/>
  <c r="B290" i="5"/>
  <c r="A290" i="5"/>
  <c r="C289" i="5"/>
  <c r="B289" i="5"/>
  <c r="A289" i="5"/>
  <c r="C288" i="5"/>
  <c r="B288" i="5"/>
  <c r="A288" i="5"/>
  <c r="C287" i="5"/>
  <c r="B287" i="5"/>
  <c r="A287" i="5"/>
  <c r="C286" i="5"/>
  <c r="B286" i="5"/>
  <c r="A286" i="5"/>
  <c r="C285" i="5"/>
  <c r="B285" i="5"/>
  <c r="A285" i="5"/>
  <c r="C284" i="5"/>
  <c r="B284" i="5"/>
  <c r="A284" i="5"/>
  <c r="C283" i="5"/>
  <c r="B283" i="5"/>
  <c r="A283" i="5"/>
  <c r="C282" i="5"/>
  <c r="B282" i="5"/>
  <c r="A282" i="5"/>
  <c r="C281" i="5"/>
  <c r="B281" i="5"/>
  <c r="A281" i="5"/>
  <c r="C280" i="5"/>
  <c r="B280" i="5"/>
  <c r="A280" i="5"/>
  <c r="C279" i="5"/>
  <c r="B279" i="5"/>
  <c r="A279" i="5"/>
  <c r="C278" i="5"/>
  <c r="B278" i="5"/>
  <c r="A278" i="5"/>
  <c r="C277" i="5"/>
  <c r="B277" i="5"/>
  <c r="A277" i="5"/>
  <c r="C276" i="5"/>
  <c r="B276" i="5"/>
  <c r="A276" i="5"/>
  <c r="C275" i="5"/>
  <c r="B275" i="5"/>
  <c r="A275" i="5"/>
  <c r="C274" i="5"/>
  <c r="B274" i="5"/>
  <c r="A274" i="5"/>
  <c r="C273" i="5"/>
  <c r="B273" i="5"/>
  <c r="A273" i="5"/>
  <c r="C272" i="5"/>
  <c r="B272" i="5"/>
  <c r="A272" i="5"/>
  <c r="C271" i="5"/>
  <c r="B271" i="5"/>
  <c r="A271" i="5"/>
  <c r="C270" i="5"/>
  <c r="B270" i="5"/>
  <c r="A270" i="5"/>
  <c r="C269" i="5"/>
  <c r="B269" i="5"/>
  <c r="A269" i="5"/>
  <c r="C268" i="5"/>
  <c r="B268" i="5"/>
  <c r="A268" i="5"/>
  <c r="C267" i="5"/>
  <c r="B267" i="5"/>
  <c r="A267" i="5"/>
  <c r="C266" i="5"/>
  <c r="B266" i="5"/>
  <c r="A266" i="5"/>
  <c r="C265" i="5"/>
  <c r="B265" i="5"/>
  <c r="A265" i="5"/>
  <c r="C264" i="5"/>
  <c r="B264" i="5"/>
  <c r="A264" i="5"/>
  <c r="C263" i="5"/>
  <c r="B263" i="5"/>
  <c r="A263" i="5"/>
  <c r="C262" i="5"/>
  <c r="B262" i="5"/>
  <c r="A262" i="5"/>
  <c r="C261" i="5"/>
  <c r="B261" i="5"/>
  <c r="A261" i="5"/>
  <c r="C260" i="5"/>
  <c r="B260" i="5"/>
  <c r="A260" i="5"/>
  <c r="C259" i="5"/>
  <c r="B259" i="5"/>
  <c r="A259" i="5"/>
  <c r="C258" i="5"/>
  <c r="B258" i="5"/>
  <c r="A258" i="5"/>
  <c r="C257" i="5"/>
  <c r="B257" i="5"/>
  <c r="A257" i="5"/>
  <c r="C256" i="5"/>
  <c r="B256" i="5"/>
  <c r="A256" i="5"/>
  <c r="C255" i="5"/>
  <c r="B255" i="5"/>
  <c r="A255" i="5"/>
  <c r="C254" i="5"/>
  <c r="B254" i="5"/>
  <c r="A254" i="5"/>
  <c r="C253" i="5"/>
  <c r="B253" i="5"/>
  <c r="A253" i="5"/>
  <c r="C252" i="5"/>
  <c r="B252" i="5"/>
  <c r="A252" i="5"/>
  <c r="C251" i="5"/>
  <c r="B251" i="5"/>
  <c r="A251" i="5"/>
  <c r="C250" i="5"/>
  <c r="B250" i="5"/>
  <c r="A250" i="5"/>
  <c r="C249" i="5"/>
  <c r="B249" i="5"/>
  <c r="A249" i="5"/>
  <c r="C248" i="5"/>
  <c r="B248" i="5"/>
  <c r="A248" i="5"/>
  <c r="C247" i="5"/>
  <c r="B247" i="5"/>
  <c r="A247" i="5"/>
  <c r="C246" i="5"/>
  <c r="B246" i="5"/>
  <c r="A246" i="5"/>
  <c r="C245" i="5"/>
  <c r="B245" i="5"/>
  <c r="A245" i="5"/>
  <c r="C244" i="5"/>
  <c r="B244" i="5"/>
  <c r="A244" i="5"/>
  <c r="C243" i="5"/>
  <c r="B243" i="5"/>
  <c r="A243" i="5"/>
  <c r="C242" i="5"/>
  <c r="B242" i="5"/>
  <c r="A242" i="5"/>
  <c r="C241" i="5"/>
  <c r="B241" i="5"/>
  <c r="A241" i="5"/>
  <c r="C240" i="5"/>
  <c r="B240" i="5"/>
  <c r="A240" i="5"/>
  <c r="C239" i="5"/>
  <c r="B239" i="5"/>
  <c r="A239" i="5"/>
  <c r="C238" i="5"/>
  <c r="B238" i="5"/>
  <c r="A238" i="5"/>
  <c r="C237" i="5"/>
  <c r="B237" i="5"/>
  <c r="A237" i="5"/>
  <c r="C236" i="5"/>
  <c r="B236" i="5"/>
  <c r="A236" i="5"/>
  <c r="C235" i="5"/>
  <c r="B235" i="5"/>
  <c r="A235" i="5"/>
  <c r="C234" i="5"/>
  <c r="B234" i="5"/>
  <c r="A234" i="5"/>
  <c r="C233" i="5"/>
  <c r="B233" i="5"/>
  <c r="A233" i="5"/>
  <c r="C232" i="5"/>
  <c r="B232" i="5"/>
  <c r="A232" i="5"/>
  <c r="C231" i="5"/>
  <c r="B231" i="5"/>
  <c r="A231" i="5"/>
  <c r="C230" i="5"/>
  <c r="B230" i="5"/>
  <c r="A230" i="5"/>
  <c r="C229" i="5"/>
  <c r="B229" i="5"/>
  <c r="A229" i="5"/>
  <c r="C228" i="5"/>
  <c r="B228" i="5"/>
  <c r="A228" i="5"/>
  <c r="C227" i="5"/>
  <c r="B227" i="5"/>
  <c r="A227" i="5"/>
  <c r="C226" i="5"/>
  <c r="B226" i="5"/>
  <c r="A226" i="5"/>
  <c r="C225" i="5"/>
  <c r="B225" i="5"/>
  <c r="A225" i="5"/>
  <c r="C224" i="5"/>
  <c r="B224" i="5"/>
  <c r="A224" i="5"/>
  <c r="C223" i="5"/>
  <c r="B223" i="5"/>
  <c r="A223" i="5"/>
  <c r="C222" i="5"/>
  <c r="B222" i="5"/>
  <c r="A222" i="5"/>
  <c r="C221" i="5"/>
  <c r="B221" i="5"/>
  <c r="A221" i="5"/>
  <c r="C220" i="5"/>
  <c r="B220" i="5"/>
  <c r="A220" i="5"/>
  <c r="C219" i="5"/>
  <c r="B219" i="5"/>
  <c r="A219" i="5"/>
  <c r="C218" i="5"/>
  <c r="B218" i="5"/>
  <c r="A218" i="5"/>
  <c r="C217" i="5"/>
  <c r="B217" i="5"/>
  <c r="A217" i="5"/>
  <c r="C216" i="5"/>
  <c r="B216" i="5"/>
  <c r="A216" i="5"/>
  <c r="C215" i="5"/>
  <c r="B215" i="5"/>
  <c r="A215" i="5"/>
  <c r="C214" i="5"/>
  <c r="B214" i="5"/>
  <c r="A214" i="5"/>
  <c r="C213" i="5"/>
  <c r="B213" i="5"/>
  <c r="A213" i="5"/>
  <c r="C212" i="5"/>
  <c r="B212" i="5"/>
  <c r="A212" i="5"/>
  <c r="C211" i="5"/>
  <c r="B211" i="5"/>
  <c r="A211" i="5"/>
  <c r="C210" i="5"/>
  <c r="B210" i="5"/>
  <c r="A210" i="5"/>
  <c r="C209" i="5"/>
  <c r="B209" i="5"/>
  <c r="A209" i="5"/>
  <c r="C208" i="5"/>
  <c r="B208" i="5"/>
  <c r="A208" i="5"/>
  <c r="C207" i="5"/>
  <c r="B207" i="5"/>
  <c r="A207" i="5"/>
  <c r="C206" i="5"/>
  <c r="B206" i="5"/>
  <c r="A206" i="5"/>
  <c r="C205" i="5"/>
  <c r="B205" i="5"/>
  <c r="A205" i="5"/>
  <c r="C204" i="5"/>
  <c r="B204" i="5"/>
  <c r="A204" i="5"/>
  <c r="C203" i="5"/>
  <c r="B203" i="5"/>
  <c r="A203" i="5"/>
  <c r="C202" i="5"/>
  <c r="B202" i="5"/>
  <c r="A202" i="5"/>
  <c r="C201" i="5"/>
  <c r="B201" i="5"/>
  <c r="A201" i="5"/>
  <c r="C200" i="5"/>
  <c r="B200" i="5"/>
  <c r="A200" i="5"/>
  <c r="C199" i="5"/>
  <c r="B199" i="5"/>
  <c r="A199" i="5"/>
  <c r="C198" i="5"/>
  <c r="B198" i="5"/>
  <c r="A198" i="5"/>
  <c r="C197" i="5"/>
  <c r="B197" i="5"/>
  <c r="A197" i="5"/>
  <c r="C196" i="5"/>
  <c r="B196" i="5"/>
  <c r="A196" i="5"/>
  <c r="C195" i="5"/>
  <c r="B195" i="5"/>
  <c r="A195" i="5"/>
  <c r="C194" i="5"/>
  <c r="B194" i="5"/>
  <c r="A194" i="5"/>
  <c r="C193" i="5"/>
  <c r="B193" i="5"/>
  <c r="A193" i="5"/>
  <c r="C192" i="5"/>
  <c r="B192" i="5"/>
  <c r="A192" i="5"/>
  <c r="C191" i="5"/>
  <c r="B191" i="5"/>
  <c r="A191" i="5"/>
  <c r="C190" i="5"/>
  <c r="B190" i="5"/>
  <c r="A190" i="5"/>
  <c r="C189" i="5"/>
  <c r="B189" i="5"/>
  <c r="A189" i="5"/>
  <c r="C188" i="5"/>
  <c r="B188" i="5"/>
  <c r="A188" i="5"/>
  <c r="C187" i="5"/>
  <c r="B187" i="5"/>
  <c r="A187" i="5"/>
  <c r="C186" i="5"/>
  <c r="B186" i="5"/>
  <c r="A186" i="5"/>
  <c r="C185" i="5"/>
  <c r="B185" i="5"/>
  <c r="A185" i="5"/>
  <c r="C184" i="5"/>
  <c r="B184" i="5"/>
  <c r="A184" i="5"/>
  <c r="C183" i="5"/>
  <c r="B183" i="5"/>
  <c r="A183" i="5"/>
  <c r="C182" i="5"/>
  <c r="B182" i="5"/>
  <c r="A182" i="5"/>
  <c r="C181" i="5"/>
  <c r="B181" i="5"/>
  <c r="A181" i="5"/>
  <c r="C180" i="5"/>
  <c r="B180" i="5"/>
  <c r="A180" i="5"/>
  <c r="C179" i="5"/>
  <c r="B179" i="5"/>
  <c r="A179" i="5"/>
  <c r="C178" i="5"/>
  <c r="B178" i="5"/>
  <c r="A178" i="5"/>
  <c r="C177" i="5"/>
  <c r="B177" i="5"/>
  <c r="A177" i="5"/>
  <c r="C176" i="5"/>
  <c r="B176" i="5"/>
  <c r="A176" i="5"/>
  <c r="C175" i="5"/>
  <c r="B175" i="5"/>
  <c r="A175" i="5"/>
  <c r="C174" i="5"/>
  <c r="B174" i="5"/>
  <c r="A174" i="5"/>
  <c r="C173" i="5"/>
  <c r="B173" i="5"/>
  <c r="A173" i="5"/>
  <c r="C172" i="5"/>
  <c r="B172" i="5"/>
  <c r="A172" i="5"/>
  <c r="C171" i="5"/>
  <c r="B171" i="5"/>
  <c r="A171" i="5"/>
  <c r="C170" i="5"/>
  <c r="B170" i="5"/>
  <c r="A170" i="5"/>
  <c r="C169" i="5"/>
  <c r="B169" i="5"/>
  <c r="A169" i="5"/>
  <c r="C168" i="5"/>
  <c r="B168" i="5"/>
  <c r="A168" i="5"/>
  <c r="C167" i="5"/>
  <c r="B167" i="5"/>
  <c r="A167" i="5"/>
  <c r="C166" i="5"/>
  <c r="B166" i="5"/>
  <c r="A166" i="5"/>
  <c r="C165" i="5"/>
  <c r="B165" i="5"/>
  <c r="A165" i="5"/>
  <c r="C164" i="5"/>
  <c r="B164" i="5"/>
  <c r="A164" i="5"/>
  <c r="C163" i="5"/>
  <c r="B163" i="5"/>
  <c r="A163" i="5"/>
  <c r="C162" i="5"/>
  <c r="B162" i="5"/>
  <c r="A162" i="5"/>
  <c r="C161" i="5"/>
  <c r="B161" i="5"/>
  <c r="A161" i="5"/>
  <c r="C160" i="5"/>
  <c r="B160" i="5"/>
  <c r="A160" i="5"/>
  <c r="C159" i="5"/>
  <c r="B159" i="5"/>
  <c r="A159" i="5"/>
  <c r="C158" i="5"/>
  <c r="B158" i="5"/>
  <c r="A158" i="5"/>
  <c r="C157" i="5"/>
  <c r="B157" i="5"/>
  <c r="A157" i="5"/>
  <c r="C156" i="5"/>
  <c r="B156" i="5"/>
  <c r="A156" i="5"/>
  <c r="C155" i="5"/>
  <c r="B155" i="5"/>
  <c r="A155" i="5"/>
  <c r="C154" i="5"/>
  <c r="B154" i="5"/>
  <c r="A154" i="5"/>
  <c r="C153" i="5"/>
  <c r="B153" i="5"/>
  <c r="A153" i="5"/>
  <c r="C152" i="5"/>
  <c r="B152" i="5"/>
  <c r="A152" i="5"/>
  <c r="C151" i="5"/>
  <c r="B151" i="5"/>
  <c r="A151" i="5"/>
  <c r="C150" i="5"/>
  <c r="B150" i="5"/>
  <c r="A150" i="5"/>
  <c r="C149" i="5"/>
  <c r="B149" i="5"/>
  <c r="A149" i="5"/>
  <c r="C148" i="5"/>
  <c r="B148" i="5"/>
  <c r="A148" i="5"/>
  <c r="C147" i="5"/>
  <c r="B147" i="5"/>
  <c r="A147" i="5"/>
  <c r="C146" i="5"/>
  <c r="B146" i="5"/>
  <c r="A146" i="5"/>
  <c r="C145" i="5"/>
  <c r="B145" i="5"/>
  <c r="A145" i="5"/>
  <c r="C144" i="5"/>
  <c r="B144" i="5"/>
  <c r="A144" i="5"/>
  <c r="C143" i="5"/>
  <c r="B143" i="5"/>
  <c r="A143" i="5"/>
  <c r="C142" i="5"/>
  <c r="B142" i="5"/>
  <c r="A142" i="5"/>
  <c r="C141" i="5"/>
  <c r="B141" i="5"/>
  <c r="A141" i="5"/>
  <c r="C140" i="5"/>
  <c r="B140" i="5"/>
  <c r="A140" i="5"/>
  <c r="C139" i="5"/>
  <c r="B139" i="5"/>
  <c r="A139" i="5"/>
  <c r="C138" i="5"/>
  <c r="B138" i="5"/>
  <c r="A138" i="5"/>
  <c r="C137" i="5"/>
  <c r="B137" i="5"/>
  <c r="A137" i="5"/>
  <c r="C136" i="5"/>
  <c r="B136" i="5"/>
  <c r="A136" i="5"/>
  <c r="C135" i="5"/>
  <c r="B135" i="5"/>
  <c r="A135" i="5"/>
  <c r="C134" i="5"/>
  <c r="B134" i="5"/>
  <c r="A134" i="5"/>
  <c r="C133" i="5"/>
  <c r="B133" i="5"/>
  <c r="A133" i="5"/>
  <c r="C132" i="5"/>
  <c r="B132" i="5"/>
  <c r="A132" i="5"/>
  <c r="C131" i="5"/>
  <c r="B131" i="5"/>
  <c r="A131" i="5"/>
  <c r="C130" i="5"/>
  <c r="B130" i="5"/>
  <c r="A130" i="5"/>
  <c r="C129" i="5"/>
  <c r="B129" i="5"/>
  <c r="A129" i="5"/>
  <c r="C128" i="5"/>
  <c r="B128" i="5"/>
  <c r="A128" i="5"/>
  <c r="C127" i="5"/>
  <c r="B127" i="5"/>
  <c r="A127" i="5"/>
  <c r="C126" i="5"/>
  <c r="B126" i="5"/>
  <c r="A126" i="5"/>
  <c r="C125" i="5"/>
  <c r="B125" i="5"/>
  <c r="A125" i="5"/>
  <c r="C124" i="5"/>
  <c r="B124" i="5"/>
  <c r="A124" i="5"/>
  <c r="C123" i="5"/>
  <c r="B123" i="5"/>
  <c r="A123" i="5"/>
  <c r="C122" i="5"/>
  <c r="B122" i="5"/>
  <c r="A122" i="5"/>
  <c r="C121" i="5"/>
  <c r="B121" i="5"/>
  <c r="A121" i="5"/>
  <c r="C120" i="5"/>
  <c r="B120" i="5"/>
  <c r="A120" i="5"/>
  <c r="C119" i="5"/>
  <c r="B119" i="5"/>
  <c r="A119" i="5"/>
  <c r="C118" i="5"/>
  <c r="B118" i="5"/>
  <c r="A118" i="5"/>
  <c r="C117" i="5"/>
  <c r="B117" i="5"/>
  <c r="A117" i="5"/>
  <c r="C116" i="5"/>
  <c r="B116" i="5"/>
  <c r="A116" i="5"/>
  <c r="C115" i="5"/>
  <c r="B115" i="5"/>
  <c r="A115" i="5"/>
  <c r="C114" i="5"/>
  <c r="B114" i="5"/>
  <c r="A114" i="5"/>
  <c r="C113" i="5"/>
  <c r="B113" i="5"/>
  <c r="A113" i="5"/>
  <c r="C112" i="5"/>
  <c r="B112" i="5"/>
  <c r="A112" i="5"/>
  <c r="C111" i="5"/>
  <c r="B111" i="5"/>
  <c r="A111" i="5"/>
  <c r="C110" i="5"/>
  <c r="B110" i="5"/>
  <c r="A110" i="5"/>
  <c r="C109" i="5"/>
  <c r="B109" i="5"/>
  <c r="A109" i="5"/>
  <c r="C108" i="5"/>
  <c r="B108" i="5"/>
  <c r="A108" i="5"/>
  <c r="C107" i="5"/>
  <c r="B107" i="5"/>
  <c r="A107" i="5"/>
  <c r="C106" i="5"/>
  <c r="B106" i="5"/>
  <c r="A106" i="5"/>
  <c r="C105" i="5"/>
  <c r="B105" i="5"/>
  <c r="A105" i="5"/>
  <c r="C104" i="5"/>
  <c r="B104" i="5"/>
  <c r="A104" i="5"/>
  <c r="C103" i="5"/>
  <c r="B103" i="5"/>
  <c r="A103" i="5"/>
  <c r="C102" i="5"/>
  <c r="B102" i="5"/>
  <c r="A102" i="5"/>
  <c r="C101" i="5"/>
  <c r="B101" i="5"/>
  <c r="A101" i="5"/>
  <c r="C100" i="5"/>
  <c r="B100" i="5"/>
  <c r="A100" i="5"/>
  <c r="C99" i="5"/>
  <c r="B99" i="5"/>
  <c r="A99" i="5"/>
  <c r="C98" i="5"/>
  <c r="B98" i="5"/>
  <c r="A98" i="5"/>
  <c r="C97" i="5"/>
  <c r="B97" i="5"/>
  <c r="A97" i="5"/>
  <c r="C96" i="5"/>
  <c r="B96" i="5"/>
  <c r="A96" i="5"/>
  <c r="C95" i="5"/>
  <c r="B95" i="5"/>
  <c r="A95" i="5"/>
  <c r="C94" i="5"/>
  <c r="B94" i="5"/>
  <c r="A94" i="5"/>
  <c r="C93" i="5"/>
  <c r="B93" i="5"/>
  <c r="A93" i="5"/>
  <c r="C92" i="5"/>
  <c r="B92" i="5"/>
  <c r="A92" i="5"/>
  <c r="C91" i="5"/>
  <c r="B91" i="5"/>
  <c r="A91" i="5"/>
  <c r="C90" i="5"/>
  <c r="B90" i="5"/>
  <c r="A90" i="5"/>
  <c r="C89" i="5"/>
  <c r="B89" i="5"/>
  <c r="A89" i="5"/>
  <c r="C88" i="5"/>
  <c r="B88" i="5"/>
  <c r="A88" i="5"/>
  <c r="C87" i="5"/>
  <c r="B87" i="5"/>
  <c r="A87" i="5"/>
  <c r="C86" i="5"/>
  <c r="B86" i="5"/>
  <c r="A86" i="5"/>
  <c r="C85" i="5"/>
  <c r="B85" i="5"/>
  <c r="A85" i="5"/>
  <c r="C84" i="5"/>
  <c r="B84" i="5"/>
  <c r="A84" i="5"/>
  <c r="C83" i="5"/>
  <c r="B83" i="5"/>
  <c r="A83" i="5"/>
  <c r="C82" i="5"/>
  <c r="B82" i="5"/>
  <c r="A82" i="5"/>
  <c r="C81" i="5"/>
  <c r="B81" i="5"/>
  <c r="A81" i="5"/>
  <c r="C80" i="5"/>
  <c r="B80" i="5"/>
  <c r="A80" i="5"/>
  <c r="C79" i="5"/>
  <c r="B79" i="5"/>
  <c r="A79" i="5"/>
  <c r="C78" i="5"/>
  <c r="B78" i="5"/>
  <c r="A78" i="5"/>
  <c r="C77" i="5"/>
  <c r="B77" i="5"/>
  <c r="A77" i="5"/>
  <c r="C76" i="5"/>
  <c r="B76" i="5"/>
  <c r="A76" i="5"/>
  <c r="C75" i="5"/>
  <c r="B75" i="5"/>
  <c r="A75" i="5"/>
  <c r="C74" i="5"/>
  <c r="B74" i="5"/>
  <c r="A74" i="5"/>
  <c r="C73" i="5"/>
  <c r="B73" i="5"/>
  <c r="A73" i="5"/>
  <c r="C72" i="5"/>
  <c r="B72" i="5"/>
  <c r="A72" i="5"/>
  <c r="C71" i="5"/>
  <c r="B71" i="5"/>
  <c r="A71" i="5"/>
  <c r="C70" i="5"/>
  <c r="B70" i="5"/>
  <c r="A70" i="5"/>
  <c r="C69" i="5"/>
  <c r="B69" i="5"/>
  <c r="A69" i="5"/>
  <c r="C68" i="5"/>
  <c r="B68" i="5"/>
  <c r="A68" i="5"/>
  <c r="C67" i="5"/>
  <c r="B67" i="5"/>
  <c r="A67" i="5"/>
  <c r="C66" i="5"/>
  <c r="B66" i="5"/>
  <c r="A66" i="5"/>
  <c r="C65" i="5"/>
  <c r="B65" i="5"/>
  <c r="A65" i="5"/>
  <c r="C64" i="5"/>
  <c r="B64" i="5"/>
  <c r="A64" i="5"/>
  <c r="C63" i="5"/>
  <c r="B63" i="5"/>
  <c r="A63" i="5"/>
  <c r="C62" i="5"/>
  <c r="B62" i="5"/>
  <c r="A62" i="5"/>
  <c r="C61" i="5"/>
  <c r="B61" i="5"/>
  <c r="A61" i="5"/>
  <c r="C60" i="5"/>
  <c r="B60" i="5"/>
  <c r="A60" i="5"/>
  <c r="C59" i="5"/>
  <c r="B59" i="5"/>
  <c r="A59" i="5"/>
  <c r="C58" i="5"/>
  <c r="B58" i="5"/>
  <c r="A58" i="5"/>
  <c r="C57" i="5"/>
  <c r="B57" i="5"/>
  <c r="A57" i="5"/>
  <c r="C56" i="5"/>
  <c r="B56" i="5"/>
  <c r="A56" i="5"/>
  <c r="C55" i="5"/>
  <c r="B55" i="5"/>
  <c r="A55" i="5"/>
  <c r="C54" i="5"/>
  <c r="B54" i="5"/>
  <c r="A54" i="5"/>
  <c r="C53" i="5"/>
  <c r="B53" i="5"/>
  <c r="A53" i="5"/>
  <c r="C52" i="5"/>
  <c r="B52" i="5"/>
  <c r="A52" i="5"/>
  <c r="C51" i="5"/>
  <c r="B51" i="5"/>
  <c r="A51" i="5"/>
  <c r="C50" i="5"/>
  <c r="B50" i="5"/>
  <c r="A50" i="5"/>
  <c r="C49" i="5"/>
  <c r="B49" i="5"/>
  <c r="A49" i="5"/>
  <c r="C48" i="5"/>
  <c r="B48" i="5"/>
  <c r="A48" i="5"/>
  <c r="C47" i="5"/>
  <c r="B47" i="5"/>
  <c r="A47" i="5"/>
  <c r="C46" i="5"/>
  <c r="B46" i="5"/>
  <c r="A46" i="5"/>
  <c r="C45" i="5"/>
  <c r="B45" i="5"/>
  <c r="A45" i="5"/>
  <c r="C44" i="5"/>
  <c r="B44" i="5"/>
  <c r="A44" i="5"/>
  <c r="C43" i="5"/>
  <c r="B43" i="5"/>
  <c r="A43" i="5"/>
  <c r="C42" i="5"/>
  <c r="B42" i="5"/>
  <c r="A42" i="5"/>
  <c r="C41" i="5"/>
  <c r="B41" i="5"/>
  <c r="A41" i="5"/>
  <c r="C40" i="5"/>
  <c r="B40" i="5"/>
  <c r="A40" i="5"/>
  <c r="C39" i="5"/>
  <c r="B39" i="5"/>
  <c r="A39" i="5"/>
  <c r="C38" i="5"/>
  <c r="B38" i="5"/>
  <c r="A38" i="5"/>
  <c r="C37" i="5"/>
  <c r="B37" i="5"/>
  <c r="A37" i="5"/>
  <c r="C36" i="5"/>
  <c r="B36" i="5"/>
  <c r="A36" i="5"/>
  <c r="C35" i="5"/>
  <c r="B35" i="5"/>
  <c r="A35" i="5"/>
  <c r="C34" i="5"/>
  <c r="B34" i="5"/>
  <c r="A34" i="5"/>
  <c r="C33" i="5"/>
  <c r="B33" i="5"/>
  <c r="A33" i="5"/>
  <c r="C32" i="5"/>
  <c r="B32" i="5"/>
  <c r="A32" i="5"/>
  <c r="C31" i="5"/>
  <c r="B31" i="5"/>
  <c r="A31" i="5"/>
  <c r="C30" i="5"/>
  <c r="B30" i="5"/>
  <c r="A30" i="5"/>
  <c r="C29" i="5"/>
  <c r="B29" i="5"/>
  <c r="A29" i="5"/>
  <c r="C28" i="5"/>
  <c r="B28" i="5"/>
  <c r="A28" i="5"/>
  <c r="C27" i="5"/>
  <c r="B27" i="5"/>
  <c r="A27" i="5"/>
  <c r="C26" i="5"/>
  <c r="B26" i="5"/>
  <c r="A26" i="5"/>
  <c r="C25" i="5"/>
  <c r="B25" i="5"/>
  <c r="A25" i="5"/>
  <c r="C24" i="5"/>
  <c r="B24" i="5"/>
  <c r="A24" i="5"/>
  <c r="C23" i="5"/>
  <c r="B23" i="5"/>
  <c r="A23" i="5"/>
  <c r="C22" i="5"/>
  <c r="B22" i="5"/>
  <c r="A22" i="5"/>
  <c r="C21" i="5"/>
  <c r="B21" i="5"/>
  <c r="A21" i="5"/>
  <c r="C20" i="5"/>
  <c r="B20" i="5"/>
  <c r="A20" i="5"/>
  <c r="C19" i="5"/>
  <c r="B19" i="5"/>
  <c r="A19" i="5"/>
  <c r="C18" i="5"/>
  <c r="B18" i="5"/>
  <c r="A18" i="5"/>
  <c r="C17" i="5"/>
  <c r="B17" i="5"/>
  <c r="A17" i="5"/>
  <c r="C16" i="5"/>
  <c r="B16" i="5"/>
  <c r="A16" i="5"/>
  <c r="C15" i="5"/>
  <c r="B15" i="5"/>
  <c r="A15" i="5"/>
  <c r="C14" i="5"/>
  <c r="B14" i="5"/>
  <c r="A14" i="5"/>
  <c r="C13" i="5"/>
  <c r="B13" i="5"/>
  <c r="A13" i="5"/>
  <c r="C12" i="5"/>
  <c r="B12" i="5"/>
  <c r="A12" i="5"/>
  <c r="C11" i="5"/>
  <c r="B11" i="5"/>
  <c r="A11" i="5"/>
  <c r="C10" i="5"/>
  <c r="B10" i="5"/>
  <c r="A10" i="5"/>
  <c r="C9" i="5"/>
  <c r="B9" i="5"/>
  <c r="A9" i="5"/>
  <c r="C8" i="5"/>
  <c r="B8" i="5"/>
  <c r="A8" i="5"/>
  <c r="C7" i="5"/>
  <c r="B7" i="5"/>
  <c r="A7" i="5"/>
  <c r="C6" i="5"/>
  <c r="B6" i="5"/>
  <c r="A6" i="5"/>
  <c r="C5" i="5"/>
  <c r="B5" i="5"/>
  <c r="A5" i="5"/>
  <c r="N54" i="4"/>
  <c r="L54" i="4"/>
  <c r="N53" i="4"/>
  <c r="L53" i="4"/>
  <c r="N52" i="4"/>
  <c r="L52" i="4"/>
  <c r="N51" i="4"/>
  <c r="L51" i="4"/>
  <c r="N50" i="4"/>
  <c r="L50" i="4"/>
  <c r="N49" i="4"/>
  <c r="L49" i="4"/>
  <c r="N48" i="4"/>
  <c r="L48" i="4"/>
  <c r="N47" i="4"/>
  <c r="L47" i="4"/>
  <c r="N46" i="4"/>
  <c r="L46" i="4"/>
  <c r="N45" i="4"/>
  <c r="L45" i="4"/>
  <c r="N44" i="4"/>
  <c r="L44" i="4"/>
  <c r="N43" i="4"/>
  <c r="L43" i="4"/>
  <c r="N42" i="4"/>
  <c r="L42" i="4"/>
  <c r="N41" i="4"/>
  <c r="L41" i="4"/>
  <c r="N40" i="4"/>
  <c r="L40" i="4"/>
  <c r="N39" i="4"/>
  <c r="L39" i="4"/>
  <c r="N38" i="4"/>
  <c r="L38" i="4"/>
  <c r="N37" i="4"/>
  <c r="L37" i="4"/>
  <c r="N36" i="4"/>
  <c r="L36" i="4"/>
  <c r="N35" i="4"/>
  <c r="L35" i="4"/>
  <c r="N34" i="4"/>
  <c r="L34" i="4"/>
  <c r="N33" i="4"/>
  <c r="L33" i="4"/>
  <c r="N32" i="4"/>
  <c r="L32" i="4"/>
  <c r="N31" i="4"/>
  <c r="L31" i="4"/>
  <c r="N30" i="4"/>
  <c r="L30" i="4"/>
  <c r="N29" i="4"/>
  <c r="L29" i="4"/>
  <c r="N28" i="4"/>
  <c r="L28" i="4"/>
  <c r="N27" i="4"/>
  <c r="L27" i="4"/>
  <c r="N26" i="4"/>
  <c r="L26" i="4"/>
  <c r="N25" i="4"/>
  <c r="L25" i="4"/>
  <c r="N24" i="4"/>
  <c r="L24" i="4"/>
  <c r="N23" i="4"/>
  <c r="L23" i="4"/>
  <c r="N22" i="4"/>
  <c r="L22" i="4"/>
  <c r="N21" i="4"/>
  <c r="L21" i="4"/>
  <c r="N20" i="4"/>
  <c r="L20" i="4"/>
  <c r="N19" i="4"/>
  <c r="L19" i="4"/>
  <c r="N18" i="4"/>
  <c r="L18" i="4"/>
  <c r="N17" i="4"/>
  <c r="L17" i="4"/>
  <c r="N16" i="4"/>
  <c r="L16" i="4"/>
  <c r="N15" i="4"/>
  <c r="L15" i="4"/>
  <c r="N14" i="4"/>
  <c r="L14" i="4"/>
  <c r="N13" i="4"/>
  <c r="L13" i="4"/>
  <c r="N12" i="4"/>
  <c r="L12" i="4"/>
  <c r="N11" i="4"/>
  <c r="L11" i="4"/>
  <c r="N10" i="4"/>
  <c r="L10" i="4"/>
  <c r="N9" i="4"/>
  <c r="L9" i="4"/>
  <c r="N8" i="4"/>
  <c r="L8" i="4"/>
  <c r="N7" i="4"/>
  <c r="L7" i="4"/>
  <c r="N6" i="4"/>
  <c r="L6" i="4"/>
  <c r="N5" i="4"/>
  <c r="L5" i="4"/>
  <c r="AC357" i="3"/>
  <c r="AB357" i="3"/>
  <c r="AA357" i="3"/>
  <c r="Z357" i="3"/>
  <c r="E357" i="3"/>
  <c r="AC356" i="3"/>
  <c r="AB356" i="3"/>
  <c r="AA356" i="3"/>
  <c r="Z356" i="3"/>
  <c r="E356" i="3"/>
  <c r="AC355" i="3"/>
  <c r="AB355" i="3"/>
  <c r="AA355" i="3"/>
  <c r="Z355" i="3"/>
  <c r="E355" i="3"/>
  <c r="AC354" i="3"/>
  <c r="AB354" i="3"/>
  <c r="AA354" i="3"/>
  <c r="Z354" i="3"/>
  <c r="E354" i="3"/>
  <c r="AC353" i="3"/>
  <c r="AB353" i="3"/>
  <c r="AA353" i="3"/>
  <c r="Z353" i="3"/>
  <c r="E353" i="3"/>
  <c r="AC352" i="3"/>
  <c r="AB352" i="3"/>
  <c r="AA352" i="3"/>
  <c r="Z352" i="3"/>
  <c r="E352" i="3"/>
  <c r="AC351" i="3"/>
  <c r="AB351" i="3"/>
  <c r="AA351" i="3"/>
  <c r="Z351" i="3"/>
  <c r="E351" i="3"/>
  <c r="AC350" i="3"/>
  <c r="AB350" i="3"/>
  <c r="AA350" i="3"/>
  <c r="Z350" i="3"/>
  <c r="E350" i="3"/>
  <c r="AC349" i="3"/>
  <c r="AB349" i="3"/>
  <c r="AA349" i="3"/>
  <c r="Z349" i="3"/>
  <c r="E349" i="3"/>
  <c r="AC348" i="3"/>
  <c r="AB348" i="3"/>
  <c r="AA348" i="3"/>
  <c r="Z348" i="3"/>
  <c r="E348" i="3"/>
  <c r="AC347" i="3"/>
  <c r="AB347" i="3"/>
  <c r="AA347" i="3"/>
  <c r="Z347" i="3"/>
  <c r="E347" i="3"/>
  <c r="AC346" i="3"/>
  <c r="AB346" i="3"/>
  <c r="AA346" i="3"/>
  <c r="Z346" i="3"/>
  <c r="E346" i="3"/>
  <c r="AC345" i="3"/>
  <c r="AB345" i="3"/>
  <c r="AA345" i="3"/>
  <c r="Z345" i="3"/>
  <c r="E345" i="3"/>
  <c r="AC344" i="3"/>
  <c r="AB344" i="3"/>
  <c r="AA344" i="3"/>
  <c r="Z344" i="3"/>
  <c r="E344" i="3"/>
  <c r="AC343" i="3"/>
  <c r="AB343" i="3"/>
  <c r="AA343" i="3"/>
  <c r="Z343" i="3"/>
  <c r="E343" i="3"/>
  <c r="AC342" i="3"/>
  <c r="AB342" i="3"/>
  <c r="AA342" i="3"/>
  <c r="Z342" i="3"/>
  <c r="E342" i="3"/>
  <c r="AC341" i="3"/>
  <c r="AB341" i="3"/>
  <c r="AA341" i="3"/>
  <c r="Z341" i="3"/>
  <c r="E341" i="3"/>
  <c r="AC340" i="3"/>
  <c r="AB340" i="3"/>
  <c r="AA340" i="3"/>
  <c r="Z340" i="3"/>
  <c r="E340" i="3"/>
  <c r="AC339" i="3"/>
  <c r="AB339" i="3"/>
  <c r="AA339" i="3"/>
  <c r="Z339" i="3"/>
  <c r="E339" i="3"/>
  <c r="AC338" i="3"/>
  <c r="AB338" i="3"/>
  <c r="AA338" i="3"/>
  <c r="Z338" i="3"/>
  <c r="E338" i="3"/>
  <c r="AC337" i="3"/>
  <c r="AB337" i="3"/>
  <c r="AA337" i="3"/>
  <c r="Z337" i="3"/>
  <c r="E337" i="3"/>
  <c r="AC336" i="3"/>
  <c r="AB336" i="3"/>
  <c r="AA336" i="3"/>
  <c r="Z336" i="3"/>
  <c r="E336" i="3"/>
  <c r="AC335" i="3"/>
  <c r="AB335" i="3"/>
  <c r="AA335" i="3"/>
  <c r="Z335" i="3"/>
  <c r="E335" i="3"/>
  <c r="AC334" i="3"/>
  <c r="AB334" i="3"/>
  <c r="AA334" i="3"/>
  <c r="Z334" i="3"/>
  <c r="E334" i="3"/>
  <c r="AC333" i="3"/>
  <c r="AB333" i="3"/>
  <c r="AA333" i="3"/>
  <c r="Z333" i="3"/>
  <c r="E333" i="3"/>
  <c r="AC332" i="3"/>
  <c r="AB332" i="3"/>
  <c r="AA332" i="3"/>
  <c r="Z332" i="3"/>
  <c r="E332" i="3"/>
  <c r="AC331" i="3"/>
  <c r="AB331" i="3"/>
  <c r="AA331" i="3"/>
  <c r="Z331" i="3"/>
  <c r="E331" i="3"/>
  <c r="AC330" i="3"/>
  <c r="AB330" i="3"/>
  <c r="AA330" i="3"/>
  <c r="Z330" i="3"/>
  <c r="E330" i="3"/>
  <c r="AC329" i="3"/>
  <c r="AB329" i="3"/>
  <c r="AA329" i="3"/>
  <c r="Z329" i="3"/>
  <c r="E329" i="3"/>
  <c r="AC328" i="3"/>
  <c r="AB328" i="3"/>
  <c r="AA328" i="3"/>
  <c r="Z328" i="3"/>
  <c r="E328" i="3"/>
  <c r="AC327" i="3"/>
  <c r="AB327" i="3"/>
  <c r="AA327" i="3"/>
  <c r="Z327" i="3"/>
  <c r="E327" i="3"/>
  <c r="AC326" i="3"/>
  <c r="AB326" i="3"/>
  <c r="AA326" i="3"/>
  <c r="Z326" i="3"/>
  <c r="E326" i="3"/>
  <c r="AC325" i="3"/>
  <c r="AB325" i="3"/>
  <c r="AA325" i="3"/>
  <c r="Z325" i="3"/>
  <c r="E325" i="3"/>
  <c r="AC324" i="3"/>
  <c r="AB324" i="3"/>
  <c r="AA324" i="3"/>
  <c r="Z324" i="3"/>
  <c r="E324" i="3"/>
  <c r="AC323" i="3"/>
  <c r="AB323" i="3"/>
  <c r="AA323" i="3"/>
  <c r="Z323" i="3"/>
  <c r="E323" i="3"/>
  <c r="AC322" i="3"/>
  <c r="AB322" i="3"/>
  <c r="AA322" i="3"/>
  <c r="Z322" i="3"/>
  <c r="E322" i="3"/>
  <c r="AC321" i="3"/>
  <c r="AB321" i="3"/>
  <c r="AA321" i="3"/>
  <c r="Z321" i="3"/>
  <c r="E321" i="3"/>
  <c r="AC320" i="3"/>
  <c r="AB320" i="3"/>
  <c r="AA320" i="3"/>
  <c r="Z320" i="3"/>
  <c r="E320" i="3"/>
  <c r="AC319" i="3"/>
  <c r="AB319" i="3"/>
  <c r="AA319" i="3"/>
  <c r="Z319" i="3"/>
  <c r="E319" i="3"/>
  <c r="AC318" i="3"/>
  <c r="AB318" i="3"/>
  <c r="AA318" i="3"/>
  <c r="Z318" i="3"/>
  <c r="E318" i="3"/>
  <c r="AC317" i="3"/>
  <c r="AB317" i="3"/>
  <c r="AA317" i="3"/>
  <c r="Z317" i="3"/>
  <c r="E317" i="3"/>
  <c r="AC316" i="3"/>
  <c r="AB316" i="3"/>
  <c r="AA316" i="3"/>
  <c r="Z316" i="3"/>
  <c r="E316" i="3"/>
  <c r="AC315" i="3"/>
  <c r="AB315" i="3"/>
  <c r="AA315" i="3"/>
  <c r="Z315" i="3"/>
  <c r="E315" i="3"/>
  <c r="AC314" i="3"/>
  <c r="AB314" i="3"/>
  <c r="AA314" i="3"/>
  <c r="Z314" i="3"/>
  <c r="E314" i="3"/>
  <c r="AC313" i="3"/>
  <c r="AB313" i="3"/>
  <c r="AA313" i="3"/>
  <c r="Z313" i="3"/>
  <c r="E313" i="3"/>
  <c r="AC312" i="3"/>
  <c r="AB312" i="3"/>
  <c r="AA312" i="3"/>
  <c r="Z312" i="3"/>
  <c r="E312" i="3"/>
  <c r="AC311" i="3"/>
  <c r="AB311" i="3"/>
  <c r="AA311" i="3"/>
  <c r="Z311" i="3"/>
  <c r="E311" i="3"/>
  <c r="AC310" i="3"/>
  <c r="AB310" i="3"/>
  <c r="AA310" i="3"/>
  <c r="Z310" i="3"/>
  <c r="E310" i="3"/>
  <c r="AC309" i="3"/>
  <c r="AB309" i="3"/>
  <c r="AA309" i="3"/>
  <c r="Z309" i="3"/>
  <c r="E309" i="3"/>
  <c r="AC308" i="3"/>
  <c r="AB308" i="3"/>
  <c r="AA308" i="3"/>
  <c r="Z308" i="3"/>
  <c r="E308" i="3"/>
  <c r="AC307" i="3"/>
  <c r="AB307" i="3"/>
  <c r="AA307" i="3"/>
  <c r="Z307" i="3"/>
  <c r="E307" i="3"/>
  <c r="AC306" i="3"/>
  <c r="AB306" i="3"/>
  <c r="AA306" i="3"/>
  <c r="Z306" i="3"/>
  <c r="E306" i="3"/>
  <c r="AC305" i="3"/>
  <c r="AB305" i="3"/>
  <c r="AA305" i="3"/>
  <c r="Z305" i="3"/>
  <c r="E305" i="3"/>
  <c r="AC304" i="3"/>
  <c r="AB304" i="3"/>
  <c r="AA304" i="3"/>
  <c r="Z304" i="3"/>
  <c r="E304" i="3"/>
  <c r="AC303" i="3"/>
  <c r="AB303" i="3"/>
  <c r="AA303" i="3"/>
  <c r="Z303" i="3"/>
  <c r="E303" i="3"/>
  <c r="AC302" i="3"/>
  <c r="AB302" i="3"/>
  <c r="AA302" i="3"/>
  <c r="Z302" i="3"/>
  <c r="E302" i="3"/>
  <c r="AC301" i="3"/>
  <c r="AB301" i="3"/>
  <c r="AA301" i="3"/>
  <c r="Z301" i="3"/>
  <c r="E301" i="3"/>
  <c r="AC300" i="3"/>
  <c r="AB300" i="3"/>
  <c r="AA300" i="3"/>
  <c r="Z300" i="3"/>
  <c r="E300" i="3"/>
  <c r="AC299" i="3"/>
  <c r="AB299" i="3"/>
  <c r="AA299" i="3"/>
  <c r="Z299" i="3"/>
  <c r="E299" i="3"/>
  <c r="AC298" i="3"/>
  <c r="AB298" i="3"/>
  <c r="AA298" i="3"/>
  <c r="Z298" i="3"/>
  <c r="E298" i="3"/>
  <c r="AC297" i="3"/>
  <c r="AB297" i="3"/>
  <c r="AA297" i="3"/>
  <c r="Z297" i="3"/>
  <c r="E297" i="3"/>
  <c r="AC296" i="3"/>
  <c r="AB296" i="3"/>
  <c r="AA296" i="3"/>
  <c r="Z296" i="3"/>
  <c r="E296" i="3"/>
  <c r="AC295" i="3"/>
  <c r="AB295" i="3"/>
  <c r="AA295" i="3"/>
  <c r="Z295" i="3"/>
  <c r="E295" i="3"/>
  <c r="AC294" i="3"/>
  <c r="AB294" i="3"/>
  <c r="AA294" i="3"/>
  <c r="Z294" i="3"/>
  <c r="E294" i="3"/>
  <c r="AC293" i="3"/>
  <c r="AB293" i="3"/>
  <c r="AA293" i="3"/>
  <c r="Z293" i="3"/>
  <c r="E293" i="3"/>
  <c r="AC292" i="3"/>
  <c r="AB292" i="3"/>
  <c r="AA292" i="3"/>
  <c r="Z292" i="3"/>
  <c r="E292" i="3"/>
  <c r="AC291" i="3"/>
  <c r="AB291" i="3"/>
  <c r="AA291" i="3"/>
  <c r="Z291" i="3"/>
  <c r="E291" i="3"/>
  <c r="AC290" i="3"/>
  <c r="AB290" i="3"/>
  <c r="AA290" i="3"/>
  <c r="Z290" i="3"/>
  <c r="E290" i="3"/>
  <c r="AC289" i="3"/>
  <c r="AB289" i="3"/>
  <c r="AA289" i="3"/>
  <c r="Z289" i="3"/>
  <c r="E289" i="3"/>
  <c r="AC288" i="3"/>
  <c r="AB288" i="3"/>
  <c r="AA288" i="3"/>
  <c r="Z288" i="3"/>
  <c r="E288" i="3"/>
  <c r="AC287" i="3"/>
  <c r="AB287" i="3"/>
  <c r="AA287" i="3"/>
  <c r="Z287" i="3"/>
  <c r="E287" i="3"/>
  <c r="AC286" i="3"/>
  <c r="AB286" i="3"/>
  <c r="AA286" i="3"/>
  <c r="Z286" i="3"/>
  <c r="E286" i="3"/>
  <c r="AC285" i="3"/>
  <c r="AB285" i="3"/>
  <c r="AA285" i="3"/>
  <c r="Z285" i="3"/>
  <c r="E285" i="3"/>
  <c r="AC284" i="3"/>
  <c r="AB284" i="3"/>
  <c r="AA284" i="3"/>
  <c r="Z284" i="3"/>
  <c r="E284" i="3"/>
  <c r="AC283" i="3"/>
  <c r="AB283" i="3"/>
  <c r="AA283" i="3"/>
  <c r="Z283" i="3"/>
  <c r="E283" i="3"/>
  <c r="AC282" i="3"/>
  <c r="AB282" i="3"/>
  <c r="AA282" i="3"/>
  <c r="Z282" i="3"/>
  <c r="E282" i="3"/>
  <c r="AC281" i="3"/>
  <c r="AB281" i="3"/>
  <c r="AA281" i="3"/>
  <c r="Z281" i="3"/>
  <c r="E281" i="3"/>
  <c r="AC280" i="3"/>
  <c r="AB280" i="3"/>
  <c r="AA280" i="3"/>
  <c r="Z280" i="3"/>
  <c r="E280" i="3"/>
  <c r="AC279" i="3"/>
  <c r="AB279" i="3"/>
  <c r="AA279" i="3"/>
  <c r="Z279" i="3"/>
  <c r="E279" i="3"/>
  <c r="AC278" i="3"/>
  <c r="AB278" i="3"/>
  <c r="AA278" i="3"/>
  <c r="Z278" i="3"/>
  <c r="E278" i="3"/>
  <c r="AC277" i="3"/>
  <c r="AB277" i="3"/>
  <c r="AA277" i="3"/>
  <c r="Z277" i="3"/>
  <c r="E277" i="3"/>
  <c r="AC276" i="3"/>
  <c r="AB276" i="3"/>
  <c r="AA276" i="3"/>
  <c r="Z276" i="3"/>
  <c r="E276" i="3"/>
  <c r="AC275" i="3"/>
  <c r="AB275" i="3"/>
  <c r="AA275" i="3"/>
  <c r="Z275" i="3"/>
  <c r="E275" i="3"/>
  <c r="AC274" i="3"/>
  <c r="AB274" i="3"/>
  <c r="AA274" i="3"/>
  <c r="Z274" i="3"/>
  <c r="E274" i="3"/>
  <c r="AC273" i="3"/>
  <c r="AB273" i="3"/>
  <c r="AA273" i="3"/>
  <c r="Z273" i="3"/>
  <c r="E273" i="3"/>
  <c r="AC272" i="3"/>
  <c r="AB272" i="3"/>
  <c r="AA272" i="3"/>
  <c r="Z272" i="3"/>
  <c r="E272" i="3"/>
  <c r="AC271" i="3"/>
  <c r="AB271" i="3"/>
  <c r="AA271" i="3"/>
  <c r="Z271" i="3"/>
  <c r="E271" i="3"/>
  <c r="AC270" i="3"/>
  <c r="AB270" i="3"/>
  <c r="AA270" i="3"/>
  <c r="Z270" i="3"/>
  <c r="E270" i="3"/>
  <c r="AC269" i="3"/>
  <c r="AB269" i="3"/>
  <c r="AA269" i="3"/>
  <c r="Z269" i="3"/>
  <c r="E269" i="3"/>
  <c r="AC268" i="3"/>
  <c r="AB268" i="3"/>
  <c r="AA268" i="3"/>
  <c r="Z268" i="3"/>
  <c r="E268" i="3"/>
  <c r="AC267" i="3"/>
  <c r="AB267" i="3"/>
  <c r="AA267" i="3"/>
  <c r="Z267" i="3"/>
  <c r="E267" i="3"/>
  <c r="AC266" i="3"/>
  <c r="AB266" i="3"/>
  <c r="AA266" i="3"/>
  <c r="Z266" i="3"/>
  <c r="E266" i="3"/>
  <c r="AC265" i="3"/>
  <c r="AB265" i="3"/>
  <c r="AA265" i="3"/>
  <c r="Z265" i="3"/>
  <c r="E265" i="3"/>
  <c r="AC264" i="3"/>
  <c r="AB264" i="3"/>
  <c r="AA264" i="3"/>
  <c r="Z264" i="3"/>
  <c r="E264" i="3"/>
  <c r="AC263" i="3"/>
  <c r="AB263" i="3"/>
  <c r="AA263" i="3"/>
  <c r="Z263" i="3"/>
  <c r="E263" i="3"/>
  <c r="AC262" i="3"/>
  <c r="AB262" i="3"/>
  <c r="AA262" i="3"/>
  <c r="Z262" i="3"/>
  <c r="E262" i="3"/>
  <c r="AC261" i="3"/>
  <c r="AB261" i="3"/>
  <c r="AA261" i="3"/>
  <c r="Z261" i="3"/>
  <c r="E261" i="3"/>
  <c r="AC260" i="3"/>
  <c r="AB260" i="3"/>
  <c r="AA260" i="3"/>
  <c r="Z260" i="3"/>
  <c r="E260" i="3"/>
  <c r="AC259" i="3"/>
  <c r="AB259" i="3"/>
  <c r="AA259" i="3"/>
  <c r="Z259" i="3"/>
  <c r="E259" i="3"/>
  <c r="AC258" i="3"/>
  <c r="AB258" i="3"/>
  <c r="AA258" i="3"/>
  <c r="Z258" i="3"/>
  <c r="E258" i="3"/>
  <c r="AC257" i="3"/>
  <c r="AB257" i="3"/>
  <c r="AA257" i="3"/>
  <c r="Z257" i="3"/>
  <c r="E257" i="3"/>
  <c r="AC256" i="3"/>
  <c r="AB256" i="3"/>
  <c r="AA256" i="3"/>
  <c r="Z256" i="3"/>
  <c r="E256" i="3"/>
  <c r="AC255" i="3"/>
  <c r="AB255" i="3"/>
  <c r="AA255" i="3"/>
  <c r="Z255" i="3"/>
  <c r="E255" i="3"/>
  <c r="AC254" i="3"/>
  <c r="AB254" i="3"/>
  <c r="AA254" i="3"/>
  <c r="Z254" i="3"/>
  <c r="E254" i="3"/>
  <c r="AC253" i="3"/>
  <c r="AB253" i="3"/>
  <c r="AA253" i="3"/>
  <c r="Z253" i="3"/>
  <c r="E253" i="3"/>
  <c r="AC252" i="3"/>
  <c r="AB252" i="3"/>
  <c r="AA252" i="3"/>
  <c r="Z252" i="3"/>
  <c r="E252" i="3"/>
  <c r="AC251" i="3"/>
  <c r="AB251" i="3"/>
  <c r="AA251" i="3"/>
  <c r="Z251" i="3"/>
  <c r="E251" i="3"/>
  <c r="AC250" i="3"/>
  <c r="AB250" i="3"/>
  <c r="AA250" i="3"/>
  <c r="Z250" i="3"/>
  <c r="E250" i="3"/>
  <c r="AC249" i="3"/>
  <c r="AB249" i="3"/>
  <c r="AA249" i="3"/>
  <c r="Z249" i="3"/>
  <c r="E249" i="3"/>
  <c r="AC248" i="3"/>
  <c r="AB248" i="3"/>
  <c r="AA248" i="3"/>
  <c r="Z248" i="3"/>
  <c r="E248" i="3"/>
  <c r="AC247" i="3"/>
  <c r="AB247" i="3"/>
  <c r="AA247" i="3"/>
  <c r="Z247" i="3"/>
  <c r="E247" i="3"/>
  <c r="AC246" i="3"/>
  <c r="AB246" i="3"/>
  <c r="AA246" i="3"/>
  <c r="Z246" i="3"/>
  <c r="E246" i="3"/>
  <c r="AC245" i="3"/>
  <c r="AB245" i="3"/>
  <c r="AA245" i="3"/>
  <c r="Z245" i="3"/>
  <c r="E245" i="3"/>
  <c r="AC244" i="3"/>
  <c r="AB244" i="3"/>
  <c r="AA244" i="3"/>
  <c r="Z244" i="3"/>
  <c r="E244" i="3"/>
  <c r="AC243" i="3"/>
  <c r="AB243" i="3"/>
  <c r="AA243" i="3"/>
  <c r="Z243" i="3"/>
  <c r="E243" i="3"/>
  <c r="AC242" i="3"/>
  <c r="AB242" i="3"/>
  <c r="AA242" i="3"/>
  <c r="Z242" i="3"/>
  <c r="E242" i="3"/>
  <c r="AC241" i="3"/>
  <c r="AB241" i="3"/>
  <c r="AA241" i="3"/>
  <c r="Z241" i="3"/>
  <c r="E241" i="3"/>
  <c r="AC240" i="3"/>
  <c r="AB240" i="3"/>
  <c r="AA240" i="3"/>
  <c r="Z240" i="3"/>
  <c r="E240" i="3"/>
  <c r="AC239" i="3"/>
  <c r="AB239" i="3"/>
  <c r="AA239" i="3"/>
  <c r="Z239" i="3"/>
  <c r="E239" i="3"/>
  <c r="AC238" i="3"/>
  <c r="AB238" i="3"/>
  <c r="AA238" i="3"/>
  <c r="Z238" i="3"/>
  <c r="E238" i="3"/>
  <c r="AC237" i="3"/>
  <c r="AB237" i="3"/>
  <c r="AA237" i="3"/>
  <c r="Z237" i="3"/>
  <c r="E237" i="3"/>
  <c r="AC236" i="3"/>
  <c r="AB236" i="3"/>
  <c r="AA236" i="3"/>
  <c r="Z236" i="3"/>
  <c r="E236" i="3"/>
  <c r="AC235" i="3"/>
  <c r="AB235" i="3"/>
  <c r="AA235" i="3"/>
  <c r="Z235" i="3"/>
  <c r="E235" i="3"/>
  <c r="AC234" i="3"/>
  <c r="AB234" i="3"/>
  <c r="AA234" i="3"/>
  <c r="Z234" i="3"/>
  <c r="E234" i="3"/>
  <c r="AC233" i="3"/>
  <c r="AB233" i="3"/>
  <c r="AA233" i="3"/>
  <c r="Z233" i="3"/>
  <c r="E233" i="3"/>
  <c r="AC232" i="3"/>
  <c r="AB232" i="3"/>
  <c r="AA232" i="3"/>
  <c r="Z232" i="3"/>
  <c r="E232" i="3"/>
  <c r="AC231" i="3"/>
  <c r="AB231" i="3"/>
  <c r="AA231" i="3"/>
  <c r="Z231" i="3"/>
  <c r="E231" i="3"/>
  <c r="AC230" i="3"/>
  <c r="AB230" i="3"/>
  <c r="AA230" i="3"/>
  <c r="Z230" i="3"/>
  <c r="E230" i="3"/>
  <c r="AC229" i="3"/>
  <c r="AB229" i="3"/>
  <c r="AA229" i="3"/>
  <c r="Z229" i="3"/>
  <c r="E229" i="3"/>
  <c r="AC228" i="3"/>
  <c r="AB228" i="3"/>
  <c r="AA228" i="3"/>
  <c r="Z228" i="3"/>
  <c r="E228" i="3"/>
  <c r="AC227" i="3"/>
  <c r="AB227" i="3"/>
  <c r="AA227" i="3"/>
  <c r="Z227" i="3"/>
  <c r="E227" i="3"/>
  <c r="AC226" i="3"/>
  <c r="AB226" i="3"/>
  <c r="AA226" i="3"/>
  <c r="Z226" i="3"/>
  <c r="E226" i="3"/>
  <c r="AC225" i="3"/>
  <c r="AB225" i="3"/>
  <c r="AA225" i="3"/>
  <c r="Z225" i="3"/>
  <c r="E225" i="3"/>
  <c r="AC224" i="3"/>
  <c r="AB224" i="3"/>
  <c r="AA224" i="3"/>
  <c r="Z224" i="3"/>
  <c r="E224" i="3"/>
  <c r="AC223" i="3"/>
  <c r="AB223" i="3"/>
  <c r="AA223" i="3"/>
  <c r="Z223" i="3"/>
  <c r="E223" i="3"/>
  <c r="AC222" i="3"/>
  <c r="AB222" i="3"/>
  <c r="AA222" i="3"/>
  <c r="Z222" i="3"/>
  <c r="E222" i="3"/>
  <c r="AC221" i="3"/>
  <c r="AB221" i="3"/>
  <c r="AA221" i="3"/>
  <c r="Z221" i="3"/>
  <c r="E221" i="3"/>
  <c r="AC220" i="3"/>
  <c r="AB220" i="3"/>
  <c r="AA220" i="3"/>
  <c r="Z220" i="3"/>
  <c r="E220" i="3"/>
  <c r="AC219" i="3"/>
  <c r="AB219" i="3"/>
  <c r="AA219" i="3"/>
  <c r="Z219" i="3"/>
  <c r="E219" i="3"/>
  <c r="AC218" i="3"/>
  <c r="AB218" i="3"/>
  <c r="AA218" i="3"/>
  <c r="Z218" i="3"/>
  <c r="E218" i="3"/>
  <c r="AC217" i="3"/>
  <c r="AB217" i="3"/>
  <c r="AA217" i="3"/>
  <c r="Z217" i="3"/>
  <c r="E217" i="3"/>
  <c r="AC216" i="3"/>
  <c r="AB216" i="3"/>
  <c r="AA216" i="3"/>
  <c r="Z216" i="3"/>
  <c r="E216" i="3"/>
  <c r="AC215" i="3"/>
  <c r="AB215" i="3"/>
  <c r="AA215" i="3"/>
  <c r="Z215" i="3"/>
  <c r="E215" i="3"/>
  <c r="AC214" i="3"/>
  <c r="AB214" i="3"/>
  <c r="AA214" i="3"/>
  <c r="Z214" i="3"/>
  <c r="E214" i="3"/>
  <c r="AC213" i="3"/>
  <c r="AB213" i="3"/>
  <c r="AA213" i="3"/>
  <c r="Z213" i="3"/>
  <c r="E213" i="3"/>
  <c r="AC212" i="3"/>
  <c r="AB212" i="3"/>
  <c r="AA212" i="3"/>
  <c r="Z212" i="3"/>
  <c r="E212" i="3"/>
  <c r="AC211" i="3"/>
  <c r="AB211" i="3"/>
  <c r="AA211" i="3"/>
  <c r="Z211" i="3"/>
  <c r="E211" i="3"/>
  <c r="AC210" i="3"/>
  <c r="AB210" i="3"/>
  <c r="AA210" i="3"/>
  <c r="Z210" i="3"/>
  <c r="E210" i="3"/>
  <c r="AC209" i="3"/>
  <c r="AB209" i="3"/>
  <c r="AA209" i="3"/>
  <c r="Z209" i="3"/>
  <c r="E209" i="3"/>
  <c r="AC208" i="3"/>
  <c r="AB208" i="3"/>
  <c r="AA208" i="3"/>
  <c r="Z208" i="3"/>
  <c r="E208" i="3"/>
  <c r="AC207" i="3"/>
  <c r="AB207" i="3"/>
  <c r="AA207" i="3"/>
  <c r="Z207" i="3"/>
  <c r="E207" i="3"/>
  <c r="AC206" i="3"/>
  <c r="AB206" i="3"/>
  <c r="AA206" i="3"/>
  <c r="Z206" i="3"/>
  <c r="E206" i="3"/>
  <c r="AC205" i="3"/>
  <c r="AB205" i="3"/>
  <c r="AA205" i="3"/>
  <c r="Z205" i="3"/>
  <c r="E205" i="3"/>
  <c r="AC204" i="3"/>
  <c r="AB204" i="3"/>
  <c r="AA204" i="3"/>
  <c r="Z204" i="3"/>
  <c r="E204" i="3"/>
  <c r="AC203" i="3"/>
  <c r="AB203" i="3"/>
  <c r="AA203" i="3"/>
  <c r="Z203" i="3"/>
  <c r="E203" i="3"/>
  <c r="AC202" i="3"/>
  <c r="AB202" i="3"/>
  <c r="AA202" i="3"/>
  <c r="Z202" i="3"/>
  <c r="E202" i="3"/>
  <c r="AC201" i="3"/>
  <c r="AB201" i="3"/>
  <c r="AA201" i="3"/>
  <c r="Z201" i="3"/>
  <c r="E201" i="3"/>
  <c r="AC200" i="3"/>
  <c r="AB200" i="3"/>
  <c r="AA200" i="3"/>
  <c r="Z200" i="3"/>
  <c r="E200" i="3"/>
  <c r="AC199" i="3"/>
  <c r="AB199" i="3"/>
  <c r="AA199" i="3"/>
  <c r="Z199" i="3"/>
  <c r="E199" i="3"/>
  <c r="AC198" i="3"/>
  <c r="AB198" i="3"/>
  <c r="AA198" i="3"/>
  <c r="Z198" i="3"/>
  <c r="E198" i="3"/>
  <c r="AC197" i="3"/>
  <c r="AB197" i="3"/>
  <c r="AA197" i="3"/>
  <c r="Z197" i="3"/>
  <c r="E197" i="3"/>
  <c r="AC196" i="3"/>
  <c r="AB196" i="3"/>
  <c r="AA196" i="3"/>
  <c r="Z196" i="3"/>
  <c r="E196" i="3"/>
  <c r="AC195" i="3"/>
  <c r="AB195" i="3"/>
  <c r="AA195" i="3"/>
  <c r="Z195" i="3"/>
  <c r="E195" i="3"/>
  <c r="AC194" i="3"/>
  <c r="AB194" i="3"/>
  <c r="AA194" i="3"/>
  <c r="Z194" i="3"/>
  <c r="E194" i="3"/>
  <c r="AC193" i="3"/>
  <c r="AB193" i="3"/>
  <c r="AA193" i="3"/>
  <c r="Z193" i="3"/>
  <c r="E193" i="3"/>
  <c r="AC192" i="3"/>
  <c r="AB192" i="3"/>
  <c r="AA192" i="3"/>
  <c r="Z192" i="3"/>
  <c r="E192" i="3"/>
  <c r="AC191" i="3"/>
  <c r="AB191" i="3"/>
  <c r="AA191" i="3"/>
  <c r="Z191" i="3"/>
  <c r="E191" i="3"/>
  <c r="AC190" i="3"/>
  <c r="AB190" i="3"/>
  <c r="AA190" i="3"/>
  <c r="Z190" i="3"/>
  <c r="E190" i="3"/>
  <c r="AC189" i="3"/>
  <c r="AB189" i="3"/>
  <c r="AA189" i="3"/>
  <c r="Z189" i="3"/>
  <c r="E189" i="3"/>
  <c r="AC188" i="3"/>
  <c r="AB188" i="3"/>
  <c r="AA188" i="3"/>
  <c r="Z188" i="3"/>
  <c r="E188" i="3"/>
  <c r="AC187" i="3"/>
  <c r="AB187" i="3"/>
  <c r="AA187" i="3"/>
  <c r="Z187" i="3"/>
  <c r="E187" i="3"/>
  <c r="AC186" i="3"/>
  <c r="AB186" i="3"/>
  <c r="AA186" i="3"/>
  <c r="Z186" i="3"/>
  <c r="E186" i="3"/>
  <c r="AC185" i="3"/>
  <c r="AB185" i="3"/>
  <c r="AA185" i="3"/>
  <c r="Z185" i="3"/>
  <c r="E185" i="3"/>
  <c r="AC184" i="3"/>
  <c r="AB184" i="3"/>
  <c r="AA184" i="3"/>
  <c r="Z184" i="3"/>
  <c r="E184" i="3"/>
  <c r="AC183" i="3"/>
  <c r="AB183" i="3"/>
  <c r="AA183" i="3"/>
  <c r="Z183" i="3"/>
  <c r="E183" i="3"/>
  <c r="AC182" i="3"/>
  <c r="AB182" i="3"/>
  <c r="AA182" i="3"/>
  <c r="Z182" i="3"/>
  <c r="E182" i="3"/>
  <c r="AC181" i="3"/>
  <c r="AB181" i="3"/>
  <c r="AA181" i="3"/>
  <c r="Z181" i="3"/>
  <c r="E181" i="3"/>
  <c r="AC180" i="3"/>
  <c r="AB180" i="3"/>
  <c r="AA180" i="3"/>
  <c r="Z180" i="3"/>
  <c r="E180" i="3"/>
  <c r="AC179" i="3"/>
  <c r="AB179" i="3"/>
  <c r="AA179" i="3"/>
  <c r="Z179" i="3"/>
  <c r="E179" i="3"/>
  <c r="AC178" i="3"/>
  <c r="AB178" i="3"/>
  <c r="AA178" i="3"/>
  <c r="Z178" i="3"/>
  <c r="E178" i="3"/>
  <c r="AC177" i="3"/>
  <c r="AB177" i="3"/>
  <c r="AA177" i="3"/>
  <c r="Z177" i="3"/>
  <c r="E177" i="3"/>
  <c r="AC176" i="3"/>
  <c r="AB176" i="3"/>
  <c r="AA176" i="3"/>
  <c r="Z176" i="3"/>
  <c r="E176" i="3"/>
  <c r="AC175" i="3"/>
  <c r="AB175" i="3"/>
  <c r="AA175" i="3"/>
  <c r="Z175" i="3"/>
  <c r="E175" i="3"/>
  <c r="AC174" i="3"/>
  <c r="AB174" i="3"/>
  <c r="AA174" i="3"/>
  <c r="Z174" i="3"/>
  <c r="E174" i="3"/>
  <c r="AC173" i="3"/>
  <c r="AB173" i="3"/>
  <c r="AA173" i="3"/>
  <c r="Z173" i="3"/>
  <c r="E173" i="3"/>
  <c r="AC172" i="3"/>
  <c r="AB172" i="3"/>
  <c r="AA172" i="3"/>
  <c r="Z172" i="3"/>
  <c r="E172" i="3"/>
  <c r="AC171" i="3"/>
  <c r="AB171" i="3"/>
  <c r="AA171" i="3"/>
  <c r="Z171" i="3"/>
  <c r="E171" i="3"/>
  <c r="AC170" i="3"/>
  <c r="AB170" i="3"/>
  <c r="AA170" i="3"/>
  <c r="Z170" i="3"/>
  <c r="E170" i="3"/>
  <c r="AC169" i="3"/>
  <c r="AB169" i="3"/>
  <c r="AA169" i="3"/>
  <c r="Z169" i="3"/>
  <c r="E169" i="3"/>
  <c r="AC168" i="3"/>
  <c r="AB168" i="3"/>
  <c r="AA168" i="3"/>
  <c r="Z168" i="3"/>
  <c r="E168" i="3"/>
  <c r="AC167" i="3"/>
  <c r="AB167" i="3"/>
  <c r="AA167" i="3"/>
  <c r="Z167" i="3"/>
  <c r="E167" i="3"/>
  <c r="AC161" i="3"/>
  <c r="AB161" i="3"/>
  <c r="AA161" i="3"/>
  <c r="Z161" i="3"/>
  <c r="E161" i="3"/>
  <c r="AC150" i="3"/>
  <c r="AB150" i="3"/>
  <c r="AA150" i="3"/>
  <c r="Z150" i="3"/>
  <c r="E150" i="3"/>
  <c r="AC149" i="3"/>
  <c r="AB149" i="3"/>
  <c r="AA149" i="3"/>
  <c r="Z149" i="3"/>
  <c r="E149" i="3"/>
  <c r="AC148" i="3"/>
  <c r="AB148" i="3"/>
  <c r="AA148" i="3"/>
  <c r="Z148" i="3"/>
  <c r="E148" i="3"/>
  <c r="AC147" i="3"/>
  <c r="AB147" i="3"/>
  <c r="AA147" i="3"/>
  <c r="Z147" i="3"/>
  <c r="E147" i="3"/>
  <c r="AC146" i="3"/>
  <c r="AB146" i="3"/>
  <c r="AA146" i="3"/>
  <c r="Z146" i="3"/>
  <c r="E146" i="3"/>
  <c r="AC145" i="3"/>
  <c r="AB145" i="3"/>
  <c r="AA145" i="3"/>
  <c r="Z145" i="3"/>
  <c r="E145" i="3"/>
  <c r="AC143" i="3"/>
  <c r="AB143" i="3"/>
  <c r="AA143" i="3"/>
  <c r="Z143" i="3"/>
  <c r="E143" i="3"/>
  <c r="AC142" i="3"/>
  <c r="AB142" i="3"/>
  <c r="AA142" i="3"/>
  <c r="Z142" i="3"/>
  <c r="E142" i="3"/>
  <c r="AC141" i="3"/>
  <c r="AB141" i="3"/>
  <c r="AA141" i="3"/>
  <c r="Z141" i="3"/>
  <c r="E141" i="3"/>
  <c r="AC140" i="3"/>
  <c r="AB140" i="3"/>
  <c r="AA140" i="3"/>
  <c r="Z140" i="3"/>
  <c r="E140" i="3"/>
  <c r="AC139" i="3"/>
  <c r="AB139" i="3"/>
  <c r="AA139" i="3"/>
  <c r="Z139" i="3"/>
  <c r="E139" i="3"/>
  <c r="AC138" i="3"/>
  <c r="AB138" i="3"/>
  <c r="AA138" i="3"/>
  <c r="Z138" i="3"/>
  <c r="E138" i="3"/>
  <c r="AC137" i="3"/>
  <c r="AB137" i="3"/>
  <c r="AA137" i="3"/>
  <c r="Z137" i="3"/>
  <c r="E137" i="3"/>
  <c r="AC135" i="3"/>
  <c r="AB135" i="3"/>
  <c r="AA135" i="3"/>
  <c r="Z135" i="3"/>
  <c r="E135" i="3"/>
  <c r="AC134" i="3"/>
  <c r="AB134" i="3"/>
  <c r="AA134" i="3"/>
  <c r="Z134" i="3"/>
  <c r="E134" i="3"/>
  <c r="AC132" i="3"/>
  <c r="AB132" i="3"/>
  <c r="AA132" i="3"/>
  <c r="Z132" i="3"/>
  <c r="E132" i="3"/>
  <c r="AC131" i="3"/>
  <c r="AB131" i="3"/>
  <c r="AA131" i="3"/>
  <c r="Z131" i="3"/>
  <c r="E131" i="3"/>
  <c r="AC129" i="3"/>
  <c r="AB129" i="3"/>
  <c r="AA129" i="3"/>
  <c r="Z129" i="3"/>
  <c r="E129" i="3"/>
  <c r="AC118" i="3"/>
  <c r="AB118" i="3"/>
  <c r="AA118" i="3"/>
  <c r="Z118" i="3"/>
  <c r="E118" i="3"/>
  <c r="AC115" i="3"/>
  <c r="AB115" i="3"/>
  <c r="AA115" i="3"/>
  <c r="Z115" i="3"/>
  <c r="E115" i="3"/>
  <c r="AC114" i="3"/>
  <c r="AB114" i="3"/>
  <c r="AA114" i="3"/>
  <c r="Z114" i="3"/>
  <c r="E114" i="3"/>
  <c r="AC113" i="3"/>
  <c r="AB113" i="3"/>
  <c r="AA113" i="3"/>
  <c r="Z113" i="3"/>
  <c r="E113" i="3"/>
  <c r="AC112" i="3"/>
  <c r="AB112" i="3"/>
  <c r="AA112" i="3"/>
  <c r="Z112" i="3"/>
  <c r="E112" i="3"/>
  <c r="AC109" i="3"/>
  <c r="AB109" i="3"/>
  <c r="AA109" i="3"/>
  <c r="Z109" i="3"/>
  <c r="E109" i="3"/>
  <c r="AC108" i="3"/>
  <c r="AB108" i="3"/>
  <c r="AA108" i="3"/>
  <c r="Z108" i="3"/>
  <c r="E108" i="3"/>
  <c r="AC107" i="3"/>
  <c r="AB107" i="3"/>
  <c r="AA107" i="3"/>
  <c r="Z107" i="3"/>
  <c r="E107" i="3"/>
  <c r="AC105" i="3"/>
  <c r="AB105" i="3"/>
  <c r="AA105" i="3"/>
  <c r="Z105" i="3"/>
  <c r="E105" i="3"/>
  <c r="AC104" i="3"/>
  <c r="AB104" i="3"/>
  <c r="AA104" i="3"/>
  <c r="Z104" i="3"/>
  <c r="E104" i="3"/>
  <c r="AC103" i="3"/>
  <c r="AB103" i="3"/>
  <c r="AA103" i="3"/>
  <c r="Z103" i="3"/>
  <c r="E103" i="3"/>
  <c r="AC102" i="3"/>
  <c r="AB102" i="3"/>
  <c r="AA102" i="3"/>
  <c r="Z102" i="3"/>
  <c r="E102" i="3"/>
  <c r="AC101" i="3"/>
  <c r="AB101" i="3"/>
  <c r="AA101" i="3"/>
  <c r="Z101" i="3"/>
  <c r="E101" i="3"/>
  <c r="AC100" i="3"/>
  <c r="AB100" i="3"/>
  <c r="AA100" i="3"/>
  <c r="Z100" i="3"/>
  <c r="E100" i="3"/>
  <c r="AC99" i="3"/>
  <c r="AB99" i="3"/>
  <c r="AA99" i="3"/>
  <c r="Z99" i="3"/>
  <c r="E99" i="3"/>
  <c r="AC98" i="3"/>
  <c r="AB98" i="3"/>
  <c r="AA98" i="3"/>
  <c r="Z98" i="3"/>
  <c r="E98" i="3"/>
  <c r="AC96" i="3"/>
  <c r="AB96" i="3"/>
  <c r="AA96" i="3"/>
  <c r="Z96" i="3"/>
  <c r="E96" i="3"/>
  <c r="AC95" i="3"/>
  <c r="AB95" i="3"/>
  <c r="AA95" i="3"/>
  <c r="Z95" i="3"/>
  <c r="E95" i="3"/>
  <c r="AC94" i="3"/>
  <c r="AB94" i="3"/>
  <c r="AA94" i="3"/>
  <c r="Z94" i="3"/>
  <c r="E94" i="3"/>
  <c r="AC93" i="3"/>
  <c r="AB93" i="3"/>
  <c r="AA93" i="3"/>
  <c r="Z93" i="3"/>
  <c r="E93" i="3"/>
  <c r="AC92" i="3"/>
  <c r="AB92" i="3"/>
  <c r="AA92" i="3"/>
  <c r="Z92" i="3"/>
  <c r="E92" i="3"/>
  <c r="AC91" i="3"/>
  <c r="AB91" i="3"/>
  <c r="AA91" i="3"/>
  <c r="Z91" i="3"/>
  <c r="E91" i="3"/>
  <c r="AC90" i="3"/>
  <c r="AB90" i="3"/>
  <c r="AA90" i="3"/>
  <c r="Z90" i="3"/>
  <c r="E90" i="3"/>
  <c r="AC89" i="3"/>
  <c r="AB89" i="3"/>
  <c r="AA89" i="3"/>
  <c r="Z89" i="3"/>
  <c r="E89" i="3"/>
  <c r="AC65" i="3"/>
  <c r="AB65" i="3"/>
  <c r="AA65" i="3"/>
  <c r="Z65" i="3"/>
  <c r="E65" i="3"/>
  <c r="AC64" i="3"/>
  <c r="AB64" i="3"/>
  <c r="AA64" i="3"/>
  <c r="Z64" i="3"/>
  <c r="E64" i="3"/>
  <c r="AC63" i="3"/>
  <c r="AB63" i="3"/>
  <c r="AA63" i="3"/>
  <c r="Z63" i="3"/>
  <c r="E63" i="3"/>
  <c r="AC62" i="3"/>
  <c r="AB62" i="3"/>
  <c r="AA62" i="3"/>
  <c r="Z62" i="3"/>
  <c r="E62" i="3"/>
  <c r="AC61" i="3"/>
  <c r="AB61" i="3"/>
  <c r="AA61" i="3"/>
  <c r="Z61" i="3"/>
  <c r="E61" i="3"/>
  <c r="AC60" i="3"/>
  <c r="AB60" i="3"/>
  <c r="AA60" i="3"/>
  <c r="Z60" i="3"/>
  <c r="E60" i="3"/>
  <c r="AC59" i="3"/>
  <c r="AB59" i="3"/>
  <c r="AA59" i="3"/>
  <c r="Z59" i="3"/>
  <c r="E59" i="3"/>
  <c r="AC58" i="3"/>
  <c r="AB58" i="3"/>
  <c r="AA58" i="3"/>
  <c r="Z58" i="3"/>
  <c r="E58" i="3"/>
  <c r="AC57" i="3"/>
  <c r="AB57" i="3"/>
  <c r="AA57" i="3"/>
  <c r="Z57" i="3"/>
  <c r="E57" i="3"/>
  <c r="AC56" i="3"/>
  <c r="AB56" i="3"/>
  <c r="AA56" i="3"/>
  <c r="Z56" i="3"/>
  <c r="E56" i="3"/>
  <c r="AC54" i="3"/>
  <c r="AB54" i="3"/>
  <c r="AA54" i="3"/>
  <c r="Z54" i="3"/>
  <c r="E54" i="3"/>
  <c r="AC53" i="3"/>
  <c r="AB53" i="3"/>
  <c r="AA53" i="3"/>
  <c r="Z53" i="3"/>
  <c r="E53" i="3"/>
  <c r="AC52" i="3"/>
  <c r="AB52" i="3"/>
  <c r="AA52" i="3"/>
  <c r="Z52" i="3"/>
  <c r="E52" i="3"/>
  <c r="AC50" i="3"/>
  <c r="AB50" i="3"/>
  <c r="AA50" i="3"/>
  <c r="Z50" i="3"/>
  <c r="E50" i="3"/>
  <c r="AC49" i="3"/>
  <c r="AB49" i="3"/>
  <c r="AA49" i="3"/>
  <c r="Z49" i="3"/>
  <c r="E49" i="3"/>
  <c r="AC48" i="3"/>
  <c r="AB48" i="3"/>
  <c r="AA48" i="3"/>
  <c r="Z48" i="3"/>
  <c r="E48" i="3"/>
  <c r="AC47" i="3"/>
  <c r="AB47" i="3"/>
  <c r="AA47" i="3"/>
  <c r="Z47" i="3"/>
  <c r="E47" i="3"/>
  <c r="AC46" i="3"/>
  <c r="AB46" i="3"/>
  <c r="AA46" i="3"/>
  <c r="Z46" i="3"/>
  <c r="E46" i="3"/>
  <c r="AC45" i="3"/>
  <c r="AB45" i="3"/>
  <c r="AA45" i="3"/>
  <c r="Z45" i="3"/>
  <c r="E45" i="3"/>
  <c r="AC44" i="3"/>
  <c r="AB44" i="3"/>
  <c r="AA44" i="3"/>
  <c r="Z44" i="3"/>
  <c r="E44" i="3"/>
  <c r="AC29" i="3"/>
  <c r="AB29" i="3"/>
  <c r="AA29" i="3"/>
  <c r="Z29" i="3"/>
  <c r="E29" i="3"/>
  <c r="AC33" i="3"/>
  <c r="AB33" i="3"/>
  <c r="AA33" i="3"/>
  <c r="Z33" i="3"/>
  <c r="E33" i="3"/>
  <c r="AC43" i="3"/>
  <c r="AB43" i="3"/>
  <c r="AA43" i="3"/>
  <c r="Z43" i="3"/>
  <c r="E43" i="3"/>
  <c r="AC34" i="3"/>
  <c r="AB34" i="3"/>
  <c r="AA34" i="3"/>
  <c r="Z34" i="3"/>
  <c r="E34" i="3"/>
  <c r="AC42" i="3"/>
  <c r="AB42" i="3"/>
  <c r="AA42" i="3"/>
  <c r="Z42" i="3"/>
  <c r="E42" i="3"/>
  <c r="AC36" i="3"/>
  <c r="AB36" i="3"/>
  <c r="AA36" i="3"/>
  <c r="Z36" i="3"/>
  <c r="E36" i="3"/>
  <c r="AC37" i="3"/>
  <c r="AB37" i="3"/>
  <c r="AA37" i="3"/>
  <c r="Z37" i="3"/>
  <c r="E37" i="3"/>
  <c r="AC41" i="3"/>
  <c r="AB41" i="3"/>
  <c r="AA41" i="3"/>
  <c r="Z41" i="3"/>
  <c r="E41" i="3"/>
  <c r="AC35" i="3"/>
  <c r="AB35" i="3"/>
  <c r="AA35" i="3"/>
  <c r="Z35" i="3"/>
  <c r="E35" i="3"/>
  <c r="AC27" i="3"/>
  <c r="AB27" i="3"/>
  <c r="AA27" i="3"/>
  <c r="Z27" i="3"/>
  <c r="E27" i="3"/>
  <c r="AC26" i="3"/>
  <c r="AB26" i="3"/>
  <c r="AA26" i="3"/>
  <c r="Z26" i="3"/>
  <c r="E26" i="3"/>
  <c r="AC25" i="3"/>
  <c r="AB25" i="3"/>
  <c r="AA25" i="3"/>
  <c r="Z25" i="3"/>
  <c r="E25" i="3"/>
  <c r="AC24" i="3"/>
  <c r="AB24" i="3"/>
  <c r="AA24" i="3"/>
  <c r="Z24" i="3"/>
  <c r="E24" i="3"/>
  <c r="AC23" i="3"/>
  <c r="AB23" i="3"/>
  <c r="AA23" i="3"/>
  <c r="Z23" i="3"/>
  <c r="E23" i="3"/>
  <c r="AC22" i="3"/>
  <c r="AB22" i="3"/>
  <c r="AA22" i="3"/>
  <c r="Z22" i="3"/>
  <c r="E22" i="3"/>
  <c r="AC21" i="3"/>
  <c r="AB21" i="3"/>
  <c r="AA21" i="3"/>
  <c r="Z21" i="3"/>
  <c r="E21" i="3"/>
  <c r="AC20" i="3"/>
  <c r="AB20" i="3"/>
  <c r="AA20" i="3"/>
  <c r="Z20" i="3"/>
  <c r="E20" i="3"/>
  <c r="AC19" i="3"/>
  <c r="AB19" i="3"/>
  <c r="AA19" i="3"/>
  <c r="Z19" i="3"/>
  <c r="E19" i="3"/>
  <c r="AC18" i="3"/>
  <c r="AB18" i="3"/>
  <c r="AA18" i="3"/>
  <c r="Z18" i="3"/>
  <c r="E18" i="3"/>
  <c r="AC17" i="3"/>
  <c r="AB17" i="3"/>
  <c r="AA17" i="3"/>
  <c r="Z17" i="3"/>
  <c r="E17" i="3"/>
  <c r="AC16" i="3"/>
  <c r="AB16" i="3"/>
  <c r="AA16" i="3"/>
  <c r="Z16" i="3"/>
  <c r="E16" i="3"/>
  <c r="AC15" i="3"/>
  <c r="AB15" i="3"/>
  <c r="AA15" i="3"/>
  <c r="Z15" i="3"/>
  <c r="AC14" i="3"/>
  <c r="AB14" i="3"/>
  <c r="AA14" i="3"/>
  <c r="Z14" i="3"/>
  <c r="E14" i="3"/>
  <c r="AC13" i="3"/>
  <c r="AB13" i="3"/>
  <c r="AA13" i="3"/>
  <c r="Z13" i="3"/>
  <c r="E13" i="3"/>
  <c r="AC12" i="3"/>
  <c r="AB12" i="3"/>
  <c r="AA12" i="3"/>
  <c r="Z12" i="3"/>
  <c r="E12" i="3"/>
  <c r="AC11" i="3"/>
  <c r="AB11" i="3"/>
  <c r="AA11" i="3"/>
  <c r="Z11" i="3"/>
  <c r="E11" i="3"/>
  <c r="AC10" i="3"/>
  <c r="AB10" i="3"/>
  <c r="AA10" i="3"/>
  <c r="Z10" i="3"/>
  <c r="E10" i="3"/>
  <c r="AC9" i="3"/>
  <c r="AB9" i="3"/>
  <c r="AA9" i="3"/>
  <c r="Z9" i="3"/>
  <c r="E9" i="3"/>
  <c r="AC8" i="3"/>
  <c r="AB8" i="3"/>
  <c r="AA8" i="3"/>
  <c r="Z8" i="3"/>
  <c r="E8" i="3"/>
  <c r="AC7" i="3"/>
  <c r="AB7" i="3"/>
  <c r="AA7" i="3"/>
  <c r="Z7" i="3"/>
  <c r="E7" i="3"/>
  <c r="AC6" i="3"/>
  <c r="AB6" i="3"/>
  <c r="AA6" i="3"/>
  <c r="Z6" i="3"/>
  <c r="E6" i="3"/>
  <c r="AC5" i="3"/>
  <c r="AB5" i="3"/>
  <c r="AA5" i="3"/>
  <c r="Z5" i="3"/>
  <c r="E5" i="3"/>
  <c r="AC4" i="3"/>
  <c r="AB4" i="3"/>
  <c r="AA4" i="3"/>
  <c r="Z4" i="3"/>
  <c r="E4" i="3"/>
  <c r="AC3" i="3"/>
  <c r="AB3" i="3"/>
  <c r="AA3" i="3"/>
  <c r="Z3" i="3"/>
  <c r="E3" i="3"/>
  <c r="F14" i="2"/>
  <c r="AD79" i="3" l="1"/>
  <c r="AF79" i="3" s="1"/>
  <c r="AE156" i="3"/>
  <c r="AG156" i="3" s="1"/>
  <c r="AD156" i="3"/>
  <c r="AF156" i="3" s="1"/>
  <c r="AE154" i="3"/>
  <c r="AG154" i="3" s="1"/>
  <c r="AE157" i="3"/>
  <c r="AG157" i="3" s="1"/>
  <c r="AD160" i="3"/>
  <c r="AF160" i="3" s="1"/>
  <c r="AD151" i="3"/>
  <c r="AF151" i="3" s="1"/>
  <c r="AE159" i="3"/>
  <c r="AG159" i="3" s="1"/>
  <c r="AD159" i="3"/>
  <c r="AF159" i="3" s="1"/>
  <c r="AD158" i="3"/>
  <c r="AF158" i="3" s="1"/>
  <c r="AD153" i="3"/>
  <c r="AF153" i="3" s="1"/>
  <c r="AD155" i="3"/>
  <c r="AF155" i="3" s="1"/>
  <c r="AD157" i="3"/>
  <c r="AF157" i="3" s="1"/>
  <c r="AE151" i="3"/>
  <c r="AG151" i="3" s="1"/>
  <c r="AD154" i="3"/>
  <c r="AF154" i="3" s="1"/>
  <c r="AE79" i="3"/>
  <c r="AE160" i="3"/>
  <c r="AG160" i="3" s="1"/>
  <c r="AD152" i="3"/>
  <c r="AF152" i="3" s="1"/>
  <c r="AE158" i="3"/>
  <c r="AG158" i="3" s="1"/>
  <c r="AE133" i="3"/>
  <c r="AE152" i="3"/>
  <c r="AG152" i="3" s="1"/>
  <c r="AD136" i="3"/>
  <c r="AF136" i="3" s="1"/>
  <c r="AE155" i="3"/>
  <c r="AG155" i="3" s="1"/>
  <c r="AE153" i="3"/>
  <c r="AG153" i="3" s="1"/>
  <c r="AE130" i="3"/>
  <c r="AG130" i="3" s="1"/>
  <c r="AE144" i="3"/>
  <c r="AG144" i="3" s="1"/>
  <c r="AD144" i="3"/>
  <c r="AF144" i="3" s="1"/>
  <c r="AE136" i="3"/>
  <c r="AG136" i="3" s="1"/>
  <c r="AD133" i="3"/>
  <c r="AF133" i="3" s="1"/>
  <c r="AD130" i="3"/>
  <c r="AF130" i="3" s="1"/>
  <c r="AE97" i="3"/>
  <c r="AG97" i="3" s="1"/>
  <c r="AE128" i="3"/>
  <c r="AD128" i="3"/>
  <c r="AF128" i="3" s="1"/>
  <c r="AE123" i="3"/>
  <c r="AG123" i="3" s="1"/>
  <c r="AE124" i="3"/>
  <c r="AG124" i="3" s="1"/>
  <c r="AE121" i="3"/>
  <c r="AG121" i="3" s="1"/>
  <c r="AE126" i="3"/>
  <c r="AE111" i="3"/>
  <c r="AG111" i="3" s="1"/>
  <c r="AE120" i="3"/>
  <c r="AG120" i="3" s="1"/>
  <c r="AE125" i="3"/>
  <c r="AG125" i="3" s="1"/>
  <c r="AE122" i="3"/>
  <c r="AG122" i="3" s="1"/>
  <c r="AE119" i="3"/>
  <c r="AG119" i="3" s="1"/>
  <c r="AE127" i="3"/>
  <c r="AD127" i="3"/>
  <c r="AD126" i="3"/>
  <c r="AF126" i="3" s="1"/>
  <c r="AD125" i="3"/>
  <c r="AF125" i="3" s="1"/>
  <c r="AD124" i="3"/>
  <c r="AF124" i="3" s="1"/>
  <c r="AD123" i="3"/>
  <c r="AF123" i="3" s="1"/>
  <c r="AD122" i="3"/>
  <c r="AF122" i="3" s="1"/>
  <c r="AD121" i="3"/>
  <c r="AF121" i="3" s="1"/>
  <c r="AD120" i="3"/>
  <c r="AF120" i="3" s="1"/>
  <c r="AD119" i="3"/>
  <c r="AF119" i="3" s="1"/>
  <c r="AD106" i="3"/>
  <c r="AE116" i="3"/>
  <c r="AG116" i="3" s="1"/>
  <c r="AE110" i="3"/>
  <c r="AG110" i="3" s="1"/>
  <c r="AE117" i="3"/>
  <c r="AD116" i="3"/>
  <c r="AF116" i="3" s="1"/>
  <c r="AD117" i="3"/>
  <c r="AF117" i="3" s="1"/>
  <c r="AD111" i="3"/>
  <c r="AD110" i="3"/>
  <c r="AF110" i="3" s="1"/>
  <c r="AE106" i="3"/>
  <c r="AG106" i="3" s="1"/>
  <c r="AD97" i="3"/>
  <c r="AF97" i="3" s="1"/>
  <c r="AD81" i="3"/>
  <c r="AE87" i="3"/>
  <c r="AG87" i="3" s="1"/>
  <c r="AE69" i="3"/>
  <c r="AE40" i="3"/>
  <c r="AD40" i="3"/>
  <c r="AE83" i="3"/>
  <c r="AD76" i="3"/>
  <c r="AE73" i="3"/>
  <c r="AE78" i="3"/>
  <c r="AE88" i="3"/>
  <c r="AG88" i="3" s="1"/>
  <c r="AD88" i="3"/>
  <c r="AE72" i="3"/>
  <c r="AE81" i="3"/>
  <c r="AD87" i="3"/>
  <c r="AE86" i="3"/>
  <c r="AG86" i="3" s="1"/>
  <c r="AD86" i="3"/>
  <c r="AE85" i="3"/>
  <c r="AG85" i="3" s="1"/>
  <c r="AD85" i="3"/>
  <c r="AE74" i="3"/>
  <c r="AD69" i="3"/>
  <c r="AD72" i="3"/>
  <c r="AD71" i="3"/>
  <c r="AE76" i="3"/>
  <c r="AD80" i="3"/>
  <c r="AE75" i="3"/>
  <c r="AD73" i="3"/>
  <c r="AE70" i="3"/>
  <c r="AE77" i="3"/>
  <c r="AE82" i="3"/>
  <c r="AD77" i="3"/>
  <c r="AE84" i="3"/>
  <c r="AD84" i="3"/>
  <c r="AD83" i="3"/>
  <c r="AD82" i="3"/>
  <c r="AE80" i="3"/>
  <c r="AD78" i="3"/>
  <c r="AD75" i="3"/>
  <c r="AE71" i="3"/>
  <c r="AD70" i="3"/>
  <c r="AD74" i="3"/>
  <c r="AD31" i="3"/>
  <c r="AD68" i="3"/>
  <c r="AE68" i="3"/>
  <c r="AE38" i="3"/>
  <c r="AE31" i="3"/>
  <c r="AE180" i="3"/>
  <c r="AG180" i="3" s="1"/>
  <c r="AD204" i="3"/>
  <c r="AF204" i="3" s="1"/>
  <c r="AE221" i="3"/>
  <c r="AG221" i="3" s="1"/>
  <c r="AE257" i="3"/>
  <c r="AG257" i="3" s="1"/>
  <c r="AE305" i="3"/>
  <c r="AG305" i="3" s="1"/>
  <c r="AE252" i="3"/>
  <c r="AG252" i="3" s="1"/>
  <c r="AE300" i="3"/>
  <c r="AG300" i="3" s="1"/>
  <c r="AE324" i="3"/>
  <c r="AG324" i="3" s="1"/>
  <c r="AE28" i="3"/>
  <c r="AE67" i="3"/>
  <c r="AD67" i="3"/>
  <c r="AD38" i="3"/>
  <c r="AD12" i="3"/>
  <c r="AE66" i="3"/>
  <c r="AD66" i="3"/>
  <c r="AD28" i="3"/>
  <c r="AD275" i="3"/>
  <c r="AF275" i="3" s="1"/>
  <c r="AD311" i="3"/>
  <c r="AF311" i="3" s="1"/>
  <c r="AE228" i="3"/>
  <c r="AG228" i="3" s="1"/>
  <c r="AE55" i="3"/>
  <c r="AD55" i="3"/>
  <c r="AD131" i="3"/>
  <c r="AF131" i="3" s="1"/>
  <c r="AE143" i="3"/>
  <c r="AG143" i="3" s="1"/>
  <c r="AE39" i="3"/>
  <c r="AE339" i="3"/>
  <c r="AG339" i="3" s="1"/>
  <c r="AE244" i="3"/>
  <c r="AG244" i="3" s="1"/>
  <c r="AD340" i="3"/>
  <c r="AF340" i="3" s="1"/>
  <c r="AD39" i="3"/>
  <c r="AE237" i="3"/>
  <c r="AG237" i="3" s="1"/>
  <c r="AE273" i="3"/>
  <c r="AG273" i="3" s="1"/>
  <c r="AE321" i="3"/>
  <c r="AG321" i="3" s="1"/>
  <c r="AE345" i="3"/>
  <c r="AG345" i="3" s="1"/>
  <c r="AE21" i="3"/>
  <c r="AD34" i="3"/>
  <c r="AD206" i="3"/>
  <c r="AF206" i="3" s="1"/>
  <c r="AD218" i="3"/>
  <c r="AF218" i="3" s="1"/>
  <c r="AE254" i="3"/>
  <c r="AG254" i="3" s="1"/>
  <c r="AE350" i="3"/>
  <c r="AG350" i="3" s="1"/>
  <c r="AD187" i="3"/>
  <c r="AF187" i="3" s="1"/>
  <c r="AE199" i="3"/>
  <c r="AG199" i="3" s="1"/>
  <c r="AD295" i="3"/>
  <c r="AF295" i="3" s="1"/>
  <c r="AE30" i="3"/>
  <c r="AD104" i="3"/>
  <c r="AD51" i="3"/>
  <c r="AE96" i="3"/>
  <c r="AG96" i="3" s="1"/>
  <c r="AD141" i="3"/>
  <c r="AF141" i="3" s="1"/>
  <c r="AD30" i="3"/>
  <c r="AD113" i="3"/>
  <c r="AF113" i="3" s="1"/>
  <c r="AE102" i="3"/>
  <c r="AG102" i="3" s="1"/>
  <c r="AD114" i="3"/>
  <c r="AD107" i="3"/>
  <c r="AD327" i="3"/>
  <c r="AF327" i="3" s="1"/>
  <c r="AD337" i="3"/>
  <c r="AF337" i="3" s="1"/>
  <c r="AE196" i="3"/>
  <c r="AG196" i="3" s="1"/>
  <c r="AE6" i="3"/>
  <c r="AD18" i="3"/>
  <c r="AD37" i="3"/>
  <c r="AD112" i="3"/>
  <c r="AF112" i="3" s="1"/>
  <c r="AD224" i="3"/>
  <c r="AF224" i="3" s="1"/>
  <c r="AE32" i="3"/>
  <c r="AD320" i="3"/>
  <c r="AF320" i="3" s="1"/>
  <c r="AE177" i="3"/>
  <c r="AG177" i="3" s="1"/>
  <c r="AE191" i="3"/>
  <c r="AG191" i="3" s="1"/>
  <c r="AD349" i="3"/>
  <c r="AF349" i="3" s="1"/>
  <c r="AD192" i="3"/>
  <c r="AF192" i="3" s="1"/>
  <c r="AE213" i="3"/>
  <c r="AG213" i="3" s="1"/>
  <c r="AE311" i="3"/>
  <c r="AG311" i="3" s="1"/>
  <c r="AE288" i="3"/>
  <c r="AG288" i="3" s="1"/>
  <c r="AD307" i="3"/>
  <c r="AF307" i="3" s="1"/>
  <c r="AD202" i="3"/>
  <c r="AF202" i="3" s="1"/>
  <c r="AE204" i="3"/>
  <c r="AG204" i="3" s="1"/>
  <c r="AD226" i="3"/>
  <c r="AF226" i="3" s="1"/>
  <c r="AE262" i="3"/>
  <c r="AG262" i="3" s="1"/>
  <c r="AD32" i="3"/>
  <c r="AE24" i="3"/>
  <c r="AD207" i="3"/>
  <c r="AF207" i="3" s="1"/>
  <c r="AE219" i="3"/>
  <c r="AG219" i="3" s="1"/>
  <c r="AE276" i="3"/>
  <c r="AG276" i="3" s="1"/>
  <c r="AE291" i="3"/>
  <c r="AG291" i="3" s="1"/>
  <c r="AD305" i="3"/>
  <c r="AF305" i="3" s="1"/>
  <c r="AD324" i="3"/>
  <c r="AF324" i="3" s="1"/>
  <c r="AE334" i="3"/>
  <c r="AG334" i="3" s="1"/>
  <c r="AD352" i="3"/>
  <c r="AF352" i="3" s="1"/>
  <c r="AE355" i="3"/>
  <c r="AG355" i="3" s="1"/>
  <c r="AE260" i="3"/>
  <c r="AG260" i="3" s="1"/>
  <c r="AE337" i="3"/>
  <c r="AG337" i="3" s="1"/>
  <c r="AE104" i="3"/>
  <c r="AG104" i="3" s="1"/>
  <c r="AE168" i="3"/>
  <c r="AG168" i="3" s="1"/>
  <c r="AE134" i="3"/>
  <c r="AG134" i="3" s="1"/>
  <c r="AE93" i="3"/>
  <c r="AG93" i="3" s="1"/>
  <c r="AE212" i="3"/>
  <c r="AG212" i="3" s="1"/>
  <c r="AE284" i="3"/>
  <c r="AG284" i="3" s="1"/>
  <c r="AD303" i="3"/>
  <c r="AF303" i="3" s="1"/>
  <c r="AD315" i="3"/>
  <c r="AF315" i="3" s="1"/>
  <c r="AE327" i="3"/>
  <c r="AG327" i="3" s="1"/>
  <c r="AE318" i="3"/>
  <c r="AG318" i="3" s="1"/>
  <c r="AE330" i="3"/>
  <c r="AG330" i="3" s="1"/>
  <c r="AD58" i="3"/>
  <c r="AE63" i="3"/>
  <c r="AE37" i="3"/>
  <c r="AE8" i="3"/>
  <c r="AE101" i="3"/>
  <c r="AG101" i="3" s="1"/>
  <c r="AD149" i="3"/>
  <c r="AF149" i="3" s="1"/>
  <c r="AD231" i="3"/>
  <c r="AF231" i="3" s="1"/>
  <c r="AE241" i="3"/>
  <c r="AG241" i="3" s="1"/>
  <c r="AE289" i="3"/>
  <c r="AG289" i="3" s="1"/>
  <c r="AD301" i="3"/>
  <c r="AF301" i="3" s="1"/>
  <c r="AD339" i="3"/>
  <c r="AF339" i="3" s="1"/>
  <c r="AE353" i="3"/>
  <c r="AG353" i="3" s="1"/>
  <c r="AE51" i="3"/>
  <c r="AE20" i="3"/>
  <c r="AD41" i="3"/>
  <c r="AD45" i="3"/>
  <c r="AD63" i="3"/>
  <c r="AD95" i="3"/>
  <c r="AF95" i="3" s="1"/>
  <c r="AE105" i="3"/>
  <c r="AG105" i="3" s="1"/>
  <c r="AD134" i="3"/>
  <c r="AF134" i="3" s="1"/>
  <c r="AE139" i="3"/>
  <c r="AG139" i="3" s="1"/>
  <c r="AE171" i="3"/>
  <c r="AG171" i="3" s="1"/>
  <c r="AD180" i="3"/>
  <c r="AF180" i="3" s="1"/>
  <c r="AD196" i="3"/>
  <c r="AF196" i="3" s="1"/>
  <c r="AE234" i="3"/>
  <c r="AG234" i="3" s="1"/>
  <c r="AE268" i="3"/>
  <c r="AG268" i="3" s="1"/>
  <c r="AE270" i="3"/>
  <c r="AG270" i="3" s="1"/>
  <c r="AE292" i="3"/>
  <c r="AG292" i="3" s="1"/>
  <c r="AE342" i="3"/>
  <c r="AG342" i="3" s="1"/>
  <c r="AE238" i="3"/>
  <c r="AG238" i="3" s="1"/>
  <c r="AE231" i="3"/>
  <c r="AG231" i="3" s="1"/>
  <c r="AE247" i="3"/>
  <c r="AG247" i="3" s="1"/>
  <c r="AE320" i="3"/>
  <c r="AG320" i="3" s="1"/>
  <c r="AD6" i="3"/>
  <c r="AD24" i="3"/>
  <c r="AE34" i="3"/>
  <c r="AE29" i="3"/>
  <c r="AE89" i="3"/>
  <c r="AG89" i="3" s="1"/>
  <c r="AD93" i="3"/>
  <c r="AF93" i="3" s="1"/>
  <c r="AD101" i="3"/>
  <c r="AD147" i="3"/>
  <c r="AF147" i="3" s="1"/>
  <c r="AD176" i="3"/>
  <c r="AF176" i="3" s="1"/>
  <c r="AE185" i="3"/>
  <c r="AG185" i="3" s="1"/>
  <c r="AE250" i="3"/>
  <c r="AG250" i="3" s="1"/>
  <c r="AD252" i="3"/>
  <c r="AF252" i="3" s="1"/>
  <c r="AD266" i="3"/>
  <c r="AF266" i="3" s="1"/>
  <c r="AD284" i="3"/>
  <c r="AF284" i="3" s="1"/>
  <c r="AE286" i="3"/>
  <c r="AG286" i="3" s="1"/>
  <c r="AE301" i="3"/>
  <c r="AG301" i="3" s="1"/>
  <c r="AD317" i="3"/>
  <c r="AF317" i="3" s="1"/>
  <c r="AD323" i="3"/>
  <c r="AF323" i="3" s="1"/>
  <c r="AD353" i="3"/>
  <c r="AF353" i="3" s="1"/>
  <c r="AD355" i="3"/>
  <c r="AF355" i="3" s="1"/>
  <c r="AD182" i="3"/>
  <c r="AF182" i="3" s="1"/>
  <c r="AD220" i="3"/>
  <c r="AF220" i="3" s="1"/>
  <c r="AE112" i="3"/>
  <c r="AG112" i="3" s="1"/>
  <c r="AD223" i="3"/>
  <c r="AF223" i="3" s="1"/>
  <c r="AE295" i="3"/>
  <c r="AG295" i="3" s="1"/>
  <c r="AE347" i="3"/>
  <c r="AG347" i="3" s="1"/>
  <c r="AE9" i="3"/>
  <c r="AE54" i="3"/>
  <c r="AE114" i="3"/>
  <c r="AG114" i="3" s="1"/>
  <c r="AD139" i="3"/>
  <c r="AF139" i="3" s="1"/>
  <c r="AE141" i="3"/>
  <c r="AG141" i="3" s="1"/>
  <c r="AE169" i="3"/>
  <c r="AG169" i="3" s="1"/>
  <c r="AD172" i="3"/>
  <c r="AF172" i="3" s="1"/>
  <c r="AE183" i="3"/>
  <c r="AG183" i="3" s="1"/>
  <c r="AD190" i="3"/>
  <c r="AF190" i="3" s="1"/>
  <c r="AD251" i="3"/>
  <c r="AF251" i="3" s="1"/>
  <c r="AD255" i="3"/>
  <c r="AF255" i="3" s="1"/>
  <c r="AE259" i="3"/>
  <c r="AG259" i="3" s="1"/>
  <c r="AD273" i="3"/>
  <c r="AF273" i="3" s="1"/>
  <c r="AD278" i="3"/>
  <c r="AF278" i="3" s="1"/>
  <c r="AE340" i="3"/>
  <c r="AG340" i="3" s="1"/>
  <c r="AE5" i="3"/>
  <c r="AE12" i="3"/>
  <c r="AE18" i="3"/>
  <c r="AD29" i="3"/>
  <c r="AE48" i="3"/>
  <c r="AD102" i="3"/>
  <c r="AD199" i="3"/>
  <c r="AF199" i="3" s="1"/>
  <c r="AE206" i="3"/>
  <c r="AG206" i="3" s="1"/>
  <c r="AD257" i="3"/>
  <c r="AF257" i="3" s="1"/>
  <c r="AD271" i="3"/>
  <c r="AF271" i="3" s="1"/>
  <c r="AE317" i="3"/>
  <c r="AG317" i="3" s="1"/>
  <c r="AD321" i="3"/>
  <c r="AF321" i="3" s="1"/>
  <c r="AE323" i="3"/>
  <c r="AG323" i="3" s="1"/>
  <c r="AD143" i="3"/>
  <c r="AF143" i="3" s="1"/>
  <c r="AD212" i="3"/>
  <c r="AF212" i="3" s="1"/>
  <c r="AE14" i="3"/>
  <c r="AD21" i="3"/>
  <c r="AD42" i="3"/>
  <c r="AD92" i="3"/>
  <c r="AF92" i="3" s="1"/>
  <c r="AD96" i="3"/>
  <c r="AF96" i="3" s="1"/>
  <c r="AE113" i="3"/>
  <c r="AG113" i="3" s="1"/>
  <c r="AD174" i="3"/>
  <c r="AF174" i="3" s="1"/>
  <c r="AE188" i="3"/>
  <c r="AG188" i="3" s="1"/>
  <c r="AD191" i="3"/>
  <c r="AF191" i="3" s="1"/>
  <c r="AD210" i="3"/>
  <c r="AF210" i="3" s="1"/>
  <c r="AD228" i="3"/>
  <c r="AF228" i="3" s="1"/>
  <c r="AE249" i="3"/>
  <c r="AG249" i="3" s="1"/>
  <c r="AD267" i="3"/>
  <c r="AF267" i="3" s="1"/>
  <c r="AD289" i="3"/>
  <c r="AF289" i="3" s="1"/>
  <c r="AD291" i="3"/>
  <c r="AF291" i="3" s="1"/>
  <c r="AD300" i="3"/>
  <c r="AF300" i="3" s="1"/>
  <c r="AE302" i="3"/>
  <c r="AG302" i="3" s="1"/>
  <c r="AD313" i="3"/>
  <c r="AF313" i="3" s="1"/>
  <c r="AE315" i="3"/>
  <c r="AG315" i="3" s="1"/>
  <c r="AD345" i="3"/>
  <c r="AF345" i="3" s="1"/>
  <c r="AD241" i="3"/>
  <c r="AF241" i="3" s="1"/>
  <c r="AE137" i="3"/>
  <c r="AG137" i="3" s="1"/>
  <c r="AD150" i="3"/>
  <c r="AF150" i="3" s="1"/>
  <c r="AE207" i="3"/>
  <c r="AG207" i="3" s="1"/>
  <c r="AD140" i="3"/>
  <c r="AF140" i="3" s="1"/>
  <c r="AD244" i="3"/>
  <c r="AF244" i="3" s="1"/>
  <c r="AD294" i="3"/>
  <c r="AF294" i="3" s="1"/>
  <c r="AD288" i="3"/>
  <c r="AF288" i="3" s="1"/>
  <c r="AD332" i="3"/>
  <c r="AF332" i="3" s="1"/>
  <c r="AD17" i="3"/>
  <c r="AE26" i="3"/>
  <c r="AD138" i="3"/>
  <c r="AF138" i="3" s="1"/>
  <c r="AE149" i="3"/>
  <c r="AG149" i="3" s="1"/>
  <c r="AE161" i="3"/>
  <c r="AG161" i="3" s="1"/>
  <c r="AE172" i="3"/>
  <c r="AG172" i="3" s="1"/>
  <c r="AE179" i="3"/>
  <c r="AG179" i="3" s="1"/>
  <c r="AE193" i="3"/>
  <c r="AG193" i="3" s="1"/>
  <c r="AE278" i="3"/>
  <c r="AG278" i="3" s="1"/>
  <c r="AE303" i="3"/>
  <c r="AG303" i="3" s="1"/>
  <c r="AD9" i="3"/>
  <c r="AE92" i="3"/>
  <c r="AG92" i="3" s="1"/>
  <c r="AE108" i="3"/>
  <c r="AG108" i="3" s="1"/>
  <c r="AD108" i="3"/>
  <c r="AE336" i="3"/>
  <c r="AG336" i="3" s="1"/>
  <c r="AD336" i="3"/>
  <c r="AF336" i="3" s="1"/>
  <c r="AE95" i="3"/>
  <c r="AG95" i="3" s="1"/>
  <c r="AE341" i="3"/>
  <c r="AG341" i="3" s="1"/>
  <c r="AD341" i="3"/>
  <c r="AF341" i="3" s="1"/>
  <c r="AD48" i="3"/>
  <c r="AD188" i="3"/>
  <c r="AF188" i="3" s="1"/>
  <c r="AD201" i="3"/>
  <c r="AF201" i="3" s="1"/>
  <c r="AE201" i="3"/>
  <c r="AG201" i="3" s="1"/>
  <c r="AD209" i="3"/>
  <c r="AF209" i="3" s="1"/>
  <c r="AE209" i="3"/>
  <c r="AG209" i="3" s="1"/>
  <c r="AE43" i="3"/>
  <c r="AD43" i="3"/>
  <c r="AE211" i="3"/>
  <c r="AG211" i="3" s="1"/>
  <c r="AD211" i="3"/>
  <c r="AF211" i="3" s="1"/>
  <c r="AE148" i="3"/>
  <c r="AG148" i="3" s="1"/>
  <c r="AD148" i="3"/>
  <c r="AF148" i="3" s="1"/>
  <c r="AD205" i="3"/>
  <c r="AF205" i="3" s="1"/>
  <c r="AE205" i="3"/>
  <c r="AG205" i="3" s="1"/>
  <c r="AD283" i="3"/>
  <c r="AF283" i="3" s="1"/>
  <c r="AE283" i="3"/>
  <c r="AG283" i="3" s="1"/>
  <c r="AD20" i="3"/>
  <c r="AE41" i="3"/>
  <c r="AE10" i="3"/>
  <c r="AD10" i="3"/>
  <c r="AE36" i="3"/>
  <c r="AD36" i="3"/>
  <c r="AD181" i="3"/>
  <c r="AF181" i="3" s="1"/>
  <c r="AE181" i="3"/>
  <c r="AG181" i="3" s="1"/>
  <c r="AD259" i="3"/>
  <c r="AF259" i="3" s="1"/>
  <c r="AE352" i="3"/>
  <c r="AG352" i="3" s="1"/>
  <c r="AD8" i="3"/>
  <c r="AE17" i="3"/>
  <c r="AE35" i="3"/>
  <c r="AD35" i="3"/>
  <c r="AE33" i="3"/>
  <c r="AD33" i="3"/>
  <c r="AE45" i="3"/>
  <c r="AD179" i="3"/>
  <c r="AF179" i="3" s="1"/>
  <c r="AE187" i="3"/>
  <c r="AG187" i="3" s="1"/>
  <c r="AE198" i="3"/>
  <c r="AG198" i="3" s="1"/>
  <c r="AD198" i="3"/>
  <c r="AF198" i="3" s="1"/>
  <c r="AE214" i="3"/>
  <c r="AG214" i="3" s="1"/>
  <c r="AD214" i="3"/>
  <c r="AF214" i="3" s="1"/>
  <c r="AE216" i="3"/>
  <c r="AG216" i="3" s="1"/>
  <c r="AD216" i="3"/>
  <c r="AF216" i="3" s="1"/>
  <c r="AE220" i="3"/>
  <c r="AG220" i="3" s="1"/>
  <c r="AD235" i="3"/>
  <c r="AF235" i="3" s="1"/>
  <c r="AE235" i="3"/>
  <c r="AG235" i="3" s="1"/>
  <c r="AE256" i="3"/>
  <c r="AG256" i="3" s="1"/>
  <c r="AE281" i="3"/>
  <c r="AG281" i="3" s="1"/>
  <c r="AD281" i="3"/>
  <c r="AF281" i="3" s="1"/>
  <c r="AE304" i="3"/>
  <c r="AG304" i="3" s="1"/>
  <c r="AD304" i="3"/>
  <c r="AF304" i="3" s="1"/>
  <c r="AE53" i="3"/>
  <c r="AD53" i="3"/>
  <c r="AD354" i="3"/>
  <c r="AF354" i="3" s="1"/>
  <c r="AE354" i="3"/>
  <c r="AG354" i="3" s="1"/>
  <c r="AD5" i="3"/>
  <c r="AE19" i="3"/>
  <c r="AD19" i="3"/>
  <c r="AD89" i="3"/>
  <c r="AE118" i="3"/>
  <c r="AG118" i="3" s="1"/>
  <c r="AD118" i="3"/>
  <c r="AE167" i="3"/>
  <c r="AG167" i="3" s="1"/>
  <c r="AD167" i="3"/>
  <c r="AF167" i="3" s="1"/>
  <c r="AD322" i="3"/>
  <c r="AF322" i="3" s="1"/>
  <c r="AE322" i="3"/>
  <c r="AG322" i="3" s="1"/>
  <c r="AD326" i="3"/>
  <c r="AF326" i="3" s="1"/>
  <c r="AE326" i="3"/>
  <c r="AG326" i="3" s="1"/>
  <c r="AE332" i="3"/>
  <c r="AG332" i="3" s="1"/>
  <c r="AD246" i="3"/>
  <c r="AF246" i="3" s="1"/>
  <c r="AE246" i="3"/>
  <c r="AG246" i="3" s="1"/>
  <c r="AD13" i="3"/>
  <c r="AE13" i="3"/>
  <c r="AE50" i="3"/>
  <c r="AG50" i="3" s="1"/>
  <c r="AD50" i="3"/>
  <c r="AE287" i="3"/>
  <c r="AG287" i="3" s="1"/>
  <c r="AD287" i="3"/>
  <c r="AF287" i="3" s="1"/>
  <c r="AE313" i="3"/>
  <c r="AG313" i="3" s="1"/>
  <c r="AE62" i="3"/>
  <c r="AG62" i="3" s="1"/>
  <c r="AD62" i="3"/>
  <c r="AE146" i="3"/>
  <c r="AG146" i="3" s="1"/>
  <c r="AD146" i="3"/>
  <c r="AF146" i="3" s="1"/>
  <c r="AD173" i="3"/>
  <c r="AF173" i="3" s="1"/>
  <c r="AE173" i="3"/>
  <c r="AG173" i="3" s="1"/>
  <c r="AE138" i="3"/>
  <c r="AG138" i="3" s="1"/>
  <c r="AE263" i="3"/>
  <c r="AG263" i="3" s="1"/>
  <c r="AD263" i="3"/>
  <c r="AF263" i="3" s="1"/>
  <c r="AE58" i="3"/>
  <c r="AD26" i="3"/>
  <c r="AE57" i="3"/>
  <c r="AG57" i="3" s="1"/>
  <c r="AD57" i="3"/>
  <c r="AE16" i="3"/>
  <c r="AD16" i="3"/>
  <c r="AE23" i="3"/>
  <c r="AD23" i="3"/>
  <c r="AD44" i="3"/>
  <c r="AE44" i="3"/>
  <c r="AD54" i="3"/>
  <c r="AE59" i="3"/>
  <c r="AD59" i="3"/>
  <c r="AE109" i="3"/>
  <c r="AG109" i="3" s="1"/>
  <c r="AD109" i="3"/>
  <c r="AF109" i="3" s="1"/>
  <c r="AD237" i="3"/>
  <c r="AF237" i="3" s="1"/>
  <c r="AE308" i="3"/>
  <c r="AG308" i="3" s="1"/>
  <c r="AD308" i="3"/>
  <c r="AF308" i="3" s="1"/>
  <c r="AE203" i="3"/>
  <c r="AG203" i="3" s="1"/>
  <c r="AD203" i="3"/>
  <c r="AF203" i="3" s="1"/>
  <c r="AE7" i="3"/>
  <c r="AD7" i="3"/>
  <c r="AD14" i="3"/>
  <c r="AD145" i="3"/>
  <c r="AF145" i="3" s="1"/>
  <c r="AE145" i="3"/>
  <c r="AG145" i="3" s="1"/>
  <c r="AE208" i="3"/>
  <c r="AG208" i="3" s="1"/>
  <c r="AD208" i="3"/>
  <c r="AF208" i="3" s="1"/>
  <c r="AD217" i="3"/>
  <c r="AF217" i="3" s="1"/>
  <c r="AE217" i="3"/>
  <c r="AG217" i="3" s="1"/>
  <c r="AE227" i="3"/>
  <c r="AG227" i="3" s="1"/>
  <c r="AD227" i="3"/>
  <c r="AF227" i="3" s="1"/>
  <c r="AD256" i="3"/>
  <c r="AF256" i="3" s="1"/>
  <c r="AD279" i="3"/>
  <c r="AF279" i="3" s="1"/>
  <c r="AE279" i="3"/>
  <c r="AG279" i="3" s="1"/>
  <c r="AE319" i="3"/>
  <c r="AG319" i="3" s="1"/>
  <c r="AD319" i="3"/>
  <c r="AF319" i="3" s="1"/>
  <c r="AE98" i="3"/>
  <c r="AG98" i="3" s="1"/>
  <c r="AD98" i="3"/>
  <c r="AF98" i="3" s="1"/>
  <c r="AE100" i="3"/>
  <c r="AG100" i="3" s="1"/>
  <c r="AD100" i="3"/>
  <c r="AF100" i="3" s="1"/>
  <c r="AE195" i="3"/>
  <c r="AG195" i="3" s="1"/>
  <c r="AD195" i="3"/>
  <c r="AF195" i="3" s="1"/>
  <c r="AE22" i="3"/>
  <c r="AD22" i="3"/>
  <c r="AE60" i="3"/>
  <c r="AD60" i="3"/>
  <c r="AE94" i="3"/>
  <c r="AG94" i="3" s="1"/>
  <c r="AD94" i="3"/>
  <c r="AF94" i="3" s="1"/>
  <c r="AE47" i="3"/>
  <c r="AD47" i="3"/>
  <c r="AE91" i="3"/>
  <c r="AG91" i="3" s="1"/>
  <c r="AD91" i="3"/>
  <c r="AF91" i="3" s="1"/>
  <c r="AE239" i="3"/>
  <c r="AG239" i="3" s="1"/>
  <c r="AD239" i="3"/>
  <c r="AF239" i="3" s="1"/>
  <c r="AE243" i="3"/>
  <c r="AG243" i="3" s="1"/>
  <c r="AD243" i="3"/>
  <c r="AF243" i="3" s="1"/>
  <c r="AE49" i="3"/>
  <c r="AD49" i="3"/>
  <c r="AE103" i="3"/>
  <c r="AG103" i="3" s="1"/>
  <c r="AD103" i="3"/>
  <c r="AF103" i="3" s="1"/>
  <c r="AE4" i="3"/>
  <c r="AD4" i="3"/>
  <c r="AE11" i="3"/>
  <c r="AD11" i="3"/>
  <c r="AD25" i="3"/>
  <c r="AE25" i="3"/>
  <c r="AE42" i="3"/>
  <c r="AE65" i="3"/>
  <c r="AD65" i="3"/>
  <c r="AE176" i="3"/>
  <c r="AG176" i="3" s="1"/>
  <c r="AE223" i="3"/>
  <c r="AG223" i="3" s="1"/>
  <c r="AD225" i="3"/>
  <c r="AF225" i="3" s="1"/>
  <c r="AE225" i="3"/>
  <c r="AG225" i="3" s="1"/>
  <c r="AE233" i="3"/>
  <c r="AG233" i="3" s="1"/>
  <c r="AD233" i="3"/>
  <c r="AF233" i="3" s="1"/>
  <c r="AE248" i="3"/>
  <c r="AG248" i="3" s="1"/>
  <c r="AD248" i="3"/>
  <c r="AF248" i="3" s="1"/>
  <c r="AD290" i="3"/>
  <c r="AF290" i="3" s="1"/>
  <c r="AE290" i="3"/>
  <c r="AG290" i="3" s="1"/>
  <c r="AE349" i="3"/>
  <c r="AG349" i="3" s="1"/>
  <c r="AD132" i="3"/>
  <c r="AF132" i="3" s="1"/>
  <c r="AE178" i="3"/>
  <c r="AG178" i="3" s="1"/>
  <c r="AD178" i="3"/>
  <c r="AF178" i="3" s="1"/>
  <c r="AD189" i="3"/>
  <c r="AF189" i="3" s="1"/>
  <c r="AE189" i="3"/>
  <c r="AG189" i="3" s="1"/>
  <c r="AE285" i="3"/>
  <c r="AG285" i="3" s="1"/>
  <c r="AD310" i="3"/>
  <c r="AF310" i="3" s="1"/>
  <c r="AE351" i="3"/>
  <c r="AG351" i="3" s="1"/>
  <c r="AD351" i="3"/>
  <c r="AF351" i="3" s="1"/>
  <c r="AE222" i="3"/>
  <c r="AG222" i="3" s="1"/>
  <c r="AD222" i="3"/>
  <c r="AF222" i="3" s="1"/>
  <c r="AE272" i="3"/>
  <c r="AG272" i="3" s="1"/>
  <c r="AD272" i="3"/>
  <c r="AF272" i="3" s="1"/>
  <c r="AD137" i="3"/>
  <c r="AF137" i="3" s="1"/>
  <c r="AD314" i="3"/>
  <c r="AF314" i="3" s="1"/>
  <c r="AE314" i="3"/>
  <c r="AG314" i="3" s="1"/>
  <c r="AE333" i="3"/>
  <c r="AG333" i="3" s="1"/>
  <c r="AD333" i="3"/>
  <c r="AF333" i="3" s="1"/>
  <c r="AD346" i="3"/>
  <c r="AF346" i="3" s="1"/>
  <c r="AE346" i="3"/>
  <c r="AG346" i="3" s="1"/>
  <c r="AE129" i="3"/>
  <c r="AG129" i="3" s="1"/>
  <c r="AD129" i="3"/>
  <c r="AF129" i="3" s="1"/>
  <c r="AE132" i="3"/>
  <c r="AE140" i="3"/>
  <c r="AG140" i="3" s="1"/>
  <c r="AD253" i="3"/>
  <c r="AF253" i="3" s="1"/>
  <c r="AE253" i="3"/>
  <c r="AG253" i="3" s="1"/>
  <c r="AE266" i="3"/>
  <c r="AG266" i="3" s="1"/>
  <c r="AD285" i="3"/>
  <c r="AF285" i="3" s="1"/>
  <c r="AD299" i="3"/>
  <c r="AF299" i="3" s="1"/>
  <c r="AE299" i="3"/>
  <c r="AG299" i="3" s="1"/>
  <c r="AE307" i="3"/>
  <c r="AG307" i="3" s="1"/>
  <c r="AE310" i="3"/>
  <c r="AG310" i="3" s="1"/>
  <c r="AE312" i="3"/>
  <c r="AG312" i="3" s="1"/>
  <c r="AD312" i="3"/>
  <c r="AF312" i="3" s="1"/>
  <c r="AE316" i="3"/>
  <c r="AG316" i="3" s="1"/>
  <c r="AD316" i="3"/>
  <c r="AF316" i="3" s="1"/>
  <c r="AE325" i="3"/>
  <c r="AG325" i="3" s="1"/>
  <c r="AD325" i="3"/>
  <c r="AF325" i="3" s="1"/>
  <c r="AD331" i="3"/>
  <c r="AF331" i="3" s="1"/>
  <c r="AE331" i="3"/>
  <c r="AG331" i="3" s="1"/>
  <c r="AE3" i="3"/>
  <c r="AE15" i="3"/>
  <c r="AD15" i="3"/>
  <c r="AE27" i="3"/>
  <c r="AD27" i="3"/>
  <c r="AE46" i="3"/>
  <c r="AD46" i="3"/>
  <c r="AE56" i="3"/>
  <c r="AD56" i="3"/>
  <c r="AE64" i="3"/>
  <c r="AD64" i="3"/>
  <c r="AE131" i="3"/>
  <c r="AG131" i="3" s="1"/>
  <c r="AD142" i="3"/>
  <c r="AF142" i="3" s="1"/>
  <c r="AE142" i="3"/>
  <c r="AG142" i="3" s="1"/>
  <c r="AD168" i="3"/>
  <c r="AF168" i="3" s="1"/>
  <c r="AD184" i="3"/>
  <c r="AF184" i="3" s="1"/>
  <c r="AE184" i="3"/>
  <c r="AG184" i="3" s="1"/>
  <c r="AE186" i="3"/>
  <c r="AG186" i="3" s="1"/>
  <c r="AD186" i="3"/>
  <c r="AF186" i="3" s="1"/>
  <c r="AE190" i="3"/>
  <c r="AG190" i="3" s="1"/>
  <c r="AE236" i="3"/>
  <c r="AG236" i="3" s="1"/>
  <c r="AD236" i="3"/>
  <c r="AF236" i="3" s="1"/>
  <c r="AD247" i="3"/>
  <c r="AF247" i="3" s="1"/>
  <c r="AD268" i="3"/>
  <c r="AF268" i="3" s="1"/>
  <c r="AD276" i="3"/>
  <c r="AF276" i="3" s="1"/>
  <c r="AE293" i="3"/>
  <c r="AG293" i="3" s="1"/>
  <c r="AD293" i="3"/>
  <c r="AF293" i="3" s="1"/>
  <c r="AE297" i="3"/>
  <c r="AG297" i="3" s="1"/>
  <c r="AD297" i="3"/>
  <c r="AF297" i="3" s="1"/>
  <c r="AE264" i="3"/>
  <c r="AG264" i="3" s="1"/>
  <c r="AD264" i="3"/>
  <c r="AF264" i="3" s="1"/>
  <c r="AE175" i="3"/>
  <c r="AG175" i="3" s="1"/>
  <c r="AD175" i="3"/>
  <c r="AF175" i="3" s="1"/>
  <c r="AE344" i="3"/>
  <c r="AG344" i="3" s="1"/>
  <c r="AD344" i="3"/>
  <c r="AF344" i="3" s="1"/>
  <c r="AE52" i="3"/>
  <c r="AD52" i="3"/>
  <c r="AE61" i="3"/>
  <c r="AD61" i="3"/>
  <c r="AE90" i="3"/>
  <c r="AG90" i="3" s="1"/>
  <c r="AD90" i="3"/>
  <c r="AE192" i="3"/>
  <c r="AG192" i="3" s="1"/>
  <c r="AD197" i="3"/>
  <c r="AF197" i="3" s="1"/>
  <c r="AE197" i="3"/>
  <c r="AG197" i="3" s="1"/>
  <c r="AD230" i="3"/>
  <c r="AF230" i="3" s="1"/>
  <c r="AE230" i="3"/>
  <c r="AG230" i="3" s="1"/>
  <c r="AD242" i="3"/>
  <c r="AF242" i="3" s="1"/>
  <c r="AE242" i="3"/>
  <c r="AG242" i="3" s="1"/>
  <c r="AD249" i="3"/>
  <c r="AF249" i="3" s="1"/>
  <c r="AE261" i="3"/>
  <c r="AG261" i="3" s="1"/>
  <c r="AD261" i="3"/>
  <c r="AF261" i="3" s="1"/>
  <c r="AD282" i="3"/>
  <c r="AF282" i="3" s="1"/>
  <c r="AE282" i="3"/>
  <c r="AG282" i="3" s="1"/>
  <c r="AD200" i="3"/>
  <c r="AF200" i="3" s="1"/>
  <c r="AE200" i="3"/>
  <c r="AG200" i="3" s="1"/>
  <c r="AE99" i="3"/>
  <c r="AG99" i="3" s="1"/>
  <c r="AD99" i="3"/>
  <c r="AF99" i="3" s="1"/>
  <c r="AD105" i="3"/>
  <c r="AE170" i="3"/>
  <c r="AG170" i="3" s="1"/>
  <c r="AD170" i="3"/>
  <c r="AF170" i="3" s="1"/>
  <c r="AD219" i="3"/>
  <c r="AF219" i="3" s="1"/>
  <c r="AE251" i="3"/>
  <c r="AG251" i="3" s="1"/>
  <c r="AE265" i="3"/>
  <c r="AG265" i="3" s="1"/>
  <c r="AD265" i="3"/>
  <c r="AF265" i="3" s="1"/>
  <c r="AE275" i="3"/>
  <c r="AG275" i="3" s="1"/>
  <c r="AE280" i="3"/>
  <c r="AG280" i="3" s="1"/>
  <c r="AD280" i="3"/>
  <c r="AF280" i="3" s="1"/>
  <c r="AE329" i="3"/>
  <c r="AG329" i="3" s="1"/>
  <c r="AD329" i="3"/>
  <c r="AF329" i="3" s="1"/>
  <c r="AE115" i="3"/>
  <c r="AG115" i="3" s="1"/>
  <c r="AE135" i="3"/>
  <c r="AG135" i="3" s="1"/>
  <c r="AE194" i="3"/>
  <c r="AG194" i="3" s="1"/>
  <c r="AD194" i="3"/>
  <c r="AF194" i="3" s="1"/>
  <c r="AE277" i="3"/>
  <c r="AG277" i="3" s="1"/>
  <c r="AD277" i="3"/>
  <c r="AF277" i="3" s="1"/>
  <c r="AE309" i="3"/>
  <c r="AG309" i="3" s="1"/>
  <c r="AD309" i="3"/>
  <c r="AF309" i="3" s="1"/>
  <c r="AE348" i="3"/>
  <c r="AG348" i="3" s="1"/>
  <c r="AD348" i="3"/>
  <c r="AF348" i="3" s="1"/>
  <c r="AE356" i="3"/>
  <c r="AG356" i="3" s="1"/>
  <c r="AD356" i="3"/>
  <c r="AF356" i="3" s="1"/>
  <c r="AE202" i="3"/>
  <c r="AG202" i="3" s="1"/>
  <c r="AD213" i="3"/>
  <c r="AF213" i="3" s="1"/>
  <c r="AE218" i="3"/>
  <c r="AG218" i="3" s="1"/>
  <c r="AD221" i="3"/>
  <c r="AF221" i="3" s="1"/>
  <c r="AD260" i="3"/>
  <c r="AF260" i="3" s="1"/>
  <c r="AD262" i="3"/>
  <c r="AF262" i="3" s="1"/>
  <c r="AD292" i="3"/>
  <c r="AF292" i="3" s="1"/>
  <c r="AD338" i="3"/>
  <c r="AF338" i="3" s="1"/>
  <c r="AE338" i="3"/>
  <c r="AG338" i="3" s="1"/>
  <c r="AE147" i="3"/>
  <c r="AG147" i="3" s="1"/>
  <c r="AD169" i="3"/>
  <c r="AF169" i="3" s="1"/>
  <c r="AE210" i="3"/>
  <c r="AG210" i="3" s="1"/>
  <c r="AE215" i="3"/>
  <c r="AG215" i="3" s="1"/>
  <c r="AD215" i="3"/>
  <c r="AF215" i="3" s="1"/>
  <c r="AE269" i="3"/>
  <c r="AG269" i="3" s="1"/>
  <c r="AD269" i="3"/>
  <c r="AF269" i="3" s="1"/>
  <c r="AD306" i="3"/>
  <c r="AF306" i="3" s="1"/>
  <c r="AE306" i="3"/>
  <c r="AG306" i="3" s="1"/>
  <c r="AE328" i="3"/>
  <c r="AG328" i="3" s="1"/>
  <c r="AD328" i="3"/>
  <c r="AF328" i="3" s="1"/>
  <c r="AE335" i="3"/>
  <c r="AG335" i="3" s="1"/>
  <c r="AD335" i="3"/>
  <c r="AF335" i="3" s="1"/>
  <c r="AE174" i="3"/>
  <c r="AG174" i="3" s="1"/>
  <c r="AD183" i="3"/>
  <c r="AF183" i="3" s="1"/>
  <c r="AE226" i="3"/>
  <c r="AG226" i="3" s="1"/>
  <c r="AE240" i="3"/>
  <c r="AG240" i="3" s="1"/>
  <c r="AD240" i="3"/>
  <c r="AF240" i="3" s="1"/>
  <c r="AD330" i="3"/>
  <c r="AF330" i="3" s="1"/>
  <c r="AE343" i="3"/>
  <c r="AG343" i="3" s="1"/>
  <c r="AD343" i="3"/>
  <c r="AF343" i="3" s="1"/>
  <c r="AE357" i="3"/>
  <c r="AG357" i="3" s="1"/>
  <c r="AD357" i="3"/>
  <c r="AF357" i="3" s="1"/>
  <c r="AE107" i="3"/>
  <c r="AG107" i="3" s="1"/>
  <c r="AD115" i="3"/>
  <c r="AF115" i="3" s="1"/>
  <c r="AD135" i="3"/>
  <c r="AF135" i="3" s="1"/>
  <c r="AE150" i="3"/>
  <c r="AG150" i="3" s="1"/>
  <c r="AD171" i="3"/>
  <c r="AF171" i="3" s="1"/>
  <c r="AE182" i="3"/>
  <c r="AG182" i="3" s="1"/>
  <c r="AD185" i="3"/>
  <c r="AF185" i="3" s="1"/>
  <c r="AE224" i="3"/>
  <c r="AG224" i="3" s="1"/>
  <c r="AE267" i="3"/>
  <c r="AG267" i="3" s="1"/>
  <c r="AE294" i="3"/>
  <c r="AG294" i="3" s="1"/>
  <c r="AE296" i="3"/>
  <c r="AG296" i="3" s="1"/>
  <c r="AD296" i="3"/>
  <c r="AF296" i="3" s="1"/>
  <c r="AD298" i="3"/>
  <c r="AF298" i="3" s="1"/>
  <c r="AE298" i="3"/>
  <c r="AG298" i="3" s="1"/>
  <c r="AD161" i="3"/>
  <c r="AF161" i="3" s="1"/>
  <c r="AD177" i="3"/>
  <c r="AF177" i="3" s="1"/>
  <c r="AD193" i="3"/>
  <c r="AF193" i="3" s="1"/>
  <c r="AE232" i="3"/>
  <c r="AG232" i="3" s="1"/>
  <c r="AD232" i="3"/>
  <c r="AF232" i="3" s="1"/>
  <c r="AE245" i="3"/>
  <c r="AG245" i="3" s="1"/>
  <c r="AD245" i="3"/>
  <c r="AF245" i="3" s="1"/>
  <c r="AD250" i="3"/>
  <c r="AF250" i="3" s="1"/>
  <c r="AE271" i="3"/>
  <c r="AG271" i="3" s="1"/>
  <c r="AD274" i="3"/>
  <c r="AF274" i="3" s="1"/>
  <c r="AE274" i="3"/>
  <c r="AG274" i="3" s="1"/>
  <c r="AE229" i="3"/>
  <c r="AG229" i="3" s="1"/>
  <c r="AD229" i="3"/>
  <c r="AF229" i="3" s="1"/>
  <c r="AD234" i="3"/>
  <c r="AF234" i="3" s="1"/>
  <c r="AE255" i="3"/>
  <c r="AG255" i="3" s="1"/>
  <c r="AD258" i="3"/>
  <c r="AF258" i="3" s="1"/>
  <c r="AE258" i="3"/>
  <c r="AG258" i="3" s="1"/>
  <c r="AD342" i="3"/>
  <c r="AF342" i="3" s="1"/>
  <c r="AD347" i="3"/>
  <c r="AF347" i="3" s="1"/>
  <c r="AD238" i="3"/>
  <c r="AF238" i="3" s="1"/>
  <c r="AD254" i="3"/>
  <c r="AF254" i="3" s="1"/>
  <c r="AD270" i="3"/>
  <c r="AF270" i="3" s="1"/>
  <c r="AD286" i="3"/>
  <c r="AF286" i="3" s="1"/>
  <c r="AD302" i="3"/>
  <c r="AF302" i="3" s="1"/>
  <c r="AD318" i="3"/>
  <c r="AF318" i="3" s="1"/>
  <c r="AD334" i="3"/>
  <c r="AF334" i="3" s="1"/>
  <c r="AD350" i="3"/>
  <c r="AF350" i="3" s="1"/>
  <c r="F14" i="6" l="1" a="1"/>
  <c r="F14" i="6" s="1"/>
  <c r="AG127" i="3"/>
  <c r="AG132" i="3"/>
  <c r="AG117" i="3"/>
  <c r="AG133" i="3"/>
  <c r="AG128" i="3"/>
  <c r="AG79" i="3"/>
  <c r="AF105" i="3"/>
  <c r="AF127" i="3"/>
  <c r="AG126" i="3"/>
  <c r="AF101" i="3"/>
  <c r="AF114" i="3"/>
  <c r="AF106" i="3"/>
  <c r="AF118" i="3"/>
  <c r="AF108" i="3"/>
  <c r="AF102" i="3"/>
  <c r="AF107" i="3"/>
  <c r="AF111" i="3"/>
  <c r="AF104" i="3"/>
  <c r="AG31" i="3"/>
  <c r="AG55" i="3"/>
  <c r="AG84" i="3"/>
  <c r="AG67" i="3"/>
  <c r="AG32" i="3"/>
  <c r="AG28" i="3"/>
  <c r="AG83" i="3"/>
  <c r="AG39" i="3"/>
  <c r="AG38" i="3"/>
  <c r="AG51" i="3"/>
  <c r="AG40" i="3"/>
  <c r="AG66" i="3"/>
  <c r="AF90" i="3"/>
  <c r="AF89" i="3"/>
  <c r="AF40" i="3"/>
  <c r="AF88" i="3"/>
  <c r="AF67" i="3"/>
  <c r="AF85" i="3"/>
  <c r="AF87" i="3"/>
  <c r="AF86" i="3"/>
  <c r="AF78" i="3"/>
  <c r="AF80" i="3"/>
  <c r="AG80" i="3"/>
  <c r="AF74" i="3"/>
  <c r="AF82" i="3"/>
  <c r="AG81" i="3"/>
  <c r="AF83" i="3"/>
  <c r="AG68" i="3"/>
  <c r="AF84" i="3"/>
  <c r="AG82" i="3"/>
  <c r="AF70" i="3"/>
  <c r="AF81" i="3"/>
  <c r="AF68" i="3"/>
  <c r="AG78" i="3"/>
  <c r="AG69" i="3"/>
  <c r="AF72" i="3"/>
  <c r="AF73" i="3"/>
  <c r="AF71" i="3"/>
  <c r="AG72" i="3"/>
  <c r="AG70" i="3"/>
  <c r="AF76" i="3"/>
  <c r="AF75" i="3"/>
  <c r="AG77" i="3"/>
  <c r="AG71" i="3"/>
  <c r="AG75" i="3"/>
  <c r="AG74" i="3"/>
  <c r="AF77" i="3"/>
  <c r="AG76" i="3"/>
  <c r="AG73" i="3"/>
  <c r="AF69" i="3"/>
  <c r="AF31" i="3"/>
  <c r="AG30" i="3"/>
  <c r="AF66" i="3"/>
  <c r="AF38" i="3"/>
  <c r="AF28" i="3"/>
  <c r="AF55" i="3"/>
  <c r="AF39" i="3"/>
  <c r="AF30" i="3"/>
  <c r="AF51" i="3"/>
  <c r="AF32" i="3"/>
  <c r="AF57" i="3"/>
  <c r="AG4" i="3"/>
  <c r="F15" i="6"/>
  <c r="AG13" i="3"/>
  <c r="AG42" i="3"/>
  <c r="AG12" i="3"/>
  <c r="AF50" i="3"/>
  <c r="AF62" i="3"/>
  <c r="AF49" i="3"/>
  <c r="AF19" i="3"/>
  <c r="AF17" i="3"/>
  <c r="F13" i="2"/>
  <c r="AF64" i="3"/>
  <c r="AF4" i="3"/>
  <c r="AF61" i="3"/>
  <c r="AG64" i="3"/>
  <c r="AG25" i="3"/>
  <c r="AG49" i="3"/>
  <c r="AF44" i="3"/>
  <c r="AF13" i="3"/>
  <c r="AG19" i="3"/>
  <c r="AG33" i="3"/>
  <c r="AG36" i="3"/>
  <c r="AF6" i="3"/>
  <c r="AF12" i="3"/>
  <c r="AG63" i="3"/>
  <c r="AG61" i="3"/>
  <c r="AF56" i="3"/>
  <c r="AF25" i="3"/>
  <c r="AF60" i="3"/>
  <c r="AF23" i="3"/>
  <c r="AF5" i="3"/>
  <c r="AF35" i="3"/>
  <c r="AF10" i="3"/>
  <c r="AF43" i="3"/>
  <c r="AF24" i="3"/>
  <c r="AF37" i="3"/>
  <c r="AG44" i="3"/>
  <c r="AF52" i="3"/>
  <c r="AG56" i="3"/>
  <c r="AF11" i="3"/>
  <c r="AG60" i="3"/>
  <c r="AG23" i="3"/>
  <c r="AG35" i="3"/>
  <c r="AG10" i="3"/>
  <c r="AG43" i="3"/>
  <c r="AG6" i="3"/>
  <c r="AG26" i="3"/>
  <c r="AF33" i="3"/>
  <c r="AG52" i="3"/>
  <c r="AF46" i="3"/>
  <c r="AG11" i="3"/>
  <c r="AF22" i="3"/>
  <c r="AF16" i="3"/>
  <c r="AG8" i="3"/>
  <c r="AG17" i="3"/>
  <c r="AG41" i="3"/>
  <c r="AF63" i="3"/>
  <c r="AG14" i="3"/>
  <c r="AG21" i="3"/>
  <c r="AG48" i="3"/>
  <c r="AG27" i="3"/>
  <c r="AF58" i="3"/>
  <c r="AF42" i="3"/>
  <c r="AG22" i="3"/>
  <c r="AF8" i="3"/>
  <c r="AF45" i="3"/>
  <c r="AF41" i="3"/>
  <c r="AF15" i="3"/>
  <c r="AG29" i="3"/>
  <c r="AF47" i="3"/>
  <c r="AG18" i="3"/>
  <c r="AF36" i="3"/>
  <c r="AG20" i="3"/>
  <c r="AG15" i="3"/>
  <c r="AG24" i="3"/>
  <c r="AG47" i="3"/>
  <c r="AF14" i="3"/>
  <c r="AF59" i="3"/>
  <c r="AF26" i="3"/>
  <c r="AG54" i="3"/>
  <c r="AG9" i="3"/>
  <c r="AG46" i="3"/>
  <c r="AF53" i="3"/>
  <c r="AF20" i="3"/>
  <c r="AF27" i="3"/>
  <c r="AG53" i="3"/>
  <c r="AF29" i="3"/>
  <c r="H12" i="2"/>
  <c r="F12" i="2"/>
  <c r="H11" i="2"/>
  <c r="F11" i="2"/>
  <c r="C14" i="2"/>
  <c r="C12" i="2"/>
  <c r="C11" i="2"/>
  <c r="C13" i="2"/>
  <c r="AF3" i="3"/>
  <c r="AF21" i="3"/>
  <c r="AF9" i="3"/>
  <c r="H13" i="2"/>
  <c r="AF65" i="3"/>
  <c r="AF7" i="3"/>
  <c r="AG59" i="3"/>
  <c r="AG58" i="3"/>
  <c r="AF34" i="3"/>
  <c r="AF18" i="3"/>
  <c r="AG16" i="3"/>
  <c r="C16" i="6"/>
  <c r="H15" i="6"/>
  <c r="C15" i="6"/>
  <c r="H14" i="6"/>
  <c r="C14" i="6"/>
  <c r="H13" i="6"/>
  <c r="F13" i="6"/>
  <c r="AG3" i="3"/>
  <c r="AG34" i="3"/>
  <c r="AG65" i="3"/>
  <c r="AG7" i="3"/>
  <c r="AF54" i="3"/>
  <c r="AG45" i="3"/>
  <c r="AF48" i="3"/>
  <c r="AG37" i="3"/>
  <c r="AG5" i="3"/>
  <c r="F24" i="2" l="1"/>
  <c r="C47" i="2"/>
  <c r="G45" i="2"/>
  <c r="C44" i="2"/>
  <c r="G42" i="2"/>
  <c r="C41" i="2"/>
  <c r="G39" i="2"/>
  <c r="C38" i="2"/>
  <c r="G36" i="2"/>
  <c r="C35" i="2"/>
  <c r="G33" i="2"/>
  <c r="C32" i="2"/>
  <c r="G30" i="2"/>
  <c r="C29" i="2"/>
  <c r="G27" i="2"/>
  <c r="C26" i="2"/>
  <c r="G24" i="2"/>
  <c r="C23" i="2"/>
  <c r="G21" i="2"/>
  <c r="C20" i="2"/>
  <c r="G18" i="2"/>
  <c r="B47" i="2"/>
  <c r="F45" i="2"/>
  <c r="B44" i="2"/>
  <c r="F42" i="2"/>
  <c r="B41" i="2"/>
  <c r="F39" i="2"/>
  <c r="B38" i="2"/>
  <c r="F36" i="2"/>
  <c r="B35" i="2"/>
  <c r="F33" i="2"/>
  <c r="B32" i="2"/>
  <c r="F30" i="2"/>
  <c r="B29" i="2"/>
  <c r="F27" i="2"/>
  <c r="B26" i="2"/>
  <c r="B23" i="2"/>
  <c r="F21" i="2"/>
  <c r="B20" i="2"/>
  <c r="F18" i="2"/>
  <c r="H46" i="2"/>
  <c r="D45" i="2"/>
  <c r="H43" i="2"/>
  <c r="D42" i="2"/>
  <c r="H40" i="2"/>
  <c r="D39" i="2"/>
  <c r="H37" i="2"/>
  <c r="D36" i="2"/>
  <c r="H34" i="2"/>
  <c r="D33" i="2"/>
  <c r="H31" i="2"/>
  <c r="D30" i="2"/>
  <c r="H28" i="2"/>
  <c r="D27" i="2"/>
  <c r="H25" i="2"/>
  <c r="D24" i="2"/>
  <c r="H22" i="2"/>
  <c r="D21" i="2"/>
  <c r="H19" i="2"/>
  <c r="D18" i="2"/>
  <c r="E46" i="2"/>
  <c r="F44" i="2"/>
  <c r="E42" i="2"/>
  <c r="E40" i="2"/>
  <c r="F38" i="2"/>
  <c r="E36" i="2"/>
  <c r="E34" i="2"/>
  <c r="F32" i="2"/>
  <c r="E30" i="2"/>
  <c r="E28" i="2"/>
  <c r="F26" i="2"/>
  <c r="E24" i="2"/>
  <c r="E22" i="2"/>
  <c r="F20" i="2"/>
  <c r="E18" i="2"/>
  <c r="A46" i="2"/>
  <c r="A34" i="2"/>
  <c r="A28" i="2"/>
  <c r="A22" i="2"/>
  <c r="D46" i="2"/>
  <c r="E44" i="2"/>
  <c r="C42" i="2"/>
  <c r="D40" i="2"/>
  <c r="E38" i="2"/>
  <c r="C36" i="2"/>
  <c r="D34" i="2"/>
  <c r="E32" i="2"/>
  <c r="C30" i="2"/>
  <c r="D28" i="2"/>
  <c r="E26" i="2"/>
  <c r="C24" i="2"/>
  <c r="D22" i="2"/>
  <c r="E20" i="2"/>
  <c r="C18" i="2"/>
  <c r="H41" i="2"/>
  <c r="H29" i="2"/>
  <c r="G19" i="2"/>
  <c r="C46" i="2"/>
  <c r="D44" i="2"/>
  <c r="B42" i="2"/>
  <c r="C40" i="2"/>
  <c r="D38" i="2"/>
  <c r="B36" i="2"/>
  <c r="C34" i="2"/>
  <c r="D32" i="2"/>
  <c r="B30" i="2"/>
  <c r="C28" i="2"/>
  <c r="D26" i="2"/>
  <c r="B24" i="2"/>
  <c r="C22" i="2"/>
  <c r="D20" i="2"/>
  <c r="B18" i="2"/>
  <c r="H47" i="2"/>
  <c r="A40" i="2"/>
  <c r="H35" i="2"/>
  <c r="G25" i="2"/>
  <c r="B46" i="2"/>
  <c r="A44" i="2"/>
  <c r="A42" i="2"/>
  <c r="B40" i="2"/>
  <c r="A38" i="2"/>
  <c r="A36" i="2"/>
  <c r="B34" i="2"/>
  <c r="A32" i="2"/>
  <c r="A30" i="2"/>
  <c r="B28" i="2"/>
  <c r="A26" i="2"/>
  <c r="A24" i="2"/>
  <c r="B22" i="2"/>
  <c r="A20" i="2"/>
  <c r="A18" i="2"/>
  <c r="G43" i="2"/>
  <c r="G37" i="2"/>
  <c r="G31" i="2"/>
  <c r="H23" i="2"/>
  <c r="D47" i="2"/>
  <c r="E43" i="2"/>
  <c r="F40" i="2"/>
  <c r="B37" i="2"/>
  <c r="C33" i="2"/>
  <c r="G29" i="2"/>
  <c r="H26" i="2"/>
  <c r="D23" i="2"/>
  <c r="E19" i="2"/>
  <c r="G41" i="2"/>
  <c r="D35" i="2"/>
  <c r="F28" i="2"/>
  <c r="C21" i="2"/>
  <c r="G38" i="2"/>
  <c r="A25" i="2"/>
  <c r="F37" i="2"/>
  <c r="F43" i="2"/>
  <c r="G40" i="2"/>
  <c r="E23" i="2"/>
  <c r="A47" i="2"/>
  <c r="D43" i="2"/>
  <c r="H39" i="2"/>
  <c r="A37" i="2"/>
  <c r="B33" i="2"/>
  <c r="F29" i="2"/>
  <c r="G26" i="2"/>
  <c r="A23" i="2"/>
  <c r="D19" i="2"/>
  <c r="C39" i="2"/>
  <c r="A21" i="2"/>
  <c r="E37" i="2"/>
  <c r="G44" i="2"/>
  <c r="B27" i="2"/>
  <c r="A27" i="2"/>
  <c r="G46" i="2"/>
  <c r="C43" i="2"/>
  <c r="E39" i="2"/>
  <c r="H36" i="2"/>
  <c r="A33" i="2"/>
  <c r="E29" i="2"/>
  <c r="F25" i="2"/>
  <c r="G22" i="2"/>
  <c r="C19" i="2"/>
  <c r="F46" i="2"/>
  <c r="G35" i="2"/>
  <c r="H32" i="2"/>
  <c r="D29" i="2"/>
  <c r="E25" i="2"/>
  <c r="B19" i="2"/>
  <c r="E45" i="2"/>
  <c r="A39" i="2"/>
  <c r="E35" i="2"/>
  <c r="F31" i="2"/>
  <c r="G28" i="2"/>
  <c r="C25" i="2"/>
  <c r="E21" i="2"/>
  <c r="H38" i="2"/>
  <c r="B45" i="2"/>
  <c r="F41" i="2"/>
  <c r="A35" i="2"/>
  <c r="D31" i="2"/>
  <c r="H27" i="2"/>
  <c r="B21" i="2"/>
  <c r="H33" i="2"/>
  <c r="E47" i="2"/>
  <c r="C37" i="2"/>
  <c r="F19" i="2"/>
  <c r="B43" i="2"/>
  <c r="F22" i="2"/>
  <c r="H42" i="2"/>
  <c r="H18" i="2"/>
  <c r="G34" i="2"/>
  <c r="D41" i="2"/>
  <c r="H45" i="2"/>
  <c r="A43" i="2"/>
  <c r="B39" i="2"/>
  <c r="F35" i="2"/>
  <c r="G32" i="2"/>
  <c r="A29" i="2"/>
  <c r="D25" i="2"/>
  <c r="H21" i="2"/>
  <c r="A19" i="2"/>
  <c r="C45" i="2"/>
  <c r="E31" i="2"/>
  <c r="B25" i="2"/>
  <c r="E41" i="2"/>
  <c r="C31" i="2"/>
  <c r="E27" i="2"/>
  <c r="H24" i="2"/>
  <c r="G47" i="2"/>
  <c r="F34" i="2"/>
  <c r="C27" i="2"/>
  <c r="H20" i="2"/>
  <c r="A31" i="2"/>
  <c r="H30" i="2"/>
  <c r="H44" i="2"/>
  <c r="B31" i="2"/>
  <c r="G23" i="2"/>
  <c r="F47" i="2"/>
  <c r="D37" i="2"/>
  <c r="G20" i="2"/>
  <c r="A41" i="2"/>
  <c r="F23" i="2"/>
  <c r="A45" i="2"/>
  <c r="E33" i="2"/>
  <c r="G49" i="6"/>
  <c r="C48" i="6"/>
  <c r="G46" i="6"/>
  <c r="C45" i="6"/>
  <c r="G43" i="6"/>
  <c r="C42" i="6"/>
  <c r="G40" i="6"/>
  <c r="C39" i="6"/>
  <c r="G37" i="6"/>
  <c r="C36" i="6"/>
  <c r="G34" i="6"/>
  <c r="C33" i="6"/>
  <c r="G31" i="6"/>
  <c r="C30" i="6"/>
  <c r="G28" i="6"/>
  <c r="C27" i="6"/>
  <c r="G25" i="6"/>
  <c r="C24" i="6"/>
  <c r="G22" i="6"/>
  <c r="C21" i="6"/>
  <c r="F49" i="6"/>
  <c r="B48" i="6"/>
  <c r="F46" i="6"/>
  <c r="B45" i="6"/>
  <c r="F43" i="6"/>
  <c r="B42" i="6"/>
  <c r="F40" i="6"/>
  <c r="B39" i="6"/>
  <c r="F37" i="6"/>
  <c r="B36" i="6"/>
  <c r="F34" i="6"/>
  <c r="B33" i="6"/>
  <c r="F31" i="6"/>
  <c r="B30" i="6"/>
  <c r="F28" i="6"/>
  <c r="B27" i="6"/>
  <c r="F25" i="6"/>
  <c r="B24" i="6"/>
  <c r="F22" i="6"/>
  <c r="B21" i="6"/>
  <c r="E49" i="6"/>
  <c r="A48" i="6"/>
  <c r="E46" i="6"/>
  <c r="A45" i="6"/>
  <c r="E43" i="6"/>
  <c r="A42" i="6"/>
  <c r="E40" i="6"/>
  <c r="A39" i="6"/>
  <c r="E37" i="6"/>
  <c r="A36" i="6"/>
  <c r="E34" i="6"/>
  <c r="A33" i="6"/>
  <c r="E31" i="6"/>
  <c r="A30" i="6"/>
  <c r="E28" i="6"/>
  <c r="A27" i="6"/>
  <c r="E25" i="6"/>
  <c r="A24" i="6"/>
  <c r="E22" i="6"/>
  <c r="A21" i="6"/>
  <c r="D49" i="6"/>
  <c r="H47" i="6"/>
  <c r="D46" i="6"/>
  <c r="H44" i="6"/>
  <c r="D43" i="6"/>
  <c r="H41" i="6"/>
  <c r="D40" i="6"/>
  <c r="H38" i="6"/>
  <c r="D37" i="6"/>
  <c r="H35" i="6"/>
  <c r="D34" i="6"/>
  <c r="H32" i="6"/>
  <c r="D31" i="6"/>
  <c r="H29" i="6"/>
  <c r="D28" i="6"/>
  <c r="H26" i="6"/>
  <c r="D25" i="6"/>
  <c r="H23" i="6"/>
  <c r="D22" i="6"/>
  <c r="H20" i="6"/>
  <c r="H49" i="6"/>
  <c r="D47" i="6"/>
  <c r="D45" i="6"/>
  <c r="H42" i="6"/>
  <c r="H40" i="6"/>
  <c r="D38" i="6"/>
  <c r="D36" i="6"/>
  <c r="H33" i="6"/>
  <c r="H31" i="6"/>
  <c r="D29" i="6"/>
  <c r="D27" i="6"/>
  <c r="H24" i="6"/>
  <c r="H22" i="6"/>
  <c r="D20" i="6"/>
  <c r="C49" i="6"/>
  <c r="C47" i="6"/>
  <c r="G44" i="6"/>
  <c r="G42" i="6"/>
  <c r="C40" i="6"/>
  <c r="C38" i="6"/>
  <c r="G35" i="6"/>
  <c r="G33" i="6"/>
  <c r="C31" i="6"/>
  <c r="C29" i="6"/>
  <c r="G26" i="6"/>
  <c r="G24" i="6"/>
  <c r="C22" i="6"/>
  <c r="C20" i="6"/>
  <c r="B49" i="6"/>
  <c r="B47" i="6"/>
  <c r="F44" i="6"/>
  <c r="F42" i="6"/>
  <c r="B40" i="6"/>
  <c r="B38" i="6"/>
  <c r="F35" i="6"/>
  <c r="F33" i="6"/>
  <c r="B31" i="6"/>
  <c r="B29" i="6"/>
  <c r="F26" i="6"/>
  <c r="F24" i="6"/>
  <c r="B22" i="6"/>
  <c r="B20" i="6"/>
  <c r="A49" i="6"/>
  <c r="B46" i="6"/>
  <c r="C43" i="6"/>
  <c r="A40" i="6"/>
  <c r="B37" i="6"/>
  <c r="C34" i="6"/>
  <c r="A31" i="6"/>
  <c r="B28" i="6"/>
  <c r="C25" i="6"/>
  <c r="A22" i="6"/>
  <c r="H48" i="6"/>
  <c r="A46" i="6"/>
  <c r="B43" i="6"/>
  <c r="H39" i="6"/>
  <c r="A37" i="6"/>
  <c r="B34" i="6"/>
  <c r="H30" i="6"/>
  <c r="A28" i="6"/>
  <c r="B25" i="6"/>
  <c r="H21" i="6"/>
  <c r="G48" i="6"/>
  <c r="H45" i="6"/>
  <c r="A43" i="6"/>
  <c r="G39" i="6"/>
  <c r="H36" i="6"/>
  <c r="A34" i="6"/>
  <c r="G30" i="6"/>
  <c r="H27" i="6"/>
  <c r="A25" i="6"/>
  <c r="G21" i="6"/>
  <c r="F48" i="6"/>
  <c r="G45" i="6"/>
  <c r="E42" i="6"/>
  <c r="F39" i="6"/>
  <c r="G36" i="6"/>
  <c r="E33" i="6"/>
  <c r="F30" i="6"/>
  <c r="G27" i="6"/>
  <c r="E24" i="6"/>
  <c r="F21" i="6"/>
  <c r="E48" i="6"/>
  <c r="C44" i="6"/>
  <c r="E39" i="6"/>
  <c r="C35" i="6"/>
  <c r="E30" i="6"/>
  <c r="C26" i="6"/>
  <c r="E21" i="6"/>
  <c r="D48" i="6"/>
  <c r="B44" i="6"/>
  <c r="D39" i="6"/>
  <c r="B35" i="6"/>
  <c r="D30" i="6"/>
  <c r="B26" i="6"/>
  <c r="D21" i="6"/>
  <c r="G47" i="6"/>
  <c r="A44" i="6"/>
  <c r="G38" i="6"/>
  <c r="A35" i="6"/>
  <c r="G29" i="6"/>
  <c r="A26" i="6"/>
  <c r="G20" i="6"/>
  <c r="F47" i="6"/>
  <c r="H43" i="6"/>
  <c r="F38" i="6"/>
  <c r="H34" i="6"/>
  <c r="F29" i="6"/>
  <c r="H25" i="6"/>
  <c r="F20" i="6"/>
  <c r="E47" i="6"/>
  <c r="D42" i="6"/>
  <c r="E38" i="6"/>
  <c r="D33" i="6"/>
  <c r="E29" i="6"/>
  <c r="D24" i="6"/>
  <c r="E20" i="6"/>
  <c r="A47" i="6"/>
  <c r="B41" i="6"/>
  <c r="D32" i="6"/>
  <c r="F23" i="6"/>
  <c r="H46" i="6"/>
  <c r="A41" i="6"/>
  <c r="C32" i="6"/>
  <c r="E23" i="6"/>
  <c r="C46" i="6"/>
  <c r="A38" i="6"/>
  <c r="B32" i="6"/>
  <c r="D23" i="6"/>
  <c r="F45" i="6"/>
  <c r="H37" i="6"/>
  <c r="A32" i="6"/>
  <c r="C23" i="6"/>
  <c r="E45" i="6"/>
  <c r="C37" i="6"/>
  <c r="A29" i="6"/>
  <c r="B23" i="6"/>
  <c r="E44" i="6"/>
  <c r="F36" i="6"/>
  <c r="H28" i="6"/>
  <c r="A23" i="6"/>
  <c r="G41" i="6"/>
  <c r="E35" i="6"/>
  <c r="F27" i="6"/>
  <c r="D44" i="6"/>
  <c r="E26" i="6"/>
  <c r="D35" i="6"/>
  <c r="G32" i="6"/>
  <c r="F32" i="6"/>
  <c r="F41" i="6"/>
  <c r="D26" i="6"/>
  <c r="E41" i="6"/>
  <c r="G23" i="6"/>
  <c r="E32" i="6"/>
  <c r="E27" i="6"/>
  <c r="D41" i="6"/>
  <c r="A20" i="6"/>
  <c r="C41" i="6"/>
  <c r="E36" i="6"/>
  <c r="C28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<sst xmlns="http://schemas.openxmlformats.org/spreadsheetml/2006/main" count="2920" uniqueCount="474">
  <si>
    <t>לוח בקרה - ניהול מלאי מדגימי שיווק</t>
  </si>
  <si>
    <t>סינון נתונים</t>
  </si>
  <si>
    <t>סביבה:</t>
  </si>
  <si>
    <t>הכל</t>
  </si>
  <si>
    <t>תקינות ויזואלית:</t>
  </si>
  <si>
    <t>קו מוצר:</t>
  </si>
  <si>
    <t>תקינות תרמית:</t>
  </si>
  <si>
    <t>מוצר:</t>
  </si>
  <si>
    <t>גרסה סופית:</t>
  </si>
  <si>
    <t>סוג בד:</t>
  </si>
  <si>
    <t>מידה:</t>
  </si>
  <si>
    <t>סטטוס:</t>
  </si>
  <si>
    <t>מדינת השאלה:</t>
  </si>
  <si>
    <t>גרסה מיוחדת(פיתוח):</t>
  </si>
  <si>
    <t>לא</t>
  </si>
  <si>
    <t>גרסת מוצר:</t>
  </si>
  <si>
    <t>סיכום מלאי</t>
  </si>
  <si>
    <t>פילוח</t>
  </si>
  <si>
    <t>סה"כ מוצרים:</t>
  </si>
  <si>
    <t>במלאי:</t>
  </si>
  <si>
    <t>מושאלים:</t>
  </si>
  <si>
    <t>תקין לגמרי:</t>
  </si>
  <si>
    <t>חדר תצוגה:</t>
  </si>
  <si>
    <t>תיק הדגמה:</t>
  </si>
  <si>
    <t>ויזואלי בלבד:</t>
  </si>
  <si>
    <t>הדפס לא מתאים:</t>
  </si>
  <si>
    <t>פער תכולה:</t>
  </si>
  <si>
    <t>תרמי בלבד:</t>
  </si>
  <si>
    <t>מיוחד(פיתוח):</t>
  </si>
  <si>
    <t>פירוט מוצרים מסוננים (עד 30)</t>
  </si>
  <si>
    <t>קו מוצר</t>
  </si>
  <si>
    <t>שם מוצר</t>
  </si>
  <si>
    <t>גרסה</t>
  </si>
  <si>
    <t>מזהה</t>
  </si>
  <si>
    <t>הדפס א'</t>
  </si>
  <si>
    <t>הדפס ב'</t>
  </si>
  <si>
    <t>סטטוס</t>
  </si>
  <si>
    <t>הערות</t>
  </si>
  <si>
    <t>* פירוט מלא ועריכה: גיליון מלאי</t>
  </si>
  <si>
    <t>זיהוי מוצר</t>
  </si>
  <si>
    <t>פרטים</t>
  </si>
  <si>
    <t>בד</t>
  </si>
  <si>
    <t>הדפסים</t>
  </si>
  <si>
    <t>מזהה ייחודי</t>
  </si>
  <si>
    <t>סוג בד 1</t>
  </si>
  <si>
    <t>סוג בד 2</t>
  </si>
  <si>
    <t>הדפס צד ב'</t>
  </si>
  <si>
    <t>תקין תרמית ב'</t>
  </si>
  <si>
    <t>פיצ'רים תקינים</t>
  </si>
  <si>
    <t>גרסה סופית</t>
  </si>
  <si>
    <t>הערות גרסה/פיצ'רים</t>
  </si>
  <si>
    <t>נובל</t>
  </si>
  <si>
    <t>גרסה מיוחדת(פיתוח)</t>
  </si>
  <si>
    <t>מידה</t>
  </si>
  <si>
    <t>פער בתכולה</t>
  </si>
  <si>
    <t>מושאל ל</t>
  </si>
  <si>
    <t>מדינה</t>
  </si>
  <si>
    <t>החזרה משוערת</t>
  </si>
  <si>
    <t>סביבה ב'</t>
  </si>
  <si>
    <t>סביבה משנית ב'</t>
  </si>
  <si>
    <t>מסנן בקרה</t>
  </si>
  <si>
    <t>מסנן טכנו</t>
  </si>
  <si>
    <t>OverGarment</t>
  </si>
  <si>
    <t>Poncho Sahar</t>
  </si>
  <si>
    <t>V1</t>
  </si>
  <si>
    <t>Mesh</t>
  </si>
  <si>
    <t>Ever-Green</t>
  </si>
  <si>
    <t>Desert</t>
  </si>
  <si>
    <t>כן</t>
  </si>
  <si>
    <t>במלאי</t>
  </si>
  <si>
    <t>בחדר תצוגה</t>
  </si>
  <si>
    <t>V2</t>
  </si>
  <si>
    <t>Poncho Inbar</t>
  </si>
  <si>
    <t>RIPSTOP</t>
  </si>
  <si>
    <t>Forest Green</t>
  </si>
  <si>
    <t>גם סקוצ'ים וגם טיקטקים</t>
  </si>
  <si>
    <t>Desert=הדפס ישן</t>
  </si>
  <si>
    <t>Desert Coyote</t>
  </si>
  <si>
    <t>May Suit</t>
  </si>
  <si>
    <t>RIPSTOP Double Layer</t>
  </si>
  <si>
    <t>NATO</t>
  </si>
  <si>
    <t>מאי תצוגה</t>
  </si>
  <si>
    <t>מאי הדגמה</t>
  </si>
  <si>
    <t>Gal Suit</t>
  </si>
  <si>
    <t>גל הדגמה</t>
  </si>
  <si>
    <t>גל תצוגה</t>
  </si>
  <si>
    <t>SWAT 3-Part SUIT</t>
  </si>
  <si>
    <t>SWAT הדגמה</t>
  </si>
  <si>
    <t>Urban</t>
  </si>
  <si>
    <t>SWAT תצוגה</t>
  </si>
  <si>
    <t>Poncho SRV</t>
  </si>
  <si>
    <t>Short</t>
  </si>
  <si>
    <t>Marine</t>
  </si>
  <si>
    <t>Short V2</t>
  </si>
  <si>
    <t>SRV ב קצר הדגמה</t>
  </si>
  <si>
    <t>Woodland</t>
  </si>
  <si>
    <t>Desert-Green</t>
  </si>
  <si>
    <t>יש טיקטקים וגם סקוצ'ים בצדדים</t>
  </si>
  <si>
    <t>Hobey Elite</t>
  </si>
  <si>
    <t>הובי תצוגה 1</t>
  </si>
  <si>
    <t>Kestrel</t>
  </si>
  <si>
    <t>גל תצוגה אורבן</t>
  </si>
  <si>
    <t>Boulder</t>
  </si>
  <si>
    <t>Sniper Assault</t>
  </si>
  <si>
    <t>חליפת צלף הדגמה</t>
  </si>
  <si>
    <t>3D</t>
  </si>
  <si>
    <t>Hide Site</t>
  </si>
  <si>
    <t>Operators HS</t>
  </si>
  <si>
    <t>רשת רכב</t>
  </si>
  <si>
    <t>MRG</t>
  </si>
  <si>
    <t>Urban Green</t>
  </si>
  <si>
    <t>Woodland Brown</t>
  </si>
  <si>
    <t>חסר קונסטרוקציה</t>
  </si>
  <si>
    <t>V2 3D</t>
  </si>
  <si>
    <t>Blankets</t>
  </si>
  <si>
    <t>3D Survival Blanket</t>
  </si>
  <si>
    <t>יריעה 3D הדגמה 1</t>
  </si>
  <si>
    <t>Water Proof Survival Blanket</t>
  </si>
  <si>
    <t>יריעה אטומה תצוגה</t>
  </si>
  <si>
    <t>WaterProof Blackout Fabric</t>
  </si>
  <si>
    <t>יריעה אטומה הדגמה</t>
  </si>
  <si>
    <t>Survival Blanket</t>
  </si>
  <si>
    <t>סינון השאלות</t>
  </si>
  <si>
    <t>מדינה:</t>
  </si>
  <si>
    <t>מושאל ל:</t>
  </si>
  <si>
    <t>אחראי:</t>
  </si>
  <si>
    <t>מס'</t>
  </si>
  <si>
    <t>מזהה מוצר</t>
  </si>
  <si>
    <t>אחראי</t>
  </si>
  <si>
    <t>תאריך השאלה</t>
  </si>
  <si>
    <t>החזרה בפועל</t>
  </si>
  <si>
    <t>התראת איחור</t>
  </si>
  <si>
    <t>מסנן</t>
  </si>
  <si>
    <t>תכולה לפי מוצר</t>
  </si>
  <si>
    <t>תכולה סטנדרטית</t>
  </si>
  <si>
    <t>חוסרים / בעיות</t>
  </si>
  <si>
    <t>לוח בקרה טכנו-מבצעי</t>
  </si>
  <si>
    <t>נובל:</t>
  </si>
  <si>
    <t>ערך טכנולוגי מ:</t>
  </si>
  <si>
    <t>ערך טכנולוגי עד:</t>
  </si>
  <si>
    <t>ערכים טכנולוגיים - מידע סודי</t>
  </si>
  <si>
    <t>צד א'</t>
  </si>
  <si>
    <t>צד ב'</t>
  </si>
  <si>
    <t>MWIR א'</t>
  </si>
  <si>
    <t>LWIR א'</t>
  </si>
  <si>
    <t>NIR א'</t>
  </si>
  <si>
    <t>MWIR ב'</t>
  </si>
  <si>
    <t>LWIR ב'</t>
  </si>
  <si>
    <t>NIR ב'</t>
  </si>
  <si>
    <t>הדפס</t>
  </si>
  <si>
    <t>סביבה ראשית</t>
  </si>
  <si>
    <t>סביבה משנית</t>
  </si>
  <si>
    <t>תמונה</t>
  </si>
  <si>
    <t>סביבות</t>
  </si>
  <si>
    <t>קווי מוצר</t>
  </si>
  <si>
    <t>מוצר</t>
  </si>
  <si>
    <t>מק"ט</t>
  </si>
  <si>
    <t>סוגי בד</t>
  </si>
  <si>
    <t>סטטוסים</t>
  </si>
  <si>
    <t>כן/לא</t>
  </si>
  <si>
    <t>מידות</t>
  </si>
  <si>
    <t>מוצר (תכולה)</t>
  </si>
  <si>
    <t>מדברי</t>
  </si>
  <si>
    <t>(תמונה)</t>
  </si>
  <si>
    <t>7021-00</t>
  </si>
  <si>
    <t>XS</t>
  </si>
  <si>
    <t>מיוער</t>
  </si>
  <si>
    <t>7004-01</t>
  </si>
  <si>
    <t>S</t>
  </si>
  <si>
    <t>Sand</t>
  </si>
  <si>
    <t>שלג</t>
  </si>
  <si>
    <t>Platform Hide Site</t>
  </si>
  <si>
    <t>7033-00</t>
  </si>
  <si>
    <t>מושאל</t>
  </si>
  <si>
    <t>M</t>
  </si>
  <si>
    <t>ימי</t>
  </si>
  <si>
    <t>Uniform</t>
  </si>
  <si>
    <t>7018-00</t>
  </si>
  <si>
    <t>בתיק הדגמה</t>
  </si>
  <si>
    <t>L</t>
  </si>
  <si>
    <t>בולדר/שטח בנוי</t>
  </si>
  <si>
    <t>7030-01</t>
  </si>
  <si>
    <t>LOKI Material</t>
  </si>
  <si>
    <t>XL</t>
  </si>
  <si>
    <t>אחר</t>
  </si>
  <si>
    <t>7031-01</t>
  </si>
  <si>
    <t>XXL</t>
  </si>
  <si>
    <t>Platform On-The-Move</t>
  </si>
  <si>
    <t>Poncho Sahar 3D</t>
  </si>
  <si>
    <t>Beti</t>
  </si>
  <si>
    <t>XXXL</t>
  </si>
  <si>
    <t>Accessories</t>
  </si>
  <si>
    <t>Poncho Inbar 3D</t>
  </si>
  <si>
    <t>9097-00</t>
  </si>
  <si>
    <t>Snirt Snow</t>
  </si>
  <si>
    <t>7040-01</t>
  </si>
  <si>
    <t>SMT</t>
  </si>
  <si>
    <t>Fresh Snow</t>
  </si>
  <si>
    <t>Arctic Jacket</t>
  </si>
  <si>
    <t>7051-00</t>
  </si>
  <si>
    <t>Meron</t>
  </si>
  <si>
    <t>Arctic Overpants</t>
  </si>
  <si>
    <t>7052-00</t>
  </si>
  <si>
    <t>Arber</t>
  </si>
  <si>
    <t>Arctic Poncho SRV</t>
  </si>
  <si>
    <t>IRR</t>
  </si>
  <si>
    <t>Arctic Gaiters</t>
  </si>
  <si>
    <t>Arctic Survival Blanket</t>
  </si>
  <si>
    <t>9021-00</t>
  </si>
  <si>
    <t>9028-00</t>
  </si>
  <si>
    <t>Water Proof Sniper Blanket</t>
  </si>
  <si>
    <t>9062-00</t>
  </si>
  <si>
    <t>9029-00</t>
  </si>
  <si>
    <t>IPS</t>
  </si>
  <si>
    <t>3007-00</t>
  </si>
  <si>
    <t>Survival Blanket: Loki</t>
  </si>
  <si>
    <t>9001-00</t>
  </si>
  <si>
    <t>OverWatch (ATGM) HS</t>
  </si>
  <si>
    <t>9004-01</t>
  </si>
  <si>
    <t>6X6 Hide Site</t>
  </si>
  <si>
    <t>9095-00</t>
  </si>
  <si>
    <t>עמדת חוד</t>
  </si>
  <si>
    <t>Window Kit</t>
  </si>
  <si>
    <t>9083-00</t>
  </si>
  <si>
    <t>Balaclava</t>
  </si>
  <si>
    <t>8006-00</t>
  </si>
  <si>
    <t>Gaiters</t>
  </si>
  <si>
    <t>5004-00</t>
  </si>
  <si>
    <t>Headcover</t>
  </si>
  <si>
    <t>8030-00</t>
  </si>
  <si>
    <t>Boonie hat</t>
  </si>
  <si>
    <t>7022-00</t>
  </si>
  <si>
    <t>Vest cover</t>
  </si>
  <si>
    <t>7017-00</t>
  </si>
  <si>
    <t>Pants</t>
  </si>
  <si>
    <t>Shirt</t>
  </si>
  <si>
    <t>LC79</t>
  </si>
  <si>
    <t>9026-00</t>
  </si>
  <si>
    <t>Vehicle hide site 9*12</t>
  </si>
  <si>
    <t>9090-00</t>
  </si>
  <si>
    <t>Vehicle hide site 9*13</t>
  </si>
  <si>
    <t>9093-00</t>
  </si>
  <si>
    <t>CMM 7.5*7.5</t>
  </si>
  <si>
    <t>3052-00</t>
  </si>
  <si>
    <t>CMM 10*10</t>
  </si>
  <si>
    <t>3077-05</t>
  </si>
  <si>
    <t>Zodiac Shore Cover</t>
  </si>
  <si>
    <t>3005-00</t>
  </si>
  <si>
    <t>MRZR cover</t>
  </si>
  <si>
    <t>3003-00</t>
  </si>
  <si>
    <t>Blackout hood</t>
  </si>
  <si>
    <t>9089-00</t>
  </si>
  <si>
    <t>Thermal drone landing pad</t>
  </si>
  <si>
    <t>9077-00</t>
  </si>
  <si>
    <t>Bag cover 90L</t>
  </si>
  <si>
    <t>7009-01</t>
  </si>
  <si>
    <t>Weapon Wraps</t>
  </si>
  <si>
    <t>5001-00</t>
  </si>
  <si>
    <t>Loki</t>
  </si>
  <si>
    <t>חליפת צלף תצוגה</t>
  </si>
  <si>
    <t>חסר תומך</t>
  </si>
  <si>
    <t>יריעה 3D תצוגה 2</t>
  </si>
  <si>
    <t>יריעת הישרדות קרוע 5</t>
  </si>
  <si>
    <t>קרוע בתחתית</t>
  </si>
  <si>
    <t xml:space="preserve"> Kestrel (אמריקאי)</t>
  </si>
  <si>
    <t>קסטרל אמריקאי</t>
  </si>
  <si>
    <t>לא הופך לOVERGARMENT</t>
  </si>
  <si>
    <t>יריעה 9  - בואקום</t>
  </si>
  <si>
    <t>מא"כ</t>
  </si>
  <si>
    <t xml:space="preserve">יריעת הישרדות מאכ 23 </t>
  </si>
  <si>
    <t xml:space="preserve">פונצ'ו הישרדות משולב (רשת) </t>
  </si>
  <si>
    <t>ויזואלי, ישן</t>
  </si>
  <si>
    <t>חסרים הרבה פיצ'רים</t>
  </si>
  <si>
    <t>מוצר ישן</t>
  </si>
  <si>
    <t>ארוכה</t>
  </si>
  <si>
    <t>עמדת חוליה 1 הדגמה</t>
  </si>
  <si>
    <t>A הדגמה</t>
  </si>
  <si>
    <t>A תצוגה</t>
  </si>
  <si>
    <t>B הדגמה</t>
  </si>
  <si>
    <t>A1</t>
  </si>
  <si>
    <t>A2</t>
  </si>
  <si>
    <t>A3</t>
  </si>
  <si>
    <t>B תצוגה</t>
  </si>
  <si>
    <t>סהר B 3D הדגמה</t>
  </si>
  <si>
    <t>B1</t>
  </si>
  <si>
    <t xml:space="preserve">Gal VIS 2 </t>
  </si>
  <si>
    <t>Gal Double layers 1</t>
  </si>
  <si>
    <t>Hobey 2</t>
  </si>
  <si>
    <t>Hobey 3</t>
  </si>
  <si>
    <t>RIPSTOP Hobey 1</t>
  </si>
  <si>
    <t>May3</t>
  </si>
  <si>
    <t>May4</t>
  </si>
  <si>
    <t>May Desert 1</t>
  </si>
  <si>
    <t>May Desert 2</t>
  </si>
  <si>
    <t>May Desert 3</t>
  </si>
  <si>
    <t>May Desert 4</t>
  </si>
  <si>
    <t>May Long 1</t>
  </si>
  <si>
    <t>SRV Short 9</t>
  </si>
  <si>
    <t>SRV Short 8</t>
  </si>
  <si>
    <t>SRV Short 6</t>
  </si>
  <si>
    <t>SRV Short 5</t>
  </si>
  <si>
    <t>SRV Short 3</t>
  </si>
  <si>
    <t>SRV Short 2</t>
  </si>
  <si>
    <t>SRV Short 13</t>
  </si>
  <si>
    <t>SRV Short 11</t>
  </si>
  <si>
    <t>SRV Short 1</t>
  </si>
  <si>
    <t>SRV Short 4</t>
  </si>
  <si>
    <t>SRV A16</t>
  </si>
  <si>
    <t xml:space="preserve">SRV A14  </t>
  </si>
  <si>
    <t>SRV A12</t>
  </si>
  <si>
    <t>SRV A10</t>
  </si>
  <si>
    <t>SRV Short B7</t>
  </si>
  <si>
    <t>עמדת חוליה MRG 3 הדגמה</t>
  </si>
  <si>
    <t>Op HS 2</t>
  </si>
  <si>
    <t>Op HS  4</t>
  </si>
  <si>
    <t>SRV Blanket 1</t>
  </si>
  <si>
    <t>SRV Blanket 3</t>
  </si>
  <si>
    <t>SRV Blanket 4</t>
  </si>
  <si>
    <t>SRV Blanket 2</t>
  </si>
  <si>
    <t>SRV Blanket 6</t>
  </si>
  <si>
    <t>SRV Blanket 10</t>
  </si>
  <si>
    <t>SRV Blanket 11</t>
  </si>
  <si>
    <t>SRV Blanket 12</t>
  </si>
  <si>
    <t>SRV Blanket 13</t>
  </si>
  <si>
    <t>SRV Blanket 14</t>
  </si>
  <si>
    <t>SRV Blanket 15</t>
  </si>
  <si>
    <t>SRV Blanket 16</t>
  </si>
  <si>
    <t>SRV Blanket 17</t>
  </si>
  <si>
    <t>SRV Blanket 18</t>
  </si>
  <si>
    <t>SRV Blanket 19</t>
  </si>
  <si>
    <t>SRV Blanket 20</t>
  </si>
  <si>
    <t>SRV Blanket 21</t>
  </si>
  <si>
    <t>SRV Blanket 22</t>
  </si>
  <si>
    <t>SRV Blanket 7</t>
  </si>
  <si>
    <t>SRV Blanket 8</t>
  </si>
  <si>
    <t>May Long Shirt</t>
  </si>
  <si>
    <t>overwatch 1</t>
  </si>
  <si>
    <t>Arctic poncho Fresh 1</t>
  </si>
  <si>
    <t xml:space="preserve">Arctic Jacket Fresh 1 </t>
  </si>
  <si>
    <t xml:space="preserve">Arctic Suit </t>
  </si>
  <si>
    <t xml:space="preserve">Arctic Suit Top Fresh 1 </t>
  </si>
  <si>
    <t xml:space="preserve">Arctic Suit Bot Fresh 1 </t>
  </si>
  <si>
    <t>Less is More</t>
  </si>
  <si>
    <t>Stretch</t>
  </si>
  <si>
    <t>SRV Blanket Arc 1</t>
  </si>
  <si>
    <t>Durable</t>
  </si>
  <si>
    <t>Gaiters Arc 1</t>
  </si>
  <si>
    <t>UNI 007</t>
  </si>
  <si>
    <t>אקססוריז לא בלבן</t>
  </si>
  <si>
    <t>קצת דהוי</t>
  </si>
  <si>
    <t xml:space="preserve">Arctic Jacket Snirt 1 </t>
  </si>
  <si>
    <t>Arctic Jacket Snirt 2</t>
  </si>
  <si>
    <t>Arctic poncho Snirt 2</t>
  </si>
  <si>
    <t>Arctic poncho Snirt 1</t>
  </si>
  <si>
    <t xml:space="preserve">Arctic Pants Fresh 1 </t>
  </si>
  <si>
    <t>Maritime</t>
  </si>
  <si>
    <t>"ADAM 2"</t>
  </si>
  <si>
    <t xml:space="preserve">Arctic Pants Snirt 1 </t>
  </si>
  <si>
    <t>Gaiters Arc 2</t>
  </si>
  <si>
    <t>ELITE</t>
  </si>
  <si>
    <t>Arctic Pants Fresh 2</t>
  </si>
  <si>
    <t>Arctic poncho Fresh 2</t>
  </si>
  <si>
    <t>UNI 022</t>
  </si>
  <si>
    <t>UNI 041</t>
  </si>
  <si>
    <t>Hobey Arc 4</t>
  </si>
  <si>
    <t xml:space="preserve">Prototype 1, קצת דהוי </t>
  </si>
  <si>
    <t>HS Floor</t>
  </si>
  <si>
    <t>ARC Op HS 5</t>
  </si>
  <si>
    <t>ARC Op HS 6</t>
  </si>
  <si>
    <t>Floor 1</t>
  </si>
  <si>
    <t>Floor 2</t>
  </si>
  <si>
    <t>מידה קטנה</t>
  </si>
  <si>
    <t>May Long 2</t>
  </si>
  <si>
    <t>Vehicle HS 1</t>
  </si>
  <si>
    <t>Vehicle HS 2</t>
  </si>
  <si>
    <t>Vehicle HS 3</t>
  </si>
  <si>
    <t>Vehicle HS 4</t>
  </si>
  <si>
    <t>Vehicle HS 5</t>
  </si>
  <si>
    <t>Vehicle HS 6</t>
  </si>
  <si>
    <t>Bagi HS 1</t>
  </si>
  <si>
    <t>A4</t>
  </si>
  <si>
    <t>Gal 1</t>
  </si>
  <si>
    <t>Inbar A4</t>
  </si>
  <si>
    <t>Inbar A1</t>
  </si>
  <si>
    <t>Inbar A2</t>
  </si>
  <si>
    <t>Inbar A3</t>
  </si>
  <si>
    <t>Inbar א תצוגה</t>
  </si>
  <si>
    <t>Inbar א הדגמה</t>
  </si>
  <si>
    <t>Inbar A5</t>
  </si>
  <si>
    <t>Inbar A6</t>
  </si>
  <si>
    <t>Inbar A7</t>
  </si>
  <si>
    <t>הדפס צד A'</t>
  </si>
  <si>
    <t>תקין תרמית A'</t>
  </si>
  <si>
    <t>סביבה A'</t>
  </si>
  <si>
    <t>סביבה משנית A'</t>
  </si>
  <si>
    <t>לA</t>
  </si>
  <si>
    <t>פלמחים</t>
  </si>
  <si>
    <t>הזמנה מיוחדת</t>
  </si>
  <si>
    <t>חלקים של עמדות</t>
  </si>
  <si>
    <t>מאלט - לMRZR</t>
  </si>
  <si>
    <t>גיל מחסן תחתון</t>
  </si>
  <si>
    <t>גיל בטי מחסן תחתון</t>
  </si>
  <si>
    <t>3.60 מחסן תחתון</t>
  </si>
  <si>
    <t>נתפר בארה"ב</t>
  </si>
  <si>
    <t>LC - 1</t>
  </si>
  <si>
    <t>LC - 2</t>
  </si>
  <si>
    <t>רשת הצללה</t>
  </si>
  <si>
    <t>רשת הצללה להדגמות</t>
  </si>
  <si>
    <t>דו-שכבתי</t>
  </si>
  <si>
    <t>GMV</t>
  </si>
  <si>
    <t>דוגמא GMV לא מטופל</t>
  </si>
  <si>
    <t>רשת חומרי חוץ 9*9</t>
  </si>
  <si>
    <t>"רשת לקטים"</t>
  </si>
  <si>
    <t>רשת לא ידועה 2</t>
  </si>
  <si>
    <t>רשת לא ידועה 3</t>
  </si>
  <si>
    <t>עמדת חוד 1</t>
  </si>
  <si>
    <t>עמדת חוד 2</t>
  </si>
  <si>
    <t>תומך קצר</t>
  </si>
  <si>
    <t>vm10</t>
  </si>
  <si>
    <t>לא ידוע 1</t>
  </si>
  <si>
    <t>לא ידוע 2</t>
  </si>
  <si>
    <t>bagi</t>
  </si>
  <si>
    <t>לא ידוע 3</t>
  </si>
  <si>
    <t>מחסן עליון גיל 1</t>
  </si>
  <si>
    <t>מחסן עליון באגי 1</t>
  </si>
  <si>
    <t>רשת לא ידועה 1</t>
  </si>
  <si>
    <t>overwatch 2</t>
  </si>
  <si>
    <t xml:space="preserve">ARC Op HS sampels Snirt </t>
  </si>
  <si>
    <t>Arctic Jacket sampels Snirt</t>
  </si>
  <si>
    <t>Arctic Pants sampels Fresh</t>
  </si>
  <si>
    <t>Arctic Pants sampels Snirt</t>
  </si>
  <si>
    <t>Gaiters Arc sampels Snirt</t>
  </si>
  <si>
    <t>Arctic poncho sampels Snirt</t>
  </si>
  <si>
    <t xml:space="preserve">ARC Op HS sampels Fresh </t>
  </si>
  <si>
    <t>Arctic Jacket sampels Fresh</t>
  </si>
  <si>
    <t>Arctic poncho sampels Fresh</t>
  </si>
  <si>
    <t>Gaiters Arc sampels Fresh</t>
  </si>
  <si>
    <t>SRV Blanket 23</t>
  </si>
  <si>
    <t xml:space="preserve">רצוי חדר תצוגה </t>
  </si>
  <si>
    <t>רצוי השאלות</t>
  </si>
  <si>
    <t xml:space="preserve"> סוג בד</t>
  </si>
  <si>
    <t>סביבה צד אחד</t>
  </si>
  <si>
    <t>סביבה צד שני</t>
  </si>
  <si>
    <t xml:space="preserve">רצוי בתיק הדגמות </t>
  </si>
  <si>
    <t>דור ב?</t>
  </si>
  <si>
    <t>דור א?</t>
  </si>
  <si>
    <t>עמית מוזהב</t>
  </si>
  <si>
    <t>שלג בהיר</t>
  </si>
  <si>
    <t>שלג כהה</t>
  </si>
  <si>
    <t>Arctic poncho Fresh 3</t>
  </si>
  <si>
    <t>תקינות ומאפיינים</t>
  </si>
  <si>
    <t>מק"ט (אוטומטי)</t>
  </si>
  <si>
    <t>תקין ויזואלית ב'</t>
  </si>
  <si>
    <t>תקין ויזואלית א'</t>
  </si>
  <si>
    <t>השאלה</t>
  </si>
  <si>
    <t>אחראי מהחברה</t>
  </si>
  <si>
    <t>גודל 70</t>
  </si>
  <si>
    <t>גודל 110</t>
  </si>
  <si>
    <t>?</t>
  </si>
  <si>
    <t>1 ריפסטופ מטופל 1  רשת</t>
  </si>
  <si>
    <t>אדם, דגם-2</t>
  </si>
  <si>
    <t>UNI 008</t>
  </si>
  <si>
    <t>עם כתמי חלודה</t>
  </si>
  <si>
    <t>UNI 006</t>
  </si>
  <si>
    <t>UNI 005</t>
  </si>
  <si>
    <t>UNI 036</t>
  </si>
  <si>
    <t>רשום כ"פסול"</t>
  </si>
  <si>
    <t>חולצה מלאי 1</t>
  </si>
  <si>
    <t>קסדה מרון 1</t>
  </si>
  <si>
    <t>יריעת החשכה</t>
  </si>
  <si>
    <t>IRR מדגים</t>
  </si>
  <si>
    <t xml:space="preserve">בלי פיצ'רים,רק "אוזניים" </t>
  </si>
  <si>
    <t>בד החשכה כפול</t>
  </si>
  <si>
    <t>בלקלבה מלאי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</si>
</sst>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B1mmm\-yy"/>
  </numFmts>
  <fonts count="26" x14ac:knownFonts="1">
    <font>
      <sz val="11"/>
      <color theme="1"/>
      <name val="Calibri"/>
      <family val="2"/>
      <charset val="1"/>
    </font>
    <font>
      <b/>
      <sz val="14"/>
      <color rgb="FF1B4332"/>
      <name val="Arial"/>
      <charset val="1"/>
    </font>
    <font>
      <b/>
      <sz val="16"/>
      <color rgb="FF1B4332"/>
      <name val="Arial"/>
      <charset val="1"/>
    </font>
    <font>
      <b/>
      <sz val="13"/>
      <color rgb="FF1B4332"/>
      <name val="Arial"/>
      <charset val="1"/>
    </font>
    <font>
      <b/>
      <sz val="10"/>
      <color rgb="FF333333"/>
      <name val="Arial"/>
      <charset val="1"/>
    </font>
    <font>
      <sz val="10"/>
      <color rgb="FF0000FF"/>
      <name val="Arial"/>
      <charset val="1"/>
    </font>
    <font>
      <b/>
      <sz val="12"/>
      <color rgb="FF2D6A4F"/>
      <name val="Arial"/>
      <charset val="1"/>
    </font>
    <font>
      <b/>
      <sz val="11"/>
      <color rgb="FF795548"/>
      <name val="Arial"/>
      <charset val="1"/>
    </font>
    <font>
      <b/>
      <sz val="10"/>
      <name val="Arial"/>
      <charset val="1"/>
    </font>
    <font>
      <b/>
      <sz val="11"/>
      <color rgb="FF1B4332"/>
      <name val="Arial"/>
      <charset val="1"/>
    </font>
    <font>
      <b/>
      <sz val="10"/>
      <color rgb="FFB71C1C"/>
      <name val="Arial"/>
      <charset val="1"/>
    </font>
    <font>
      <b/>
      <sz val="11"/>
      <color rgb="FFB71C1C"/>
      <name val="Arial"/>
      <charset val="1"/>
    </font>
    <font>
      <b/>
      <sz val="10"/>
      <color rgb="FFE65100"/>
      <name val="Arial"/>
      <charset val="1"/>
    </font>
    <font>
      <b/>
      <sz val="11"/>
      <color rgb="FFE65100"/>
      <name val="Arial"/>
      <charset val="1"/>
    </font>
    <font>
      <b/>
      <sz val="10"/>
      <color rgb="FF7B1FA2"/>
      <name val="Arial"/>
      <charset val="1"/>
    </font>
    <font>
      <b/>
      <sz val="11"/>
      <color rgb="FF7B1FA2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9"/>
      <name val="Arial"/>
      <charset val="1"/>
    </font>
    <font>
      <i/>
      <sz val="9"/>
      <color rgb="FF999999"/>
      <name val="Arial"/>
      <charset val="1"/>
    </font>
    <font>
      <b/>
      <sz val="10"/>
      <color rgb="FFFFFFFF"/>
      <name val="Arial"/>
      <charset val="1"/>
    </font>
    <font>
      <b/>
      <sz val="14"/>
      <color rgb="FFB71C1C"/>
      <name val="Arial"/>
      <charset val="1"/>
    </font>
    <font>
      <sz val="10"/>
      <color rgb="FF0000FF"/>
      <name val="Arial"/>
      <family val="2"/>
    </font>
    <font>
      <sz val="10"/>
      <name val="Arial"/>
      <family val="2"/>
    </font>
    <font>
      <sz val="8"/>
      <name val="Calibri"/>
      <family val="2"/>
      <charset val="1"/>
    </font>
    <font>
      <sz val="10"/>
      <name val="Arial"/>
    </font>
  </fonts>
  <fills count="28">
    <fill>
      <patternFill patternType="none"/>
    </fill>
    <fill>
      <patternFill patternType="gray125"/>
    </fill>
    <fill>
      <patternFill patternType="solid">
        <fgColor rgb="FFD8F3DC"/>
        <bgColor rgb="FFE8F5E9"/>
      </patternFill>
    </fill>
    <fill>
      <patternFill patternType="solid">
        <fgColor rgb="FF95D5B2"/>
        <bgColor rgb="FFA5D6A7"/>
      </patternFill>
    </fill>
    <fill>
      <patternFill patternType="solid">
        <fgColor rgb="FFE8F5E9"/>
        <bgColor rgb="FFF0F0F0"/>
      </patternFill>
    </fill>
    <fill>
      <patternFill patternType="solid">
        <fgColor rgb="FFEFEBE9"/>
        <bgColor rgb="FFF0F0F0"/>
      </patternFill>
    </fill>
    <fill>
      <patternFill patternType="solid">
        <fgColor rgb="FFC8E6C9"/>
        <bgColor rgb="FFD8F3DC"/>
      </patternFill>
    </fill>
    <fill>
      <patternFill patternType="solid">
        <fgColor rgb="FFFFCDD2"/>
        <bgColor rgb="FFFFE0B2"/>
      </patternFill>
    </fill>
    <fill>
      <patternFill patternType="solid">
        <fgColor rgb="FFA5D6A7"/>
        <bgColor rgb="FF95D5B2"/>
      </patternFill>
    </fill>
    <fill>
      <patternFill patternType="solid">
        <fgColor rgb="FFBBDEFB"/>
        <bgColor rgb="FFC8E6C9"/>
      </patternFill>
    </fill>
    <fill>
      <patternFill patternType="solid">
        <fgColor rgb="FFFFE0B2"/>
        <bgColor rgb="FFFFCDD2"/>
      </patternFill>
    </fill>
    <fill>
      <patternFill patternType="solid">
        <fgColor rgb="FFFFF9C4"/>
        <bgColor rgb="FFFFF3E0"/>
      </patternFill>
    </fill>
    <fill>
      <patternFill patternType="solid">
        <fgColor rgb="FFE1BEE7"/>
        <bgColor rgb="FFCCCCCC"/>
      </patternFill>
    </fill>
    <fill>
      <patternFill patternType="solid">
        <fgColor rgb="FF1B4332"/>
        <bgColor rgb="FF333333"/>
      </patternFill>
    </fill>
    <fill>
      <patternFill patternType="solid">
        <fgColor rgb="FFFFFFFF"/>
        <bgColor rgb="FFFFF3E0"/>
      </patternFill>
    </fill>
    <fill>
      <patternFill patternType="solid">
        <fgColor rgb="FFF0F0F0"/>
        <bgColor rgb="FFEFEBE9"/>
      </patternFill>
    </fill>
    <fill>
      <patternFill patternType="solid">
        <fgColor rgb="FF2D6A4F"/>
        <bgColor rgb="FF1B5E20"/>
      </patternFill>
    </fill>
    <fill>
      <patternFill patternType="solid">
        <fgColor rgb="FFFFF3E0"/>
        <bgColor rgb="FFFFEBEE"/>
      </patternFill>
    </fill>
    <fill>
      <patternFill patternType="solid">
        <fgColor rgb="FFC62828"/>
        <bgColor rgb="FFB71C1C"/>
      </patternFill>
    </fill>
    <fill>
      <patternFill patternType="solid">
        <fgColor rgb="FFAD1457"/>
        <bgColor rgb="FFB71C1C"/>
      </patternFill>
    </fill>
    <fill>
      <patternFill patternType="solid">
        <fgColor rgb="FFB71C1C"/>
        <bgColor rgb="FFC62828"/>
      </patternFill>
    </fill>
    <fill>
      <patternFill patternType="solid">
        <fgColor theme="2"/>
        <bgColor rgb="FFFFF3E0"/>
      </patternFill>
    </fill>
    <fill>
      <patternFill patternType="solid">
        <fgColor theme="2"/>
        <bgColor rgb="FFEFEBE9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rgb="FFEFEBE9"/>
      </patternFill>
    </fill>
    <fill>
      <patternFill patternType="solid">
        <fgColor theme="3" tint="0.79998168889431442"/>
        <bgColor rgb="FFFFF3E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 style="thin">
        <color rgb="FFCCCCCC"/>
      </right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4" fillId="0" borderId="0" xfId="0" applyFont="1" applyAlignment="1">
      <alignment horizontal="right" vertical="center" wrapText="1" readingOrder="2"/>
    </xf>
    <xf numFmtId="0" fontId="5" fillId="4" borderId="1" xfId="0" applyFont="1" applyFill="1" applyBorder="1" applyAlignment="1" applyProtection="1">
      <alignment horizontal="center" vertical="center" wrapText="1" readingOrder="2"/>
      <protection locked="0"/>
    </xf>
    <xf numFmtId="0" fontId="1" fillId="4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right" vertical="center" wrapText="1" readingOrder="2"/>
    </xf>
    <xf numFmtId="0" fontId="9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right" vertical="center" wrapText="1" readingOrder="2"/>
    </xf>
    <xf numFmtId="0" fontId="11" fillId="11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right" vertical="center" wrapText="1" readingOrder="2"/>
    </xf>
    <xf numFmtId="0" fontId="13" fillId="10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 vertical="center" wrapText="1" readingOrder="2"/>
    </xf>
    <xf numFmtId="0" fontId="15" fillId="12" borderId="1" xfId="0" applyFont="1" applyFill="1" applyBorder="1" applyAlignment="1">
      <alignment horizontal="center" vertical="center" wrapText="1"/>
    </xf>
    <xf numFmtId="0" fontId="16" fillId="13" borderId="1" xfId="0" applyFont="1" applyFill="1" applyBorder="1" applyAlignment="1">
      <alignment horizontal="center" vertical="center" wrapText="1" readingOrder="2"/>
    </xf>
    <xf numFmtId="0" fontId="17" fillId="14" borderId="1" xfId="0" applyFont="1" applyFill="1" applyBorder="1" applyAlignment="1">
      <alignment horizontal="center" vertical="center" wrapText="1" readingOrder="2"/>
    </xf>
    <xf numFmtId="0" fontId="18" fillId="14" borderId="1" xfId="0" applyFont="1" applyFill="1" applyBorder="1" applyAlignment="1">
      <alignment horizontal="center" vertical="center" wrapText="1" readingOrder="2"/>
    </xf>
    <xf numFmtId="0" fontId="17" fillId="15" borderId="1" xfId="0" applyFont="1" applyFill="1" applyBorder="1" applyAlignment="1">
      <alignment horizontal="center" vertical="center" wrapText="1" readingOrder="2"/>
    </xf>
    <xf numFmtId="0" fontId="18" fillId="15" borderId="1" xfId="0" applyFont="1" applyFill="1" applyBorder="1" applyAlignment="1">
      <alignment horizontal="center" vertical="center" wrapText="1" readingOrder="2"/>
    </xf>
    <xf numFmtId="0" fontId="19" fillId="0" borderId="0" xfId="0" applyFont="1"/>
    <xf numFmtId="0" fontId="20" fillId="16" borderId="1" xfId="0" applyFont="1" applyFill="1" applyBorder="1" applyAlignment="1">
      <alignment horizontal="center" vertical="center" wrapText="1" readingOrder="2"/>
    </xf>
    <xf numFmtId="0" fontId="17" fillId="0" borderId="1" xfId="0" applyFont="1" applyBorder="1" applyAlignment="1">
      <alignment horizontal="center" vertical="center" wrapText="1" readingOrder="2"/>
    </xf>
    <xf numFmtId="0" fontId="5" fillId="17" borderId="1" xfId="0" applyFont="1" applyFill="1" applyBorder="1" applyAlignment="1" applyProtection="1">
      <alignment horizontal="center" vertical="center" wrapText="1" readingOrder="2"/>
      <protection locked="0"/>
    </xf>
    <xf numFmtId="0" fontId="0" fillId="17" borderId="1" xfId="0" applyFill="1" applyBorder="1" applyProtection="1">
      <protection locked="0"/>
    </xf>
    <xf numFmtId="0" fontId="16" fillId="20" borderId="1" xfId="0" applyFont="1" applyFill="1" applyBorder="1" applyAlignment="1">
      <alignment horizontal="center" vertical="center" wrapText="1" readingOrder="2"/>
    </xf>
    <xf numFmtId="0" fontId="22" fillId="4" borderId="1" xfId="0" applyFont="1" applyFill="1" applyBorder="1" applyAlignment="1" applyProtection="1">
      <alignment horizontal="center" vertical="center" wrapText="1" readingOrder="2"/>
      <protection locked="0"/>
    </xf>
    <xf numFmtId="0" fontId="17" fillId="0" borderId="4" xfId="0" applyFont="1" applyBorder="1" applyAlignment="1">
      <alignment horizontal="center" vertical="center" wrapText="1" readingOrder="2"/>
    </xf>
    <xf numFmtId="0" fontId="23" fillId="15" borderId="1" xfId="0" applyFont="1" applyFill="1" applyBorder="1" applyAlignment="1">
      <alignment horizontal="center" vertical="center" wrapText="1" readingOrder="2"/>
    </xf>
    <xf numFmtId="0" fontId="23" fillId="14" borderId="1" xfId="0" applyFont="1" applyFill="1" applyBorder="1" applyAlignment="1">
      <alignment horizontal="center" vertical="center" wrapText="1" readingOrder="2"/>
    </xf>
    <xf numFmtId="164" fontId="17" fillId="15" borderId="1" xfId="0" applyNumberFormat="1" applyFont="1" applyFill="1" applyBorder="1" applyAlignment="1">
      <alignment horizontal="center" vertical="center" wrapText="1" readingOrder="2"/>
    </xf>
    <xf numFmtId="0" fontId="0" fillId="0" borderId="0" xfId="0" applyAlignment="1">
      <alignment horizontal="center" vertical="center"/>
    </xf>
    <xf numFmtId="0" fontId="23" fillId="0" borderId="4" xfId="0" applyFont="1" applyBorder="1" applyAlignment="1">
      <alignment horizontal="center" vertical="center" wrapText="1" readingOrder="2"/>
    </xf>
    <xf numFmtId="0" fontId="23" fillId="0" borderId="1" xfId="0" applyFont="1" applyBorder="1" applyAlignment="1">
      <alignment horizontal="center" vertical="center" wrapText="1" readingOrder="2"/>
    </xf>
    <xf numFmtId="0" fontId="17" fillId="15" borderId="4" xfId="0" applyFont="1" applyFill="1" applyBorder="1" applyAlignment="1">
      <alignment horizontal="center" vertical="center" wrapText="1" readingOrder="2"/>
    </xf>
    <xf numFmtId="0" fontId="17" fillId="22" borderId="1" xfId="0" applyFont="1" applyFill="1" applyBorder="1" applyAlignment="1">
      <alignment horizontal="center" vertical="center" wrapText="1" readingOrder="2"/>
    </xf>
    <xf numFmtId="0" fontId="25" fillId="15" borderId="1" xfId="0" applyFont="1" applyFill="1" applyBorder="1" applyAlignment="1">
      <alignment horizontal="center" vertical="center" wrapText="1" readingOrder="2"/>
    </xf>
    <xf numFmtId="0" fontId="25" fillId="14" borderId="1" xfId="0" applyFont="1" applyFill="1" applyBorder="1" applyAlignment="1">
      <alignment horizontal="center" vertical="center" wrapText="1" readingOrder="2"/>
    </xf>
    <xf numFmtId="0" fontId="25" fillId="21" borderId="1" xfId="0" applyFont="1" applyFill="1" applyBorder="1" applyAlignment="1">
      <alignment horizontal="center" vertical="center" wrapText="1" readingOrder="2"/>
    </xf>
    <xf numFmtId="0" fontId="25" fillId="22" borderId="1" xfId="0" applyFont="1" applyFill="1" applyBorder="1" applyAlignment="1">
      <alignment horizontal="center" vertical="center" wrapText="1" readingOrder="2"/>
    </xf>
    <xf numFmtId="0" fontId="23" fillId="22" borderId="1" xfId="0" applyFont="1" applyFill="1" applyBorder="1" applyAlignment="1">
      <alignment horizontal="center" vertical="center" wrapText="1" readingOrder="2"/>
    </xf>
    <xf numFmtId="0" fontId="17" fillId="23" borderId="1" xfId="0" applyFont="1" applyFill="1" applyBorder="1" applyAlignment="1">
      <alignment horizontal="center" vertical="center" wrapText="1" readingOrder="2"/>
    </xf>
    <xf numFmtId="0" fontId="23" fillId="23" borderId="1" xfId="0" applyFont="1" applyFill="1" applyBorder="1" applyAlignment="1">
      <alignment horizontal="center" vertical="center" wrapText="1" readingOrder="2"/>
    </xf>
    <xf numFmtId="0" fontId="25" fillId="24" borderId="1" xfId="0" applyFont="1" applyFill="1" applyBorder="1" applyAlignment="1">
      <alignment horizontal="center" vertical="center" wrapText="1" readingOrder="2"/>
    </xf>
    <xf numFmtId="0" fontId="17" fillId="25" borderId="1" xfId="0" applyFont="1" applyFill="1" applyBorder="1" applyAlignment="1">
      <alignment horizontal="center" vertical="center" wrapText="1" readingOrder="2"/>
    </xf>
    <xf numFmtId="0" fontId="17" fillId="24" borderId="1" xfId="0" applyFont="1" applyFill="1" applyBorder="1" applyAlignment="1">
      <alignment horizontal="center" vertical="center" wrapText="1" readingOrder="2"/>
    </xf>
    <xf numFmtId="0" fontId="0" fillId="26" borderId="0" xfId="0" applyFill="1"/>
    <xf numFmtId="0" fontId="25" fillId="0" borderId="5" xfId="0" applyFont="1" applyBorder="1" applyAlignment="1">
      <alignment horizontal="center" vertical="center" wrapText="1" readingOrder="2"/>
    </xf>
    <xf numFmtId="0" fontId="25" fillId="0" borderId="4" xfId="0" applyFont="1" applyBorder="1" applyAlignment="1">
      <alignment horizontal="center" vertical="center" wrapText="1" readingOrder="2"/>
    </xf>
    <xf numFmtId="0" fontId="0" fillId="0" borderId="0" xfId="0" applyAlignment="1">
      <alignment horizontal="center"/>
    </xf>
    <xf numFmtId="0" fontId="0" fillId="27" borderId="0" xfId="0" applyFill="1"/>
    <xf numFmtId="0" fontId="25" fillId="0" borderId="1" xfId="0" applyFont="1" applyBorder="1" applyAlignment="1">
      <alignment horizontal="center" vertical="center" wrapText="1" readingOrder="2"/>
    </xf>
    <xf numFmtId="0" fontId="16" fillId="19" borderId="1" xfId="0" applyFont="1" applyFill="1" applyBorder="1"/>
    <xf numFmtId="0" fontId="0" fillId="0" borderId="2" xfId="0" applyBorder="1"/>
    <xf numFmtId="0" fontId="0" fillId="0" borderId="3" xfId="0" applyBorder="1"/>
    <xf numFmtId="0" fontId="21" fillId="0" borderId="0" xfId="0" applyFont="1" applyAlignment="1">
      <alignment horizontal="center" vertical="center" wrapText="1"/>
    </xf>
    <xf numFmtId="0" fontId="0" fillId="0" borderId="0" xfId="0"/>
    <xf numFmtId="0" fontId="16" fillId="18" borderId="1" xfId="0" applyFont="1" applyFill="1" applyBorder="1"/>
    <xf numFmtId="0" fontId="6" fillId="3" borderId="1" xfId="0" applyFont="1" applyFill="1" applyBorder="1"/>
    <xf numFmtId="0" fontId="2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/>
    <xf numFmtId="0" fontId="3" fillId="3" borderId="1" xfId="0" applyFont="1" applyFill="1" applyBorder="1"/>
    <xf numFmtId="0" fontId="16" fillId="13" borderId="1" xfId="0" applyFont="1" applyFill="1" applyBorder="1" applyAlignment="1">
      <alignment horizontal="center" vertical="center" wrapText="1" readingOrder="2"/>
    </xf>
    <xf numFmtId="0" fontId="3" fillId="3" borderId="0" xfId="0" applyFont="1" applyFill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21">
    <dxf>
      <fill>
        <patternFill>
          <bgColor rgb="FFFFEBEE"/>
        </patternFill>
      </fill>
    </dxf>
    <dxf>
      <fill>
        <patternFill>
          <bgColor rgb="FFFFF9C4"/>
        </patternFill>
      </fill>
    </dxf>
    <dxf>
      <fill>
        <patternFill>
          <bgColor rgb="FFE8F5E9"/>
        </patternFill>
      </fill>
    </dxf>
    <dxf>
      <fill>
        <patternFill>
          <bgColor rgb="FFE8F5E9"/>
        </patternFill>
      </fill>
    </dxf>
    <dxf>
      <fill>
        <patternFill>
          <bgColor rgb="FFFF8A80"/>
        </patternFill>
      </fill>
    </dxf>
    <dxf>
      <fill>
        <patternFill>
          <bgColor rgb="FFFFE0B2"/>
        </patternFill>
      </fill>
    </dxf>
    <dxf>
      <fill>
        <patternFill>
          <bgColor rgb="FFC8E6C9"/>
        </patternFill>
      </fill>
    </dxf>
    <dxf>
      <fill>
        <patternFill>
          <bgColor rgb="FFFFCDD2"/>
        </patternFill>
      </fill>
    </dxf>
    <dxf>
      <fill>
        <patternFill>
          <bgColor rgb="FFFFE0B2"/>
        </patternFill>
      </fill>
    </dxf>
    <dxf>
      <fill>
        <patternFill>
          <bgColor rgb="FFBBDEFB"/>
        </patternFill>
      </fill>
    </dxf>
    <dxf>
      <fill>
        <patternFill>
          <bgColor rgb="FFFFCDD2"/>
        </patternFill>
      </fill>
    </dxf>
    <dxf>
      <fill>
        <patternFill>
          <bgColor rgb="FFC8E6C9"/>
        </patternFill>
      </fill>
    </dxf>
    <dxf>
      <fill>
        <patternFill>
          <bgColor rgb="FFFFE0B2"/>
        </patternFill>
      </fill>
    </dxf>
    <dxf>
      <fill>
        <patternFill>
          <bgColor rgb="FFE1BEE7"/>
        </patternFill>
      </fill>
    </dxf>
    <dxf>
      <fill>
        <patternFill>
          <bgColor rgb="FFFFE0B2"/>
        </patternFill>
      </fill>
    </dxf>
    <dxf>
      <fill>
        <patternFill>
          <bgColor rgb="FFFFCDD2"/>
        </patternFill>
      </fill>
    </dxf>
    <dxf>
      <fill>
        <patternFill>
          <bgColor rgb="FFC8E6C9"/>
        </patternFill>
      </fill>
    </dxf>
    <dxf>
      <fill>
        <patternFill>
          <bgColor rgb="FFFFEBEE"/>
        </patternFill>
      </fill>
    </dxf>
    <dxf>
      <fill>
        <patternFill>
          <bgColor rgb="FFFFF9C4"/>
        </patternFill>
      </fill>
    </dxf>
    <dxf>
      <fill>
        <patternFill>
          <bgColor rgb="FFE8F5E9"/>
        </patternFill>
      </fill>
    </dxf>
    <dxf>
      <fill>
        <patternFill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EFEBE9"/>
      <rgbColor rgb="FFFF00FF"/>
      <rgbColor rgb="FF00FFFF"/>
      <rgbColor rgb="FF800000"/>
      <rgbColor rgb="FF1B5E20"/>
      <rgbColor rgb="FF000080"/>
      <rgbColor rgb="FF808000"/>
      <rgbColor rgb="FF7B1FA2"/>
      <rgbColor rgb="FF2D6A4F"/>
      <rgbColor rgb="FFCCCCCC"/>
      <rgbColor rgb="FF808080"/>
      <rgbColor rgb="FFA5D6A7"/>
      <rgbColor rgb="FFAD1457"/>
      <rgbColor rgb="FFFFF9C4"/>
      <rgbColor rgb="FFE8F5E9"/>
      <rgbColor rgb="FF660066"/>
      <rgbColor rgb="FFFF8A80"/>
      <rgbColor rgb="FF0066CC"/>
      <rgbColor rgb="FFBBDEFB"/>
      <rgbColor rgb="FF000080"/>
      <rgbColor rgb="FFFF00FF"/>
      <rgbColor rgb="FFFFEBEE"/>
      <rgbColor rgb="FF00FFFF"/>
      <rgbColor rgb="FF800080"/>
      <rgbColor rgb="FF800000"/>
      <rgbColor rgb="FF008080"/>
      <rgbColor rgb="FF0000FF"/>
      <rgbColor rgb="FF00CCFF"/>
      <rgbColor rgb="FFF0F0F0"/>
      <rgbColor rgb="FFD8F3DC"/>
      <rgbColor rgb="FFFFF3E0"/>
      <rgbColor rgb="FF95D5B2"/>
      <rgbColor rgb="FFFFCDD2"/>
      <rgbColor rgb="FFE1BEE7"/>
      <rgbColor rgb="FFFFE0B2"/>
      <rgbColor rgb="FF3366FF"/>
      <rgbColor rgb="FF33CCCC"/>
      <rgbColor rgb="FFC8E6C9"/>
      <rgbColor rgb="FFFFCC00"/>
      <rgbColor rgb="FFFF9900"/>
      <rgbColor rgb="FFE65100"/>
      <rgbColor rgb="FF795548"/>
      <rgbColor rgb="FF999999"/>
      <rgbColor rgb="FF003366"/>
      <rgbColor rgb="FF339966"/>
      <rgbColor rgb="FF003300"/>
      <rgbColor rgb="FF1B4332"/>
      <rgbColor rgb="FFB71C1C"/>
      <rgbColor rgb="FFC62828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502;&#1500;A&#1497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לAי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8"/>
  <sheetViews>
    <sheetView rightToLeft="1" topLeftCell="A9" zoomScaleNormal="100" workbookViewId="0">
      <selection activeCell="B7" sqref="B7"/>
    </sheetView>
  </sheetViews>
  <sheetFormatPr defaultColWidth="8.7109375" defaultRowHeight="15" x14ac:dyDescent="0.25"/>
  <cols>
    <col min="1" max="1" width="14" customWidth="1"/>
    <col min="2" max="2" width="20" customWidth="1"/>
    <col min="3" max="3" width="12" customWidth="1"/>
    <col min="4" max="4" width="22.42578125" customWidth="1"/>
    <col min="5" max="6" width="14" customWidth="1"/>
    <col min="7" max="7" width="12" customWidth="1"/>
    <col min="8" max="8" width="63.28515625" customWidth="1"/>
  </cols>
  <sheetData>
    <row r="1" spans="1:8" ht="19.5" customHeight="1" x14ac:dyDescent="0.25">
      <c r="A1" s="60" t="s">
        <v>0</v>
      </c>
      <c r="B1" s="54"/>
      <c r="C1" s="54"/>
      <c r="D1" s="54"/>
      <c r="E1" s="54"/>
      <c r="F1" s="54"/>
      <c r="G1" s="54"/>
      <c r="H1" s="55"/>
    </row>
    <row r="3" spans="1:8" ht="15.75" customHeight="1" x14ac:dyDescent="0.25">
      <c r="A3" s="62" t="s">
        <v>1</v>
      </c>
      <c r="B3" s="54"/>
      <c r="C3" s="54"/>
      <c r="D3" s="54"/>
      <c r="E3" s="55"/>
    </row>
    <row r="4" spans="1:8" ht="15" customHeight="1" x14ac:dyDescent="0.25">
      <c r="A4" s="1" t="s">
        <v>2</v>
      </c>
      <c r="B4" s="27" t="s">
        <v>166</v>
      </c>
      <c r="D4" s="1" t="s">
        <v>4</v>
      </c>
      <c r="E4" s="2" t="s">
        <v>68</v>
      </c>
    </row>
    <row r="5" spans="1:8" ht="15" customHeight="1" x14ac:dyDescent="0.25">
      <c r="A5" s="1" t="s">
        <v>5</v>
      </c>
      <c r="B5" s="2" t="s">
        <v>3</v>
      </c>
      <c r="D5" s="1" t="s">
        <v>6</v>
      </c>
      <c r="E5" s="2" t="s">
        <v>68</v>
      </c>
    </row>
    <row r="6" spans="1:8" ht="15" customHeight="1" x14ac:dyDescent="0.25">
      <c r="A6" s="1" t="s">
        <v>7</v>
      </c>
      <c r="B6" s="2" t="s">
        <v>3</v>
      </c>
      <c r="D6" s="1" t="s">
        <v>8</v>
      </c>
      <c r="E6" s="2" t="s">
        <v>68</v>
      </c>
    </row>
    <row r="7" spans="1:8" ht="15" customHeight="1" x14ac:dyDescent="0.25">
      <c r="A7" s="1" t="s">
        <v>9</v>
      </c>
      <c r="B7" s="2" t="s">
        <v>3</v>
      </c>
      <c r="D7" s="1" t="s">
        <v>10</v>
      </c>
      <c r="E7" s="2" t="s">
        <v>3</v>
      </c>
    </row>
    <row r="8" spans="1:8" ht="15" customHeight="1" x14ac:dyDescent="0.25">
      <c r="A8" s="1" t="s">
        <v>11</v>
      </c>
      <c r="B8" s="2" t="s">
        <v>3</v>
      </c>
      <c r="D8" s="1" t="s">
        <v>12</v>
      </c>
      <c r="E8" s="2" t="s">
        <v>3</v>
      </c>
    </row>
    <row r="9" spans="1:8" ht="23.25" customHeight="1" x14ac:dyDescent="0.25">
      <c r="A9" s="1" t="s">
        <v>13</v>
      </c>
      <c r="B9" s="2" t="s">
        <v>14</v>
      </c>
      <c r="D9" s="1" t="s">
        <v>15</v>
      </c>
      <c r="E9" s="2" t="s">
        <v>3</v>
      </c>
    </row>
    <row r="10" spans="1:8" ht="15" customHeight="1" x14ac:dyDescent="0.25">
      <c r="A10" s="59" t="s">
        <v>16</v>
      </c>
      <c r="B10" s="54"/>
      <c r="C10" s="55"/>
      <c r="E10" s="61" t="s">
        <v>17</v>
      </c>
      <c r="F10" s="54"/>
      <c r="G10" s="54"/>
      <c r="H10" s="55"/>
    </row>
    <row r="11" spans="1:8" ht="17.25" customHeight="1" x14ac:dyDescent="0.25">
      <c r="A11" s="1" t="s">
        <v>18</v>
      </c>
      <c r="C11" s="3" t="e">
        <f>SUMPRODUCT(מלאי!$AD$3:$AD$357)</f>
        <v>#REF!</v>
      </c>
      <c r="E11" s="4" t="s">
        <v>19</v>
      </c>
      <c r="F11" s="5" t="e">
        <f>SUMPRODUCT((מלאי!$AD$3:$AD$357)*(מלאי!T3:T357="במלאי"))</f>
        <v>#REF!</v>
      </c>
      <c r="G11" s="4" t="s">
        <v>20</v>
      </c>
      <c r="H11" s="6" t="e">
        <f>SUMPRODUCT((מלאי!$AD$3:$AD$357)*(מלאי!T3:T357="מושאל"))</f>
        <v>#REF!</v>
      </c>
    </row>
    <row r="12" spans="1:8" ht="17.25" customHeight="1" x14ac:dyDescent="0.25">
      <c r="A12" s="1" t="s">
        <v>21</v>
      </c>
      <c r="C12" s="7" t="e">
        <f>IF('לוח בקרה'!$B$4="הכל",SUMPRODUCT((מלאי!$AD$3:$AD$357)*(מלאי!J3:J357="כן")*(מלאי!L3:L357="כן")),SUMPRODUCT((מלאי!$AD$3:$AD$357)*(((מלאי!J3:J357="כן")*((מלאי!Z3:Z357='לוח בקרה'!$B$4)+(מלאי!AA3:AA357='לוח בקרה'!$B$4)&gt;0)*(מלאי!L3:L357="כן")+(מלאי!I3:I357&lt;&gt;"")*(מלאי!K3:K357="כן")*((מלאי!AB3:AB357='לוח בקרה'!$B$4)+(מלאי!AC3:AC357='לוח בקרה'!$B$4)&gt;0)*(מלאי!M3:M357="כן"))&gt;0)))</f>
        <v>#REF!</v>
      </c>
      <c r="E12" s="4" t="s">
        <v>22</v>
      </c>
      <c r="F12" s="8" t="e">
        <f>SUMPRODUCT((מלאי!$AD$3:$AD$357)*(מלאי!T3:T357="בחדר תצוגה"))</f>
        <v>#REF!</v>
      </c>
      <c r="G12" s="4" t="s">
        <v>23</v>
      </c>
      <c r="H12" s="9" t="e">
        <f>SUMPRODUCT((מלאי!$AD$3:$AD$357)*(מלאי!T3:T357="בתיק הדגמה"))</f>
        <v>#REF!</v>
      </c>
    </row>
    <row r="13" spans="1:8" ht="23.25" customHeight="1" x14ac:dyDescent="0.25">
      <c r="A13" s="1" t="s">
        <v>24</v>
      </c>
      <c r="C13" s="3" t="e">
        <f>IF('לוח בקרה'!$B$4="הכל",SUMPRODUCT((מלאי!$AD$3:$AD$357)*(מלאי!J3:J357="כן")*(מלאי!L3:L357&lt;&gt;"כן")),SUMPRODUCT((מלאי!$AD$3:$AD$357)*(((מלאי!J3:J357="כן")*((מלאי!Z3:Z357='לוח בקרה'!$B$4)+(מלאי!AA3:AA357='לוח בקרה'!$B$4)&gt;0)*(מלאי!L3:L357&lt;&gt;"כן")+(מלאי!I3:I357&lt;&gt;"")*(מלאי!K3:K357="כן")*((מלאי!AB3:AB357='לוח בקרה'!$B$4)+(מלאי!AC3:AC357='לוח בקרה'!$B$4)&gt;0)*(מלאי!M3:M357&lt;&gt;"כן"))&gt;0)*(((מלאי!J3:J357="כן")*((מלאי!Z3:Z357='לוח בקרה'!$B$4)+(מלאי!AA3:AA357='לוח בקרה'!$B$4)&gt;0)*(מלאי!L3:L357="כן")+(מלאי!I3:I357&lt;&gt;"")*(מלאי!K3:K357="כן")*((מלאי!AB3:AB357='לוח בקרה'!$B$4)+(מלאי!AC3:AC357='לוח בקרה'!$B$4)&gt;0)*(מלאי!M3:M357="כן"))=0)))</f>
        <v>#REF!</v>
      </c>
      <c r="E13" s="10" t="s">
        <v>25</v>
      </c>
      <c r="F13" s="11" t="e">
        <f>IF('לוח בקרה'!$B$4="הכל","-",SUMPRODUCT((מלאי!$AD$3:$AD$357)*((מלאי!J3:J357="כן")*(1-1*(((מלאי!Z3:Z357='לוח בקרה'!$B$4)+(מלאי!AA3:AA357='לוח בקרה'!$B$4)&gt;0)))+(מלאי!I3:I357&lt;&gt;"")*(מלאי!K3:K357="כן")*(1-1*(((מלאי!AB3:AB357='לוח בקרה'!$B$4)+(מלאי!AC3:AC357='לוח בקרה'!$B$4)&gt;0)))&gt;0)*(((מלאי!J3:J357="כן")*((מלאי!Z3:Z357='לוח בקרה'!$B$4)+(מלאי!AA3:AA357='לוח בקרה'!$B$4)&gt;0)+(מלאי!I3:I357&lt;&gt;"")*(מלאי!K3:K357="כן")*((מלאי!AB3:AB357='לוח בקרה'!$B$4)+(מלאי!AC3:AC357='לוח בקרה'!$B$4)&gt;0))=0)))</f>
        <v>#REF!</v>
      </c>
      <c r="G13" s="12" t="s">
        <v>26</v>
      </c>
      <c r="H13" s="13" t="e">
        <f>SUMPRODUCT((מלאי!$AD$3:$AD$357)*(מלאי!S3:S357="כן"))</f>
        <v>#REF!</v>
      </c>
    </row>
    <row r="14" spans="1:8" ht="17.25" customHeight="1" x14ac:dyDescent="0.25">
      <c r="A14" s="1" t="s">
        <v>27</v>
      </c>
      <c r="C14" s="3" t="e">
        <f>IF('לוח בקרה'!$B$4="הכל",SUMPRODUCT((מלאי!$AD$3:$AD$357)*(מלאי!J3:J357&lt;&gt;"כן")*(מלאי!L3:L357="כן")),SUMPRODUCT((מלאי!$AD$3:$AD$357)*(מלאי!L3:L357="כן")*(((מלאי!J3:J357="כן")*((מלאי!Z3:Z357='לוח בקרה'!$B$4)+(מלאי!AA3:AA357='לוח בקרה'!$B$4)&gt;0)+(מלאי!I3:I357&lt;&gt;"")*(מלאי!K3:K357="כן")*((מלאי!AB3:AB357='לוח בקרה'!$B$4)+(מלאי!AC3:AC357='לוח בקרה'!$B$4)&gt;0))=0)))</f>
        <v>#REF!</v>
      </c>
      <c r="E14" s="14" t="s">
        <v>28</v>
      </c>
      <c r="F14" s="15">
        <f>SUMPRODUCT((מלאי!D3:D357&lt;&gt;"")*(מלאי!Q3:Q357="כן"))</f>
        <v>15</v>
      </c>
    </row>
    <row r="16" spans="1:8" ht="13.5" customHeight="1" x14ac:dyDescent="0.25">
      <c r="A16" s="59" t="s">
        <v>29</v>
      </c>
      <c r="B16" s="54"/>
      <c r="C16" s="54"/>
      <c r="D16" s="54"/>
      <c r="E16" s="54"/>
      <c r="F16" s="54"/>
      <c r="G16" s="54"/>
      <c r="H16" s="55"/>
    </row>
    <row r="17" spans="1:8" ht="15" customHeight="1" x14ac:dyDescent="0.25">
      <c r="A17" s="16" t="s">
        <v>30</v>
      </c>
      <c r="B17" s="16" t="s">
        <v>31</v>
      </c>
      <c r="C17" s="16" t="s">
        <v>32</v>
      </c>
      <c r="D17" s="16" t="s">
        <v>33</v>
      </c>
      <c r="E17" s="16" t="s">
        <v>34</v>
      </c>
      <c r="F17" s="16" t="s">
        <v>35</v>
      </c>
      <c r="G17" s="16" t="s">
        <v>36</v>
      </c>
      <c r="H17" s="16" t="s">
        <v>37</v>
      </c>
    </row>
    <row r="18" spans="1:8" ht="15" customHeight="1" x14ac:dyDescent="0.25">
      <c r="A18" s="17" t="str">
        <f>IFERROR(INDEX(מלאי!A:A,MATCH(1,מלאי!$AF$3:$AF$357,0)+3-1),"")</f>
        <v>OverGarment</v>
      </c>
      <c r="B18" s="17" t="str">
        <f>IFERROR(INDEX(מלאי!B:B,MATCH(1,מלאי!$AF$3:$AF$357,0)+3-1),"")</f>
        <v>May Suit</v>
      </c>
      <c r="C18" s="17" t="str">
        <f>IFERROR(INDEX(מלאי!C:C,MATCH(1,מלאי!$AF$3:$AF$357,0)+3-1),"")</f>
        <v>V1</v>
      </c>
      <c r="D18" s="17" t="str">
        <f>IFERROR(INDEX(מלאי!D:D,MATCH(1,מלאי!$AF$3:$AF$357,0)+3-1),"")</f>
        <v>May3</v>
      </c>
      <c r="E18" s="17" t="str">
        <f>IFERROR(INDEX(מלאי!H:H,MATCH(1,מלאי!$AF$3:$AF$357,0)+3-1),"")</f>
        <v>Forest Green</v>
      </c>
      <c r="F18" s="17" t="str">
        <f>IFERROR(INDEX(מלאי!I:I,MATCH(1,מלאי!$AF$3:$AF$357,0)+3-1),"")</f>
        <v>NATO</v>
      </c>
      <c r="G18" s="17" t="str">
        <f>IFERROR(INDEX(מלאי!T:T,MATCH(1,מלאי!$AF$3:$AF$357,0)+3-1),"")</f>
        <v>במלאי</v>
      </c>
      <c r="H18" s="18" t="str">
        <f>IFERROR(INDEX(מלאי!U:U,MATCH(1,מלאי!$AF$3:$AF$357,0)+3-1)&amp;IF(INDEX(מלאי!O:O,MATCH(1,מלאי!$AF$3:$AF$357,0)+3-1)="לא",IF(INDEX(מלאי!U:U,MATCH(1,מלאי!$AF$3:$AF$357,0)+3-1)&lt;&gt;"","  |  ","")&amp;"גרסה לא סופית"&amp;IF(INDEX(מלאי!P:P,MATCH(1,מלאי!$AF$3:$AF$357,0)+3-1)&lt;&gt;"",": "&amp;INDEX(מלאי!P:P,MATCH(1,מלאי!$AF$3:$AF$357,0)+3-1),"")&amp;IF(INDEX(מלאי!Q:Q,MATCH(1,מלאי!$AF$3:$AF$357,0)+3-1)="כן"," (פיתוח)",""),"")&amp;IF(INDEX(מלאי!S:S,MATCH(1,מלאי!$AF$3:$AF$357,0)+3-1)="כן",IF(OR(INDEX(מלאי!U:U,MATCH(1,מלאי!$AF$3:$AF$357,0)+3-1)&lt;&gt;"",INDEX(מלאי!O:O,MATCH(1,מלאי!$AF$3:$AF$357,0)+3-1)="לא"),"  |  ","")&amp;"פער תכולה","")&amp;IF(INDEX(מלאי!N:N,MATCH(1,מלאי!$AF$3:$AF$357,0)+3-1)="לא",IF(OR(INDEX(מלאי!U:U,MATCH(1,מלאי!$AF$3:$AF$357,0)+3-1)&lt;&gt;"",INDEX(מלאי!O:O,MATCH(1,מלאי!$AF$3:$AF$357,0)+3-1)="לא",INDEX(מלאי!S:S,MATCH(1,מלאי!$AF$3:$AF$357,0)+3-1)="כן"),"  |  ","")&amp;"פיצ'רים לא תקינים",""),"")</f>
        <v/>
      </c>
    </row>
    <row r="19" spans="1:8" ht="15" customHeight="1" x14ac:dyDescent="0.25">
      <c r="A19" s="19" t="str">
        <f>IFERROR(INDEX(מלאי!A:A,MATCH(2,מלאי!$AF$3:$AF$357,0)+3-1),"")</f>
        <v>OverGarment</v>
      </c>
      <c r="B19" s="19" t="str">
        <f>IFERROR(INDEX(מלאי!B:B,MATCH(2,מלאי!$AF$3:$AF$357,0)+3-1),"")</f>
        <v>May Suit</v>
      </c>
      <c r="C19" s="19" t="str">
        <f>IFERROR(INDEX(מלאי!C:C,MATCH(2,מלאי!$AF$3:$AF$357,0)+3-1),"")</f>
        <v>V1</v>
      </c>
      <c r="D19" s="19" t="str">
        <f>IFERROR(INDEX(מלאי!D:D,MATCH(2,מלאי!$AF$3:$AF$357,0)+3-1),"")</f>
        <v>May4</v>
      </c>
      <c r="E19" s="19" t="str">
        <f>IFERROR(INDEX(מלאי!H:H,MATCH(2,מלאי!$AF$3:$AF$357,0)+3-1),"")</f>
        <v>Forest Green</v>
      </c>
      <c r="F19" s="19" t="str">
        <f>IFERROR(INDEX(מלאי!I:I,MATCH(2,מלאי!$AF$3:$AF$357,0)+3-1),"")</f>
        <v>NATO</v>
      </c>
      <c r="G19" s="19" t="str">
        <f>IFERROR(INDEX(מלאי!T:T,MATCH(2,מלאי!$AF$3:$AF$357,0)+3-1),"")</f>
        <v>במלאי</v>
      </c>
      <c r="H19" s="20" t="str">
        <f>IFERROR(INDEX(מלאי!U:U,MATCH(2,מלאי!$AF$3:$AF$357,0)+3-1)&amp;IF(INDEX(מלאי!O:O,MATCH(2,מלאי!$AF$3:$AF$357,0)+3-1)="לא",IF(INDEX(מלאי!U:U,MATCH(2,מלאי!$AF$3:$AF$357,0)+3-1)&lt;&gt;"","  |  ","")&amp;"גרסה לא סופית"&amp;IF(INDEX(מלאי!P:P,MATCH(2,מלאי!$AF$3:$AF$357,0)+3-1)&lt;&gt;"",": "&amp;INDEX(מלאי!P:P,MATCH(2,מלאי!$AF$3:$AF$357,0)+3-1),"")&amp;IF(INDEX(מלאי!Q:Q,MATCH(2,מלאי!$AF$3:$AF$357,0)+3-1)="כן"," (פיתוח)",""),"")&amp;IF(INDEX(מלאי!S:S,MATCH(2,מלאי!$AF$3:$AF$357,0)+3-1)="כן",IF(OR(INDEX(מלאי!U:U,MATCH(2,מלאי!$AF$3:$AF$357,0)+3-1)&lt;&gt;"",INDEX(מלאי!O:O,MATCH(2,מלאי!$AF$3:$AF$357,0)+3-1)="לא"),"  |  ","")&amp;"פער תכולה","")&amp;IF(INDEX(מלאי!N:N,MATCH(2,מלאי!$AF$3:$AF$357,0)+3-1)="לא",IF(OR(INDEX(מלאי!U:U,MATCH(2,מלאי!$AF$3:$AF$357,0)+3-1)&lt;&gt;"",INDEX(מלאי!O:O,MATCH(2,מלאי!$AF$3:$AF$357,0)+3-1)="לא",INDEX(מלאי!S:S,MATCH(2,מלאי!$AF$3:$AF$357,0)+3-1)="כן"),"  |  ","")&amp;"פיצ'רים לא תקינים",""),"")</f>
        <v/>
      </c>
    </row>
    <row r="20" spans="1:8" ht="15" customHeight="1" x14ac:dyDescent="0.25">
      <c r="A20" s="17" t="str">
        <f>IFERROR(INDEX(מלאי!A:A,MATCH(3,מלאי!$AF$3:$AF$357,0)+3-1),"")</f>
        <v>OverGarment</v>
      </c>
      <c r="B20" s="17" t="str">
        <f>IFERROR(INDEX(מלאי!B:B,MATCH(3,מלאי!$AF$3:$AF$357,0)+3-1),"")</f>
        <v>May Suit</v>
      </c>
      <c r="C20" s="17" t="str">
        <f>IFERROR(INDEX(מלאי!C:C,MATCH(3,מלאי!$AF$3:$AF$357,0)+3-1),"")</f>
        <v>V1</v>
      </c>
      <c r="D20" s="17" t="str">
        <f>IFERROR(INDEX(מלאי!D:D,MATCH(3,מלאי!$AF$3:$AF$357,0)+3-1),"")</f>
        <v>מאי תצוגה</v>
      </c>
      <c r="E20" s="17" t="str">
        <f>IFERROR(INDEX(מלאי!H:H,MATCH(3,מלאי!$AF$3:$AF$357,0)+3-1),"")</f>
        <v>Forest Green</v>
      </c>
      <c r="F20" s="17" t="str">
        <f>IFERROR(INDEX(מלאי!I:I,MATCH(3,מלאי!$AF$3:$AF$357,0)+3-1),"")</f>
        <v>NATO</v>
      </c>
      <c r="G20" s="17" t="str">
        <f>IFERROR(INDEX(מלאי!T:T,MATCH(3,מלאי!$AF$3:$AF$357,0)+3-1),"")</f>
        <v>בחדר תצוגה</v>
      </c>
      <c r="H20" s="18" t="str">
        <f>IFERROR(INDEX(מלאי!U:U,MATCH(3,מלאי!$AF$3:$AF$357,0)+3-1)&amp;IF(INDEX(מלאי!O:O,MATCH(3,מלאי!$AF$3:$AF$357,0)+3-1)="לא",IF(INDEX(מלאי!U:U,MATCH(3,מלאי!$AF$3:$AF$357,0)+3-1)&lt;&gt;"","  |  ","")&amp;"גרסה לא סופית"&amp;IF(INDEX(מלאי!P:P,MATCH(3,מלאי!$AF$3:$AF$357,0)+3-1)&lt;&gt;"",": "&amp;INDEX(מלאי!P:P,MATCH(3,מלאי!$AF$3:$AF$357,0)+3-1),"")&amp;IF(INDEX(מלאי!Q:Q,MATCH(3,מלאי!$AF$3:$AF$357,0)+3-1)="כן"," (פיתוח)",""),"")&amp;IF(INDEX(מלאי!S:S,MATCH(3,מלאי!$AF$3:$AF$357,0)+3-1)="כן",IF(OR(INDEX(מלאי!U:U,MATCH(3,מלאי!$AF$3:$AF$357,0)+3-1)&lt;&gt;"",INDEX(מלאי!O:O,MATCH(3,מלאי!$AF$3:$AF$357,0)+3-1)="לא"),"  |  ","")&amp;"פער תכולה","")&amp;IF(INDEX(מלאי!N:N,MATCH(3,מלאי!$AF$3:$AF$357,0)+3-1)="לא",IF(OR(INDEX(מלאי!U:U,MATCH(3,מלאי!$AF$3:$AF$357,0)+3-1)&lt;&gt;"",INDEX(מלאי!O:O,MATCH(3,מלאי!$AF$3:$AF$357,0)+3-1)="לא",INDEX(מלאי!S:S,MATCH(3,מלאי!$AF$3:$AF$357,0)+3-1)="כן"),"  |  ","")&amp;"פיצ'רים לא תקינים",""),"")</f>
        <v/>
      </c>
    </row>
    <row r="21" spans="1:8" ht="15" customHeight="1" x14ac:dyDescent="0.25">
      <c r="A21" s="19" t="str">
        <f>IFERROR(INDEX(מלאי!A:A,MATCH(4,מלאי!$AF$3:$AF$357,0)+3-1),"")</f>
        <v>OverGarment</v>
      </c>
      <c r="B21" s="19" t="str">
        <f>IFERROR(INDEX(מלאי!B:B,MATCH(4,מלאי!$AF$3:$AF$357,0)+3-1),"")</f>
        <v>May Suit</v>
      </c>
      <c r="C21" s="19" t="str">
        <f>IFERROR(INDEX(מלאי!C:C,MATCH(4,מלאי!$AF$3:$AF$357,0)+3-1),"")</f>
        <v>V1</v>
      </c>
      <c r="D21" s="19" t="str">
        <f>IFERROR(INDEX(מלאי!D:D,MATCH(4,מלאי!$AF$3:$AF$357,0)+3-1),"")</f>
        <v>מאי הדגמה</v>
      </c>
      <c r="E21" s="19" t="str">
        <f>IFERROR(INDEX(מלאי!H:H,MATCH(4,מלאי!$AF$3:$AF$357,0)+3-1),"")</f>
        <v>Forest Green</v>
      </c>
      <c r="F21" s="19" t="str">
        <f>IFERROR(INDEX(מלאי!I:I,MATCH(4,מלאי!$AF$3:$AF$357,0)+3-1),"")</f>
        <v>NATO</v>
      </c>
      <c r="G21" s="19" t="str">
        <f>IFERROR(INDEX(מלאי!T:T,MATCH(4,מלאי!$AF$3:$AF$357,0)+3-1),"")</f>
        <v>במלאי</v>
      </c>
      <c r="H21" s="20" t="str">
        <f>IFERROR(INDEX(מלאי!U:U,MATCH(4,מלאי!$AF$3:$AF$357,0)+3-1)&amp;IF(INDEX(מלאי!O:O,MATCH(4,מלאי!$AF$3:$AF$357,0)+3-1)="לא",IF(INDEX(מלאי!U:U,MATCH(4,מלאי!$AF$3:$AF$357,0)+3-1)&lt;&gt;"","  |  ","")&amp;"גרסה לא סופית"&amp;IF(INDEX(מלאי!P:P,MATCH(4,מלאי!$AF$3:$AF$357,0)+3-1)&lt;&gt;"",": "&amp;INDEX(מלאי!P:P,MATCH(4,מלאי!$AF$3:$AF$357,0)+3-1),"")&amp;IF(INDEX(מלאי!Q:Q,MATCH(4,מלאי!$AF$3:$AF$357,0)+3-1)="כן"," (פיתוח)",""),"")&amp;IF(INDEX(מלאי!S:S,MATCH(4,מלאי!$AF$3:$AF$357,0)+3-1)="כן",IF(OR(INDEX(מלאי!U:U,MATCH(4,מלאי!$AF$3:$AF$357,0)+3-1)&lt;&gt;"",INDEX(מלאי!O:O,MATCH(4,מלאי!$AF$3:$AF$357,0)+3-1)="לא"),"  |  ","")&amp;"פער תכולה","")&amp;IF(INDEX(מלאי!N:N,MATCH(4,מלאי!$AF$3:$AF$357,0)+3-1)="לא",IF(OR(INDEX(מלאי!U:U,MATCH(4,מלאי!$AF$3:$AF$357,0)+3-1)&lt;&gt;"",INDEX(מלאי!O:O,MATCH(4,מלאי!$AF$3:$AF$357,0)+3-1)="לא",INDEX(מלאי!S:S,MATCH(4,מלאי!$AF$3:$AF$357,0)+3-1)="כן"),"  |  ","")&amp;"פיצ'רים לא תקינים",""),"")</f>
        <v/>
      </c>
    </row>
    <row r="22" spans="1:8" ht="15" customHeight="1" x14ac:dyDescent="0.25">
      <c r="A22" s="17" t="str">
        <f>IFERROR(INDEX(מלאי!A:A,MATCH(5,מלאי!$AF$3:$AF$357,0)+3-1),"")</f>
        <v>OverGarment</v>
      </c>
      <c r="B22" s="17" t="str">
        <f>IFERROR(INDEX(מלאי!B:B,MATCH(5,מלאי!$AF$3:$AF$357,0)+3-1),"")</f>
        <v>Gal Suit</v>
      </c>
      <c r="C22" s="17" t="str">
        <f>IFERROR(INDEX(מלאי!C:C,MATCH(5,מלאי!$AF$3:$AF$357,0)+3-1),"")</f>
        <v>V1</v>
      </c>
      <c r="D22" s="17" t="str">
        <f>IFERROR(INDEX(מלאי!D:D,MATCH(5,מלאי!$AF$3:$AF$357,0)+3-1),"")</f>
        <v>גל הדגמה</v>
      </c>
      <c r="E22" s="17" t="str">
        <f>IFERROR(INDEX(מלאי!H:H,MATCH(5,מלאי!$AF$3:$AF$357,0)+3-1),"")</f>
        <v>Ever-Green</v>
      </c>
      <c r="F22" s="17" t="str">
        <f>IFERROR(INDEX(מלאי!I:I,MATCH(5,מלאי!$AF$3:$AF$357,0)+3-1),"")</f>
        <v>Desert</v>
      </c>
      <c r="G22" s="17" t="str">
        <f>IFERROR(INDEX(מלאי!T:T,MATCH(5,מלאי!$AF$3:$AF$357,0)+3-1),"")</f>
        <v>במלאי</v>
      </c>
      <c r="H22" s="18" t="str">
        <f>IFERROR(INDEX(מלאי!U:U,MATCH(5,מלאי!$AF$3:$AF$357,0)+3-1)&amp;IF(INDEX(מלאי!O:O,MATCH(5,מלאי!$AF$3:$AF$357,0)+3-1)="לא",IF(INDEX(מלאי!U:U,MATCH(5,מלאי!$AF$3:$AF$357,0)+3-1)&lt;&gt;"","  |  ","")&amp;"גרסה לא סופית"&amp;IF(INDEX(מלאי!P:P,MATCH(5,מלאי!$AF$3:$AF$357,0)+3-1)&lt;&gt;"",": "&amp;INDEX(מלאי!P:P,MATCH(5,מלאי!$AF$3:$AF$357,0)+3-1),"")&amp;IF(INDEX(מלאי!Q:Q,MATCH(5,מלאי!$AF$3:$AF$357,0)+3-1)="כן"," (פיתוח)",""),"")&amp;IF(INDEX(מלאי!S:S,MATCH(5,מלאי!$AF$3:$AF$357,0)+3-1)="כן",IF(OR(INDEX(מלאי!U:U,MATCH(5,מלאי!$AF$3:$AF$357,0)+3-1)&lt;&gt;"",INDEX(מלאי!O:O,MATCH(5,מלאי!$AF$3:$AF$357,0)+3-1)="לא"),"  |  ","")&amp;"פער תכולה","")&amp;IF(INDEX(מלאי!N:N,MATCH(5,מלאי!$AF$3:$AF$357,0)+3-1)="לא",IF(OR(INDEX(מלאי!U:U,MATCH(5,מלאי!$AF$3:$AF$357,0)+3-1)&lt;&gt;"",INDEX(מלאי!O:O,MATCH(5,מלאי!$AF$3:$AF$357,0)+3-1)="לא",INDEX(מלאי!S:S,MATCH(5,מלאי!$AF$3:$AF$357,0)+3-1)="כן"),"  |  ","")&amp;"פיצ'רים לא תקינים",""),"")</f>
        <v/>
      </c>
    </row>
    <row r="23" spans="1:8" ht="15" customHeight="1" x14ac:dyDescent="0.25">
      <c r="A23" s="19" t="str">
        <f>IFERROR(INDEX(מלאי!A:A,MATCH(6,מלאי!$AF$3:$AF$357,0)+3-1),"")</f>
        <v>OverGarment</v>
      </c>
      <c r="B23" s="19" t="str">
        <f>IFERROR(INDEX(מלאי!B:B,MATCH(6,מלאי!$AF$3:$AF$357,0)+3-1),"")</f>
        <v>Gal Suit</v>
      </c>
      <c r="C23" s="19" t="str">
        <f>IFERROR(INDEX(מלאי!C:C,MATCH(6,מלאי!$AF$3:$AF$357,0)+3-1),"")</f>
        <v>V1</v>
      </c>
      <c r="D23" s="19" t="str">
        <f>IFERROR(INDEX(מלאי!D:D,MATCH(6,מלאי!$AF$3:$AF$357,0)+3-1),"")</f>
        <v>גל תצוגה</v>
      </c>
      <c r="E23" s="19" t="str">
        <f>IFERROR(INDEX(מלאי!H:H,MATCH(6,מלאי!$AF$3:$AF$357,0)+3-1),"")</f>
        <v>Ever-Green</v>
      </c>
      <c r="F23" s="19" t="str">
        <f>IFERROR(INDEX(מלאי!I:I,MATCH(6,מלאי!$AF$3:$AF$357,0)+3-1),"")</f>
        <v>Desert</v>
      </c>
      <c r="G23" s="19" t="str">
        <f>IFERROR(INDEX(מלאי!T:T,MATCH(6,מלאי!$AF$3:$AF$357,0)+3-1),"")</f>
        <v>בחדר תצוגה</v>
      </c>
      <c r="H23" s="20" t="str">
        <f>IFERROR(INDEX(מלאי!U:U,MATCH(6,מלאי!$AF$3:$AF$357,0)+3-1)&amp;IF(INDEX(מלאי!O:O,MATCH(6,מלאי!$AF$3:$AF$357,0)+3-1)="לא",IF(INDEX(מלאי!U:U,MATCH(6,מלאי!$AF$3:$AF$357,0)+3-1)&lt;&gt;"","  |  ","")&amp;"גרסה לא סופית"&amp;IF(INDEX(מלאי!P:P,MATCH(6,מלאי!$AF$3:$AF$357,0)+3-1)&lt;&gt;"",": "&amp;INDEX(מלאי!P:P,MATCH(6,מלאי!$AF$3:$AF$357,0)+3-1),"")&amp;IF(INDEX(מלאי!Q:Q,MATCH(6,מלאי!$AF$3:$AF$357,0)+3-1)="כן"," (פיתוח)",""),"")&amp;IF(INDEX(מלאי!S:S,MATCH(6,מלאי!$AF$3:$AF$357,0)+3-1)="כן",IF(OR(INDEX(מלאי!U:U,MATCH(6,מלאי!$AF$3:$AF$357,0)+3-1)&lt;&gt;"",INDEX(מלאי!O:O,MATCH(6,מלאי!$AF$3:$AF$357,0)+3-1)="לא"),"  |  ","")&amp;"פער תכולה","")&amp;IF(INDEX(מלאי!N:N,MATCH(6,מלאי!$AF$3:$AF$357,0)+3-1)="לא",IF(OR(INDEX(מלאי!U:U,MATCH(6,מלאי!$AF$3:$AF$357,0)+3-1)&lt;&gt;"",INDEX(מלאי!O:O,MATCH(6,מלאי!$AF$3:$AF$357,0)+3-1)="לא",INDEX(מלאי!S:S,MATCH(6,מלאי!$AF$3:$AF$357,0)+3-1)="כן"),"  |  ","")&amp;"פיצ'רים לא תקינים",""),"")</f>
        <v/>
      </c>
    </row>
    <row r="24" spans="1:8" ht="15" customHeight="1" x14ac:dyDescent="0.25">
      <c r="A24" s="17" t="str">
        <f>IFERROR(INDEX(מלאי!A:A,MATCH(7,מלאי!$AF$3:$AF$357,0)+3-1),"")</f>
        <v>OverGarment</v>
      </c>
      <c r="B24" s="17" t="str">
        <f>IFERROR(INDEX(מלאי!B:B,MATCH(7,מלאי!$AF$3:$AF$357,0)+3-1),"")</f>
        <v>Poncho SRV</v>
      </c>
      <c r="C24" s="17" t="str">
        <f>IFERROR(INDEX(מלאי!C:C,MATCH(7,מלאי!$AF$3:$AF$357,0)+3-1),"")</f>
        <v>Short</v>
      </c>
      <c r="D24" s="17" t="str">
        <f>IFERROR(INDEX(מלאי!D:D,MATCH(7,מלאי!$AF$3:$AF$357,0)+3-1),"")</f>
        <v xml:space="preserve">SRV A14  </v>
      </c>
      <c r="E24" s="17" t="str">
        <f>IFERROR(INDEX(מלאי!H:H,MATCH(7,מלאי!$AF$3:$AF$357,0)+3-1),"")</f>
        <v>Marine</v>
      </c>
      <c r="F24" s="17">
        <f>IFERROR(INDEX(מלאי!I:I,MATCH(7,מלאי!$AF$3:$AF$357,0)+3-1),"")</f>
        <v>0</v>
      </c>
      <c r="G24" s="17" t="str">
        <f>IFERROR(INDEX(מלאי!T:T,MATCH(7,מלאי!$AF$3:$AF$357,0)+3-1),"")</f>
        <v>במלאי</v>
      </c>
      <c r="H24" s="18" t="str">
        <f>IFERROR(INDEX(מלאי!U:U,MATCH(7,מלאי!$AF$3:$AF$357,0)+3-1)&amp;IF(INDEX(מלאי!O:O,MATCH(7,מלאי!$AF$3:$AF$357,0)+3-1)="לא",IF(INDEX(מלאי!U:U,MATCH(7,מלאי!$AF$3:$AF$357,0)+3-1)&lt;&gt;"","  |  ","")&amp;"גרסה לא סופית"&amp;IF(INDEX(מלאי!P:P,MATCH(7,מלאי!$AF$3:$AF$357,0)+3-1)&lt;&gt;"",": "&amp;INDEX(מלאי!P:P,MATCH(7,מלאי!$AF$3:$AF$357,0)+3-1),"")&amp;IF(INDEX(מלאי!Q:Q,MATCH(7,מלאי!$AF$3:$AF$357,0)+3-1)="כן"," (פיתוח)",""),"")&amp;IF(INDEX(מלאי!S:S,MATCH(7,מלאי!$AF$3:$AF$357,0)+3-1)="כן",IF(OR(INDEX(מלאי!U:U,MATCH(7,מלאי!$AF$3:$AF$357,0)+3-1)&lt;&gt;"",INDEX(מלאי!O:O,MATCH(7,מלאי!$AF$3:$AF$357,0)+3-1)="לא"),"  |  ","")&amp;"פער תכולה","")&amp;IF(INDEX(מלאי!N:N,MATCH(7,מלאי!$AF$3:$AF$357,0)+3-1)="לא",IF(OR(INDEX(מלאי!U:U,MATCH(7,מלאי!$AF$3:$AF$357,0)+3-1)&lt;&gt;"",INDEX(מלאי!O:O,MATCH(7,מלאי!$AF$3:$AF$357,0)+3-1)="לא",INDEX(מלאי!S:S,MATCH(7,מלאי!$AF$3:$AF$357,0)+3-1)="כן"),"  |  ","")&amp;"פיצ'רים לא תקינים",""),"")</f>
        <v/>
      </c>
    </row>
    <row r="25" spans="1:8" ht="15" customHeight="1" x14ac:dyDescent="0.25">
      <c r="A25" s="19" t="str">
        <f>IFERROR(INDEX(מלאי!A:A,MATCH(8,מלאי!$AF$3:$AF$357,0)+3-1),"")</f>
        <v>OverGarment</v>
      </c>
      <c r="B25" s="19" t="str">
        <f>IFERROR(INDEX(מלאי!B:B,MATCH(8,מלאי!$AF$3:$AF$357,0)+3-1),"")</f>
        <v>Poncho SRV</v>
      </c>
      <c r="C25" s="19" t="str">
        <f>IFERROR(INDEX(מלאי!C:C,MATCH(8,מלאי!$AF$3:$AF$357,0)+3-1),"")</f>
        <v>Short</v>
      </c>
      <c r="D25" s="19" t="str">
        <f>IFERROR(INDEX(מלאי!D:D,MATCH(8,מלאי!$AF$3:$AF$357,0)+3-1),"")</f>
        <v>SRV Short 6</v>
      </c>
      <c r="E25" s="19" t="str">
        <f>IFERROR(INDEX(מלאי!H:H,MATCH(8,מלאי!$AF$3:$AF$357,0)+3-1),"")</f>
        <v>Woodland</v>
      </c>
      <c r="F25" s="19" t="str">
        <f>IFERROR(INDEX(מלאי!I:I,MATCH(8,מלאי!$AF$3:$AF$357,0)+3-1),"")</f>
        <v>Desert-Green</v>
      </c>
      <c r="G25" s="19" t="str">
        <f>IFERROR(INDEX(מלאי!T:T,MATCH(8,מלאי!$AF$3:$AF$357,0)+3-1),"")</f>
        <v>במלאי</v>
      </c>
      <c r="H25" s="20" t="str">
        <f>IFERROR(INDEX(מלאי!U:U,MATCH(8,מלאי!$AF$3:$AF$357,0)+3-1)&amp;IF(INDEX(מלאי!O:O,MATCH(8,מלאי!$AF$3:$AF$357,0)+3-1)="לא",IF(INDEX(מלאי!U:U,MATCH(8,מלאי!$AF$3:$AF$357,0)+3-1)&lt;&gt;"","  |  ","")&amp;"גרסה לא סופית"&amp;IF(INDEX(מלאי!P:P,MATCH(8,מלאי!$AF$3:$AF$357,0)+3-1)&lt;&gt;"",": "&amp;INDEX(מלאי!P:P,MATCH(8,מלאי!$AF$3:$AF$357,0)+3-1),"")&amp;IF(INDEX(מלאי!Q:Q,MATCH(8,מלאי!$AF$3:$AF$357,0)+3-1)="כן"," (פיתוח)",""),"")&amp;IF(INDEX(מלאי!S:S,MATCH(8,מלאי!$AF$3:$AF$357,0)+3-1)="כן",IF(OR(INDEX(מלאי!U:U,MATCH(8,מלאי!$AF$3:$AF$357,0)+3-1)&lt;&gt;"",INDEX(מלאי!O:O,MATCH(8,מלאי!$AF$3:$AF$357,0)+3-1)="לא"),"  |  ","")&amp;"פער תכולה","")&amp;IF(INDEX(מלאי!N:N,MATCH(8,מלאי!$AF$3:$AF$357,0)+3-1)="לא",IF(OR(INDEX(מלאי!U:U,MATCH(8,מלאי!$AF$3:$AF$357,0)+3-1)&lt;&gt;"",INDEX(מלאי!O:O,MATCH(8,מלאי!$AF$3:$AF$357,0)+3-1)="לא",INDEX(מלאי!S:S,MATCH(8,מלאי!$AF$3:$AF$357,0)+3-1)="כן"),"  |  ","")&amp;"פיצ'רים לא תקינים",""),"")</f>
        <v/>
      </c>
    </row>
    <row r="26" spans="1:8" ht="15" customHeight="1" x14ac:dyDescent="0.25">
      <c r="A26" s="17" t="str">
        <f>IFERROR(INDEX(מלאי!A:A,MATCH(9,מלאי!$AF$3:$AF$357,0)+3-1),"")</f>
        <v>OverGarment</v>
      </c>
      <c r="B26" s="17" t="str">
        <f>IFERROR(INDEX(מלאי!B:B,MATCH(9,מלאי!$AF$3:$AF$357,0)+3-1),"")</f>
        <v>Poncho SRV</v>
      </c>
      <c r="C26" s="17" t="str">
        <f>IFERROR(INDEX(מלאי!C:C,MATCH(9,מלאי!$AF$3:$AF$357,0)+3-1),"")</f>
        <v>Short</v>
      </c>
      <c r="D26" s="17" t="str">
        <f>IFERROR(INDEX(מלאי!D:D,MATCH(9,מלאי!$AF$3:$AF$357,0)+3-1),"")</f>
        <v>SRV Short 5</v>
      </c>
      <c r="E26" s="17" t="str">
        <f>IFERROR(INDEX(מלאי!H:H,MATCH(9,מלאי!$AF$3:$AF$357,0)+3-1),"")</f>
        <v>Marine</v>
      </c>
      <c r="F26" s="17">
        <f>IFERROR(INDEX(מלאי!I:I,MATCH(9,מלאי!$AF$3:$AF$357,0)+3-1),"")</f>
        <v>0</v>
      </c>
      <c r="G26" s="17" t="str">
        <f>IFERROR(INDEX(מלאי!T:T,MATCH(9,מלאי!$AF$3:$AF$357,0)+3-1),"")</f>
        <v>במלאי</v>
      </c>
      <c r="H26" s="18" t="str">
        <f>IFERROR(INDEX(מלאי!U:U,MATCH(9,מלאי!$AF$3:$AF$357,0)+3-1)&amp;IF(INDEX(מלאי!O:O,MATCH(9,מלאי!$AF$3:$AF$357,0)+3-1)="לא",IF(INDEX(מלאי!U:U,MATCH(9,מלאי!$AF$3:$AF$357,0)+3-1)&lt;&gt;"","  |  ","")&amp;"גרסה לא סופית"&amp;IF(INDEX(מלאי!P:P,MATCH(9,מלאי!$AF$3:$AF$357,0)+3-1)&lt;&gt;"",": "&amp;INDEX(מלאי!P:P,MATCH(9,מלאי!$AF$3:$AF$357,0)+3-1),"")&amp;IF(INDEX(מלאי!Q:Q,MATCH(9,מלאי!$AF$3:$AF$357,0)+3-1)="כן"," (פיתוח)",""),"")&amp;IF(INDEX(מלאי!S:S,MATCH(9,מלאי!$AF$3:$AF$357,0)+3-1)="כן",IF(OR(INDEX(מלאי!U:U,MATCH(9,מלאי!$AF$3:$AF$357,0)+3-1)&lt;&gt;"",INDEX(מלאי!O:O,MATCH(9,מלאי!$AF$3:$AF$357,0)+3-1)="לא"),"  |  ","")&amp;"פער תכולה","")&amp;IF(INDEX(מלאי!N:N,MATCH(9,מלאי!$AF$3:$AF$357,0)+3-1)="לא",IF(OR(INDEX(מלאי!U:U,MATCH(9,מלאי!$AF$3:$AF$357,0)+3-1)&lt;&gt;"",INDEX(מלאי!O:O,MATCH(9,מלאי!$AF$3:$AF$357,0)+3-1)="לא",INDEX(מלאי!S:S,MATCH(9,מלאי!$AF$3:$AF$357,0)+3-1)="כן"),"  |  ","")&amp;"פיצ'רים לא תקינים",""),"")</f>
        <v/>
      </c>
    </row>
    <row r="27" spans="1:8" ht="15" customHeight="1" x14ac:dyDescent="0.25">
      <c r="A27" s="19" t="str">
        <f>IFERROR(INDEX(מלאי!A:A,MATCH(10,מלאי!$AF$3:$AF$357,0)+3-1),"")</f>
        <v>OverGarment</v>
      </c>
      <c r="B27" s="19" t="str">
        <f>IFERROR(INDEX(מלאי!B:B,MATCH(10,מלאי!$AF$3:$AF$357,0)+3-1),"")</f>
        <v>Poncho SRV</v>
      </c>
      <c r="C27" s="19" t="str">
        <f>IFERROR(INDEX(מלאי!C:C,MATCH(10,מלאי!$AF$3:$AF$357,0)+3-1),"")</f>
        <v>Short</v>
      </c>
      <c r="D27" s="19" t="str">
        <f>IFERROR(INDEX(מלאי!D:D,MATCH(10,מלאי!$AF$3:$AF$357,0)+3-1),"")</f>
        <v>SRV Short 3</v>
      </c>
      <c r="E27" s="19" t="str">
        <f>IFERROR(INDEX(מלאי!H:H,MATCH(10,מלאי!$AF$3:$AF$357,0)+3-1),"")</f>
        <v>Marine</v>
      </c>
      <c r="F27" s="19">
        <f>IFERROR(INDEX(מלאי!I:I,MATCH(10,מלאי!$AF$3:$AF$357,0)+3-1),"")</f>
        <v>0</v>
      </c>
      <c r="G27" s="19" t="str">
        <f>IFERROR(INDEX(מלאי!T:T,MATCH(10,מלאי!$AF$3:$AF$357,0)+3-1),"")</f>
        <v>במלאי</v>
      </c>
      <c r="H27" s="20" t="str">
        <f>IFERROR(INDEX(מלאי!U:U,MATCH(10,מלאי!$AF$3:$AF$357,0)+3-1)&amp;IF(INDEX(מלאי!O:O,MATCH(10,מלאי!$AF$3:$AF$357,0)+3-1)="לא",IF(INDEX(מלאי!U:U,MATCH(10,מלאי!$AF$3:$AF$357,0)+3-1)&lt;&gt;"","  |  ","")&amp;"גרסה לא סופית"&amp;IF(INDEX(מלאי!P:P,MATCH(10,מלאי!$AF$3:$AF$357,0)+3-1)&lt;&gt;"",": "&amp;INDEX(מלאי!P:P,MATCH(10,מלאי!$AF$3:$AF$357,0)+3-1),"")&amp;IF(INDEX(מלאי!Q:Q,MATCH(10,מלאי!$AF$3:$AF$357,0)+3-1)="כן"," (פיתוח)",""),"")&amp;IF(INDEX(מלאי!S:S,MATCH(10,מלאי!$AF$3:$AF$357,0)+3-1)="כן",IF(OR(INDEX(מלאי!U:U,MATCH(10,מלאי!$AF$3:$AF$357,0)+3-1)&lt;&gt;"",INDEX(מלאי!O:O,MATCH(10,מלאי!$AF$3:$AF$357,0)+3-1)="לא"),"  |  ","")&amp;"פער תכולה","")&amp;IF(INDEX(מלאי!N:N,MATCH(10,מלאי!$AF$3:$AF$357,0)+3-1)="לא",IF(OR(INDEX(מלאי!U:U,MATCH(10,מלאי!$AF$3:$AF$357,0)+3-1)&lt;&gt;"",INDEX(מלאי!O:O,MATCH(10,מלאי!$AF$3:$AF$357,0)+3-1)="לא",INDEX(מלאי!S:S,MATCH(10,מלאי!$AF$3:$AF$357,0)+3-1)="כן"),"  |  ","")&amp;"פיצ'רים לא תקינים",""),"")</f>
        <v/>
      </c>
    </row>
    <row r="28" spans="1:8" ht="15" customHeight="1" x14ac:dyDescent="0.25">
      <c r="A28" s="17" t="str">
        <f>IFERROR(INDEX(מלאי!A:A,MATCH(11,מלאי!$AF$3:$AF$357,0)+3-1),"")</f>
        <v>OverGarment</v>
      </c>
      <c r="B28" s="17" t="str">
        <f>IFERROR(INDEX(מלאי!B:B,MATCH(11,מלאי!$AF$3:$AF$357,0)+3-1),"")</f>
        <v>Poncho SRV</v>
      </c>
      <c r="C28" s="17" t="str">
        <f>IFERROR(INDEX(מלאי!C:C,MATCH(11,מלאי!$AF$3:$AF$357,0)+3-1),"")</f>
        <v>Short</v>
      </c>
      <c r="D28" s="17" t="str">
        <f>IFERROR(INDEX(מלאי!D:D,MATCH(11,מלאי!$AF$3:$AF$357,0)+3-1),"")</f>
        <v>SRV Short 2</v>
      </c>
      <c r="E28" s="17" t="str">
        <f>IFERROR(INDEX(מלאי!H:H,MATCH(11,מלאי!$AF$3:$AF$357,0)+3-1),"")</f>
        <v>Marine</v>
      </c>
      <c r="F28" s="17">
        <f>IFERROR(INDEX(מלאי!I:I,MATCH(11,מלאי!$AF$3:$AF$357,0)+3-1),"")</f>
        <v>0</v>
      </c>
      <c r="G28" s="17" t="str">
        <f>IFERROR(INDEX(מלאי!T:T,MATCH(11,מלאי!$AF$3:$AF$357,0)+3-1),"")</f>
        <v>במלאי</v>
      </c>
      <c r="H28" s="18" t="str">
        <f>IFERROR(INDEX(מלאי!U:U,MATCH(11,מלאי!$AF$3:$AF$357,0)+3-1)&amp;IF(INDEX(מלאי!O:O,MATCH(11,מלאי!$AF$3:$AF$357,0)+3-1)="לא",IF(INDEX(מלאי!U:U,MATCH(11,מלאי!$AF$3:$AF$357,0)+3-1)&lt;&gt;"","  |  ","")&amp;"גרסה לא סופית"&amp;IF(INDEX(מלאי!P:P,MATCH(11,מלאי!$AF$3:$AF$357,0)+3-1)&lt;&gt;"",": "&amp;INDEX(מלאי!P:P,MATCH(11,מלאי!$AF$3:$AF$357,0)+3-1),"")&amp;IF(INDEX(מלאי!Q:Q,MATCH(11,מלאי!$AF$3:$AF$357,0)+3-1)="כן"," (פיתוח)",""),"")&amp;IF(INDEX(מלאי!S:S,MATCH(11,מלאי!$AF$3:$AF$357,0)+3-1)="כן",IF(OR(INDEX(מלאי!U:U,MATCH(11,מלאי!$AF$3:$AF$357,0)+3-1)&lt;&gt;"",INDEX(מלאי!O:O,MATCH(11,מלאי!$AF$3:$AF$357,0)+3-1)="לא"),"  |  ","")&amp;"פער תכולה","")&amp;IF(INDEX(מלאי!N:N,MATCH(11,מלאי!$AF$3:$AF$357,0)+3-1)="לא",IF(OR(INDEX(מלאי!U:U,MATCH(11,מלאי!$AF$3:$AF$357,0)+3-1)&lt;&gt;"",INDEX(מלאי!O:O,MATCH(11,מלאי!$AF$3:$AF$357,0)+3-1)="לא",INDEX(מלאי!S:S,MATCH(11,מלאי!$AF$3:$AF$357,0)+3-1)="כן"),"  |  ","")&amp;"פיצ'רים לא תקינים",""),"")</f>
        <v/>
      </c>
    </row>
    <row r="29" spans="1:8" ht="15" customHeight="1" x14ac:dyDescent="0.25">
      <c r="A29" s="19" t="str">
        <f>IFERROR(INDEX(מלאי!A:A,MATCH(12,מלאי!$AF$3:$AF$357,0)+3-1),"")</f>
        <v>OverGarment</v>
      </c>
      <c r="B29" s="19" t="str">
        <f>IFERROR(INDEX(מלאי!B:B,MATCH(12,מלאי!$AF$3:$AF$357,0)+3-1),"")</f>
        <v>Poncho SRV</v>
      </c>
      <c r="C29" s="19" t="str">
        <f>IFERROR(INDEX(מלאי!C:C,MATCH(12,מלאי!$AF$3:$AF$357,0)+3-1),"")</f>
        <v>Short</v>
      </c>
      <c r="D29" s="19" t="str">
        <f>IFERROR(INDEX(מלאי!D:D,MATCH(12,מלאי!$AF$3:$AF$357,0)+3-1),"")</f>
        <v>SRV Short 11</v>
      </c>
      <c r="E29" s="19" t="str">
        <f>IFERROR(INDEX(מלאי!H:H,MATCH(12,מלאי!$AF$3:$AF$357,0)+3-1),"")</f>
        <v>Marine</v>
      </c>
      <c r="F29" s="19">
        <f>IFERROR(INDEX(מלאי!I:I,MATCH(12,מלאי!$AF$3:$AF$357,0)+3-1),"")</f>
        <v>0</v>
      </c>
      <c r="G29" s="19" t="str">
        <f>IFERROR(INDEX(מלאי!T:T,MATCH(12,מלאי!$AF$3:$AF$357,0)+3-1),"")</f>
        <v>במלאי</v>
      </c>
      <c r="H29" s="20" t="str">
        <f>IFERROR(INDEX(מלאי!U:U,MATCH(12,מלאי!$AF$3:$AF$357,0)+3-1)&amp;IF(INDEX(מלאי!O:O,MATCH(12,מלאי!$AF$3:$AF$357,0)+3-1)="לא",IF(INDEX(מלאי!U:U,MATCH(12,מלאי!$AF$3:$AF$357,0)+3-1)&lt;&gt;"","  |  ","")&amp;"גרסה לא סופית"&amp;IF(INDEX(מלאי!P:P,MATCH(12,מלאי!$AF$3:$AF$357,0)+3-1)&lt;&gt;"",": "&amp;INDEX(מלאי!P:P,MATCH(12,מלאי!$AF$3:$AF$357,0)+3-1),"")&amp;IF(INDEX(מלאי!Q:Q,MATCH(12,מלאי!$AF$3:$AF$357,0)+3-1)="כן"," (פיתוח)",""),"")&amp;IF(INDEX(מלאי!S:S,MATCH(12,מלאי!$AF$3:$AF$357,0)+3-1)="כן",IF(OR(INDEX(מלאי!U:U,MATCH(12,מלאי!$AF$3:$AF$357,0)+3-1)&lt;&gt;"",INDEX(מלאי!O:O,MATCH(12,מלאי!$AF$3:$AF$357,0)+3-1)="לא"),"  |  ","")&amp;"פער תכולה","")&amp;IF(INDEX(מלאי!N:N,MATCH(12,מלאי!$AF$3:$AF$357,0)+3-1)="לא",IF(OR(INDEX(מלאי!U:U,MATCH(12,מלאי!$AF$3:$AF$357,0)+3-1)&lt;&gt;"",INDEX(מלאי!O:O,MATCH(12,מלאי!$AF$3:$AF$357,0)+3-1)="לא",INDEX(מלאי!S:S,MATCH(12,מלאי!$AF$3:$AF$357,0)+3-1)="כן"),"  |  ","")&amp;"פיצ'רים לא תקינים",""),"")</f>
        <v/>
      </c>
    </row>
    <row r="30" spans="1:8" ht="15" customHeight="1" x14ac:dyDescent="0.25">
      <c r="A30" s="17" t="str">
        <f>IFERROR(INDEX(מלאי!A:A,MATCH(13,מלאי!$AF$3:$AF$357,0)+3-1),"")</f>
        <v>OverGarment</v>
      </c>
      <c r="B30" s="17" t="str">
        <f>IFERROR(INDEX(מלאי!B:B,MATCH(13,מלאי!$AF$3:$AF$357,0)+3-1),"")</f>
        <v>Poncho SRV</v>
      </c>
      <c r="C30" s="17" t="str">
        <f>IFERROR(INDEX(מלאי!C:C,MATCH(13,מלאי!$AF$3:$AF$357,0)+3-1),"")</f>
        <v>Short</v>
      </c>
      <c r="D30" s="17" t="str">
        <f>IFERROR(INDEX(מלאי!D:D,MATCH(13,מלאי!$AF$3:$AF$357,0)+3-1),"")</f>
        <v>SRV Short 1</v>
      </c>
      <c r="E30" s="17" t="str">
        <f>IFERROR(INDEX(מלאי!H:H,MATCH(13,מלאי!$AF$3:$AF$357,0)+3-1),"")</f>
        <v>Marine</v>
      </c>
      <c r="F30" s="17">
        <f>IFERROR(INDEX(מלאי!I:I,MATCH(13,מלאי!$AF$3:$AF$357,0)+3-1),"")</f>
        <v>0</v>
      </c>
      <c r="G30" s="17" t="str">
        <f>IFERROR(INDEX(מלאי!T:T,MATCH(13,מלאי!$AF$3:$AF$357,0)+3-1),"")</f>
        <v>במלאי</v>
      </c>
      <c r="H30" s="18" t="str">
        <f>IFERROR(INDEX(מלאי!U:U,MATCH(13,מלאי!$AF$3:$AF$357,0)+3-1)&amp;IF(INDEX(מלאי!O:O,MATCH(13,מלאי!$AF$3:$AF$357,0)+3-1)="לא",IF(INDEX(מלאי!U:U,MATCH(13,מלאי!$AF$3:$AF$357,0)+3-1)&lt;&gt;"","  |  ","")&amp;"גרסה לא סופית"&amp;IF(INDEX(מלאי!P:P,MATCH(13,מלאי!$AF$3:$AF$357,0)+3-1)&lt;&gt;"",": "&amp;INDEX(מלאי!P:P,MATCH(13,מלאי!$AF$3:$AF$357,0)+3-1),"")&amp;IF(INDEX(מלאי!Q:Q,MATCH(13,מלאי!$AF$3:$AF$357,0)+3-1)="כן"," (פיתוח)",""),"")&amp;IF(INDEX(מלאי!S:S,MATCH(13,מלאי!$AF$3:$AF$357,0)+3-1)="כן",IF(OR(INDEX(מלאי!U:U,MATCH(13,מלאי!$AF$3:$AF$357,0)+3-1)&lt;&gt;"",INDEX(מלאי!O:O,MATCH(13,מלאי!$AF$3:$AF$357,0)+3-1)="לא"),"  |  ","")&amp;"פער תכולה","")&amp;IF(INDEX(מלאי!N:N,MATCH(13,מלאי!$AF$3:$AF$357,0)+3-1)="לא",IF(OR(INDEX(מלאי!U:U,MATCH(13,מלאי!$AF$3:$AF$357,0)+3-1)&lt;&gt;"",INDEX(מלאי!O:O,MATCH(13,מלאי!$AF$3:$AF$357,0)+3-1)="לא",INDEX(מלאי!S:S,MATCH(13,מלאי!$AF$3:$AF$357,0)+3-1)="כן"),"  |  ","")&amp;"פיצ'רים לא תקינים",""),"")</f>
        <v/>
      </c>
    </row>
    <row r="31" spans="1:8" ht="15" customHeight="1" x14ac:dyDescent="0.25">
      <c r="A31" s="19" t="str">
        <f>IFERROR(INDEX(מלאי!A:A,MATCH(14,מלאי!$AF$3:$AF$357,0)+3-1),"")</f>
        <v>OverGarment</v>
      </c>
      <c r="B31" s="19" t="str">
        <f>IFERROR(INDEX(מלאי!B:B,MATCH(14,מלאי!$AF$3:$AF$357,0)+3-1),"")</f>
        <v>Poncho SRV</v>
      </c>
      <c r="C31" s="19" t="str">
        <f>IFERROR(INDEX(מלאי!C:C,MATCH(14,מלאי!$AF$3:$AF$357,0)+3-1),"")</f>
        <v>Short V2</v>
      </c>
      <c r="D31" s="19" t="str">
        <f>IFERROR(INDEX(מלאי!D:D,MATCH(14,מלאי!$AF$3:$AF$357,0)+3-1),"")</f>
        <v>SRV Short B7</v>
      </c>
      <c r="E31" s="19" t="str">
        <f>IFERROR(INDEX(מלאי!H:H,MATCH(14,מלאי!$AF$3:$AF$357,0)+3-1),"")</f>
        <v>Marine</v>
      </c>
      <c r="F31" s="19" t="str">
        <f>IFERROR(INDEX(מלאי!I:I,MATCH(14,מלאי!$AF$3:$AF$357,0)+3-1),"")</f>
        <v>NATO</v>
      </c>
      <c r="G31" s="19" t="str">
        <f>IFERROR(INDEX(מלאי!T:T,MATCH(14,מלאי!$AF$3:$AF$357,0)+3-1),"")</f>
        <v>במלאי</v>
      </c>
      <c r="H31" s="20" t="str">
        <f>IFERROR(INDEX(מלאי!U:U,MATCH(14,מלאי!$AF$3:$AF$357,0)+3-1)&amp;IF(INDEX(מלאי!O:O,MATCH(14,מלאי!$AF$3:$AF$357,0)+3-1)="לא",IF(INDEX(מלאי!U:U,MATCH(14,מלאי!$AF$3:$AF$357,0)+3-1)&lt;&gt;"","  |  ","")&amp;"גרסה לא סופית"&amp;IF(INDEX(מלאי!P:P,MATCH(14,מלאי!$AF$3:$AF$357,0)+3-1)&lt;&gt;"",": "&amp;INDEX(מלאי!P:P,MATCH(14,מלאי!$AF$3:$AF$357,0)+3-1),"")&amp;IF(INDEX(מלאי!Q:Q,MATCH(14,מלאי!$AF$3:$AF$357,0)+3-1)="כן"," (פיתוח)",""),"")&amp;IF(INDEX(מלאי!S:S,MATCH(14,מלאי!$AF$3:$AF$357,0)+3-1)="כן",IF(OR(INDEX(מלאי!U:U,MATCH(14,מלאי!$AF$3:$AF$357,0)+3-1)&lt;&gt;"",INDEX(מלאי!O:O,MATCH(14,מלאי!$AF$3:$AF$357,0)+3-1)="לא"),"  |  ","")&amp;"פער תכולה","")&amp;IF(INDEX(מלאי!N:N,MATCH(14,מלאי!$AF$3:$AF$357,0)+3-1)="לא",IF(OR(INDEX(מלאי!U:U,MATCH(14,מלאי!$AF$3:$AF$357,0)+3-1)&lt;&gt;"",INDEX(מלאי!O:O,MATCH(14,מלאי!$AF$3:$AF$357,0)+3-1)="לא",INDEX(מלאי!S:S,MATCH(14,מלאי!$AF$3:$AF$357,0)+3-1)="כן"),"  |  ","")&amp;"פיצ'רים לא תקינים",""),"")</f>
        <v/>
      </c>
    </row>
    <row r="32" spans="1:8" ht="15" customHeight="1" x14ac:dyDescent="0.25">
      <c r="A32" s="17" t="str">
        <f>IFERROR(INDEX(מלאי!A:A,MATCH(15,מלאי!$AF$3:$AF$357,0)+3-1),"")</f>
        <v>OverGarment</v>
      </c>
      <c r="B32" s="17" t="str">
        <f>IFERROR(INDEX(מלאי!B:B,MATCH(15,מלאי!$AF$3:$AF$357,0)+3-1),"")</f>
        <v>Hobey Elite</v>
      </c>
      <c r="C32" s="17" t="str">
        <f>IFERROR(INDEX(מלאי!C:C,MATCH(15,מלאי!$AF$3:$AF$357,0)+3-1),"")</f>
        <v>V1</v>
      </c>
      <c r="D32" s="17" t="str">
        <f>IFERROR(INDEX(מלאי!D:D,MATCH(15,מלאי!$AF$3:$AF$357,0)+3-1),"")</f>
        <v>Hobey 2</v>
      </c>
      <c r="E32" s="17" t="str">
        <f>IFERROR(INDEX(מלאי!H:H,MATCH(15,מלאי!$AF$3:$AF$357,0)+3-1),"")</f>
        <v>Woodland</v>
      </c>
      <c r="F32" s="17">
        <f>IFERROR(INDEX(מלאי!I:I,MATCH(15,מלאי!$AF$3:$AF$357,0)+3-1),"")</f>
        <v>0</v>
      </c>
      <c r="G32" s="17" t="str">
        <f>IFERROR(INDEX(מלאי!T:T,MATCH(15,מלאי!$AF$3:$AF$357,0)+3-1),"")</f>
        <v>במלאי</v>
      </c>
      <c r="H32" s="18" t="str">
        <f>IFERROR(INDEX(מלאי!U:U,MATCH(15,מלאי!$AF$3:$AF$357,0)+3-1)&amp;IF(INDEX(מלאי!O:O,MATCH(15,מלאי!$AF$3:$AF$357,0)+3-1)="לא",IF(INDEX(מלאי!U:U,MATCH(15,מלאי!$AF$3:$AF$357,0)+3-1)&lt;&gt;"","  |  ","")&amp;"גרסה לא סופית"&amp;IF(INDEX(מלאי!P:P,MATCH(15,מלאי!$AF$3:$AF$357,0)+3-1)&lt;&gt;"",": "&amp;INDEX(מלאי!P:P,MATCH(15,מלאי!$AF$3:$AF$357,0)+3-1),"")&amp;IF(INDEX(מלאי!Q:Q,MATCH(15,מלאי!$AF$3:$AF$357,0)+3-1)="כן"," (פיתוח)",""),"")&amp;IF(INDEX(מלאי!S:S,MATCH(15,מלאי!$AF$3:$AF$357,0)+3-1)="כן",IF(OR(INDEX(מלאי!U:U,MATCH(15,מלאי!$AF$3:$AF$357,0)+3-1)&lt;&gt;"",INDEX(מלאי!O:O,MATCH(15,מלאי!$AF$3:$AF$357,0)+3-1)="לא"),"  |  ","")&amp;"פער תכולה","")&amp;IF(INDEX(מלאי!N:N,MATCH(15,מלאי!$AF$3:$AF$357,0)+3-1)="לא",IF(OR(INDEX(מלאי!U:U,MATCH(15,מלאי!$AF$3:$AF$357,0)+3-1)&lt;&gt;"",INDEX(מלאי!O:O,MATCH(15,מלאי!$AF$3:$AF$357,0)+3-1)="לא",INDEX(מלאי!S:S,MATCH(15,מלאי!$AF$3:$AF$357,0)+3-1)="כן"),"  |  ","")&amp;"פיצ'רים לא תקינים",""),"")</f>
        <v/>
      </c>
    </row>
    <row r="33" spans="1:8" ht="15" customHeight="1" x14ac:dyDescent="0.25">
      <c r="A33" s="19" t="str">
        <f>IFERROR(INDEX(מלאי!A:A,MATCH(16,מלאי!$AF$3:$AF$357,0)+3-1),"")</f>
        <v>OverGarment</v>
      </c>
      <c r="B33" s="19" t="str">
        <f>IFERROR(INDEX(מלאי!B:B,MATCH(16,מלאי!$AF$3:$AF$357,0)+3-1),"")</f>
        <v>Hobey Elite</v>
      </c>
      <c r="C33" s="19" t="str">
        <f>IFERROR(INDEX(מלאי!C:C,MATCH(16,מלאי!$AF$3:$AF$357,0)+3-1),"")</f>
        <v>V1</v>
      </c>
      <c r="D33" s="19" t="str">
        <f>IFERROR(INDEX(מלאי!D:D,MATCH(16,מלאי!$AF$3:$AF$357,0)+3-1),"")</f>
        <v>הובי תצוגה 1</v>
      </c>
      <c r="E33" s="19" t="str">
        <f>IFERROR(INDEX(מלאי!H:H,MATCH(16,מלאי!$AF$3:$AF$357,0)+3-1),"")</f>
        <v>Kestrel</v>
      </c>
      <c r="F33" s="19">
        <f>IFERROR(INDEX(מלאי!I:I,MATCH(16,מלאי!$AF$3:$AF$357,0)+3-1),"")</f>
        <v>0</v>
      </c>
      <c r="G33" s="19" t="str">
        <f>IFERROR(INDEX(מלאי!T:T,MATCH(16,מלאי!$AF$3:$AF$357,0)+3-1),"")</f>
        <v>בחדר תצוגה</v>
      </c>
      <c r="H33" s="20" t="str">
        <f>IFERROR(INDEX(מלאי!U:U,MATCH(16,מלאי!$AF$3:$AF$357,0)+3-1)&amp;IF(INDEX(מלאי!O:O,MATCH(16,מלאי!$AF$3:$AF$357,0)+3-1)="לא",IF(INDEX(מלאי!U:U,MATCH(16,מלאי!$AF$3:$AF$357,0)+3-1)&lt;&gt;"","  |  ","")&amp;"גרסה לא סופית"&amp;IF(INDEX(מלאי!P:P,MATCH(16,מלאי!$AF$3:$AF$357,0)+3-1)&lt;&gt;"",": "&amp;INDEX(מלאי!P:P,MATCH(16,מלאי!$AF$3:$AF$357,0)+3-1),"")&amp;IF(INDEX(מלאי!Q:Q,MATCH(16,מלאי!$AF$3:$AF$357,0)+3-1)="כן"," (פיתוח)",""),"")&amp;IF(INDEX(מלאי!S:S,MATCH(16,מלאי!$AF$3:$AF$357,0)+3-1)="כן",IF(OR(INDEX(מלאי!U:U,MATCH(16,מלאי!$AF$3:$AF$357,0)+3-1)&lt;&gt;"",INDEX(מלאי!O:O,MATCH(16,מלאי!$AF$3:$AF$357,0)+3-1)="לא"),"  |  ","")&amp;"פער תכולה","")&amp;IF(INDEX(מלאי!N:N,MATCH(16,מלאי!$AF$3:$AF$357,0)+3-1)="לא",IF(OR(INDEX(מלאי!U:U,MATCH(16,מלאי!$AF$3:$AF$357,0)+3-1)&lt;&gt;"",INDEX(מלאי!O:O,MATCH(16,מלאי!$AF$3:$AF$357,0)+3-1)="לא",INDEX(מלאי!S:S,MATCH(16,מלאי!$AF$3:$AF$357,0)+3-1)="כן"),"  |  ","")&amp;"פיצ'רים לא תקינים",""),"")</f>
        <v/>
      </c>
    </row>
    <row r="34" spans="1:8" ht="15" customHeight="1" x14ac:dyDescent="0.25">
      <c r="A34" s="17" t="str">
        <f>IFERROR(INDEX(מלאי!A:A,MATCH(17,מלאי!$AF$3:$AF$357,0)+3-1),"")</f>
        <v>OverGarment</v>
      </c>
      <c r="B34" s="17" t="str">
        <f>IFERROR(INDEX(מלאי!B:B,MATCH(17,מלאי!$AF$3:$AF$357,0)+3-1),"")</f>
        <v>Sniper Assault</v>
      </c>
      <c r="C34" s="17" t="str">
        <f>IFERROR(INDEX(מלאי!C:C,MATCH(17,מלאי!$AF$3:$AF$357,0)+3-1),"")</f>
        <v>V1</v>
      </c>
      <c r="D34" s="17" t="str">
        <f>IFERROR(INDEX(מלאי!D:D,MATCH(17,מלאי!$AF$3:$AF$357,0)+3-1),"")</f>
        <v>חליפת צלף הדגמה</v>
      </c>
      <c r="E34" s="17" t="str">
        <f>IFERROR(INDEX(מלאי!H:H,MATCH(17,מלאי!$AF$3:$AF$357,0)+3-1),"")</f>
        <v>Kestrel</v>
      </c>
      <c r="F34" s="17">
        <f>IFERROR(INDEX(מלאי!I:I,MATCH(17,מלאי!$AF$3:$AF$357,0)+3-1),"")</f>
        <v>0</v>
      </c>
      <c r="G34" s="17" t="str">
        <f>IFERROR(INDEX(מלאי!T:T,MATCH(17,מלאי!$AF$3:$AF$357,0)+3-1),"")</f>
        <v>במלאי</v>
      </c>
      <c r="H34" s="18" t="str">
        <f>IFERROR(INDEX(מלאי!U:U,MATCH(17,מלאי!$AF$3:$AF$357,0)+3-1)&amp;IF(INDEX(מלאי!O:O,MATCH(17,מלאי!$AF$3:$AF$357,0)+3-1)="לא",IF(INDEX(מלאי!U:U,MATCH(17,מלאי!$AF$3:$AF$357,0)+3-1)&lt;&gt;"","  |  ","")&amp;"גרסה לא סופית"&amp;IF(INDEX(מלאי!P:P,MATCH(17,מלאי!$AF$3:$AF$357,0)+3-1)&lt;&gt;"",": "&amp;INDEX(מלאי!P:P,MATCH(17,מלאי!$AF$3:$AF$357,0)+3-1),"")&amp;IF(INDEX(מלאי!Q:Q,MATCH(17,מלאי!$AF$3:$AF$357,0)+3-1)="כן"," (פיתוח)",""),"")&amp;IF(INDEX(מלאי!S:S,MATCH(17,מלאי!$AF$3:$AF$357,0)+3-1)="כן",IF(OR(INDEX(מלאי!U:U,MATCH(17,מלאי!$AF$3:$AF$357,0)+3-1)&lt;&gt;"",INDEX(מלאי!O:O,MATCH(17,מלאי!$AF$3:$AF$357,0)+3-1)="לא"),"  |  ","")&amp;"פער תכולה","")&amp;IF(INDEX(מלאי!N:N,MATCH(17,מלאי!$AF$3:$AF$357,0)+3-1)="לא",IF(OR(INDEX(מלאי!U:U,MATCH(17,מלאי!$AF$3:$AF$357,0)+3-1)&lt;&gt;"",INDEX(מלאי!O:O,MATCH(17,מלאי!$AF$3:$AF$357,0)+3-1)="לא",INDEX(מלאי!S:S,MATCH(17,מלאי!$AF$3:$AF$357,0)+3-1)="כן"),"  |  ","")&amp;"פיצ'רים לא תקינים",""),"")</f>
        <v/>
      </c>
    </row>
    <row r="35" spans="1:8" ht="15" customHeight="1" x14ac:dyDescent="0.25">
      <c r="A35" s="19" t="str">
        <f>IFERROR(INDEX(מלאי!A:A,MATCH(18,מלאי!$AF$3:$AF$357,0)+3-1),"")</f>
        <v>OverGarment</v>
      </c>
      <c r="B35" s="19" t="str">
        <f>IFERROR(INDEX(מלאי!B:B,MATCH(18,מלאי!$AF$3:$AF$357,0)+3-1),"")</f>
        <v>Sniper Assault</v>
      </c>
      <c r="C35" s="19" t="str">
        <f>IFERROR(INDEX(מלאי!C:C,MATCH(18,מלאי!$AF$3:$AF$357,0)+3-1),"")</f>
        <v>V1</v>
      </c>
      <c r="D35" s="19" t="str">
        <f>IFERROR(INDEX(מלאי!D:D,MATCH(18,מלאי!$AF$3:$AF$357,0)+3-1),"")</f>
        <v>חליפת צלף תצוגה</v>
      </c>
      <c r="E35" s="19" t="str">
        <f>IFERROR(INDEX(מלאי!H:H,MATCH(18,מלאי!$AF$3:$AF$357,0)+3-1),"")</f>
        <v>Kestrel</v>
      </c>
      <c r="F35" s="19">
        <f>IFERROR(INDEX(מלאי!I:I,MATCH(18,מלאי!$AF$3:$AF$357,0)+3-1),"")</f>
        <v>0</v>
      </c>
      <c r="G35" s="19" t="str">
        <f>IFERROR(INDEX(מלאי!T:T,MATCH(18,מלאי!$AF$3:$AF$357,0)+3-1),"")</f>
        <v>במלאי</v>
      </c>
      <c r="H35" s="20" t="str">
        <f>IFERROR(INDEX(מלאי!U:U,MATCH(18,מלאי!$AF$3:$AF$357,0)+3-1)&amp;IF(INDEX(מלאי!O:O,MATCH(18,מלאי!$AF$3:$AF$357,0)+3-1)="לא",IF(INDEX(מלאי!U:U,MATCH(18,מלאי!$AF$3:$AF$357,0)+3-1)&lt;&gt;"","  |  ","")&amp;"גרסה לא סופית"&amp;IF(INDEX(מלאי!P:P,MATCH(18,מלאי!$AF$3:$AF$357,0)+3-1)&lt;&gt;"",": "&amp;INDEX(מלאי!P:P,MATCH(18,מלאי!$AF$3:$AF$357,0)+3-1),"")&amp;IF(INDEX(מלאי!Q:Q,MATCH(18,מלאי!$AF$3:$AF$357,0)+3-1)="כן"," (פיתוח)",""),"")&amp;IF(INDEX(מלאי!S:S,MATCH(18,מלאי!$AF$3:$AF$357,0)+3-1)="כן",IF(OR(INDEX(מלאי!U:U,MATCH(18,מלאי!$AF$3:$AF$357,0)+3-1)&lt;&gt;"",INDEX(מלאי!O:O,MATCH(18,מלאי!$AF$3:$AF$357,0)+3-1)="לא"),"  |  ","")&amp;"פער תכולה","")&amp;IF(INDEX(מלאי!N:N,MATCH(18,מלאי!$AF$3:$AF$357,0)+3-1)="לא",IF(OR(INDEX(מלאי!U:U,MATCH(18,מלאי!$AF$3:$AF$357,0)+3-1)&lt;&gt;"",INDEX(מלאי!O:O,MATCH(18,מלאי!$AF$3:$AF$357,0)+3-1)="לא",INDEX(מלאי!S:S,MATCH(18,מלאי!$AF$3:$AF$357,0)+3-1)="כן"),"  |  ","")&amp;"פיצ'רים לא תקינים",""),"")</f>
        <v/>
      </c>
    </row>
    <row r="36" spans="1:8" ht="15" customHeight="1" x14ac:dyDescent="0.25">
      <c r="A36" s="17" t="str">
        <f>IFERROR(INDEX(מלאי!A:A,MATCH(19,מלאי!$AF$3:$AF$357,0)+3-1),"")</f>
        <v>Hide Site</v>
      </c>
      <c r="B36" s="17" t="str">
        <f>IFERROR(INDEX(מלאי!B:B,MATCH(19,מלאי!$AF$3:$AF$357,0)+3-1),"")</f>
        <v>Operators HS</v>
      </c>
      <c r="C36" s="17" t="str">
        <f>IFERROR(INDEX(מלאי!C:C,MATCH(19,מלאי!$AF$3:$AF$357,0)+3-1),"")</f>
        <v>V1</v>
      </c>
      <c r="D36" s="17" t="str">
        <f>IFERROR(INDEX(מלאי!D:D,MATCH(19,מלאי!$AF$3:$AF$357,0)+3-1),"")</f>
        <v>עמדת חוליה MRG 3 הדגמה</v>
      </c>
      <c r="E36" s="17" t="str">
        <f>IFERROR(INDEX(מלאי!H:H,MATCH(19,מלאי!$AF$3:$AF$357,0)+3-1),"")</f>
        <v>Urban Green</v>
      </c>
      <c r="F36" s="17" t="str">
        <f>IFERROR(INDEX(מלאי!I:I,MATCH(19,מלאי!$AF$3:$AF$357,0)+3-1),"")</f>
        <v>Woodland Brown</v>
      </c>
      <c r="G36" s="17" t="str">
        <f>IFERROR(INDEX(מלאי!T:T,MATCH(19,מלאי!$AF$3:$AF$357,0)+3-1),"")</f>
        <v>במלאי</v>
      </c>
      <c r="H36" s="18" t="str">
        <f>IFERROR(INDEX(מלאי!U:U,MATCH(19,מלאי!$AF$3:$AF$357,0)+3-1)&amp;IF(INDEX(מלאי!O:O,MATCH(19,מלאי!$AF$3:$AF$357,0)+3-1)="לא",IF(INDEX(מלאי!U:U,MATCH(19,מלאי!$AF$3:$AF$357,0)+3-1)&lt;&gt;"","  |  ","")&amp;"גרסה לא סופית"&amp;IF(INDEX(מלאי!P:P,MATCH(19,מלאי!$AF$3:$AF$357,0)+3-1)&lt;&gt;"",": "&amp;INDEX(מלאי!P:P,MATCH(19,מלאי!$AF$3:$AF$357,0)+3-1),"")&amp;IF(INDEX(מלאי!Q:Q,MATCH(19,מלאי!$AF$3:$AF$357,0)+3-1)="כן"," (פיתוח)",""),"")&amp;IF(INDEX(מלאי!S:S,MATCH(19,מלאי!$AF$3:$AF$357,0)+3-1)="כן",IF(OR(INDEX(מלאי!U:U,MATCH(19,מלאי!$AF$3:$AF$357,0)+3-1)&lt;&gt;"",INDEX(מלאי!O:O,MATCH(19,מלאי!$AF$3:$AF$357,0)+3-1)="לא"),"  |  ","")&amp;"פער תכולה","")&amp;IF(INDEX(מלאי!N:N,MATCH(19,מלאי!$AF$3:$AF$357,0)+3-1)="לא",IF(OR(INDEX(מלאי!U:U,MATCH(19,מלאי!$AF$3:$AF$357,0)+3-1)&lt;&gt;"",INDEX(מלאי!O:O,MATCH(19,מלאי!$AF$3:$AF$357,0)+3-1)="לא",INDEX(מלאי!S:S,MATCH(19,מלאי!$AF$3:$AF$357,0)+3-1)="כן"),"  |  ","")&amp;"פיצ'רים לא תקינים",""),"")</f>
        <v>חסר קונסטרוקציה  |  פער תכולה</v>
      </c>
    </row>
    <row r="37" spans="1:8" ht="15" customHeight="1" x14ac:dyDescent="0.25">
      <c r="A37" s="19" t="str">
        <f>IFERROR(INDEX(מלאי!A:A,MATCH(20,מלאי!$AF$3:$AF$357,0)+3-1),"")</f>
        <v>Hide Site</v>
      </c>
      <c r="B37" s="19" t="str">
        <f>IFERROR(INDEX(מלאי!B:B,MATCH(20,מלאי!$AF$3:$AF$357,0)+3-1),"")</f>
        <v>Operators HS</v>
      </c>
      <c r="C37" s="19" t="str">
        <f>IFERROR(INDEX(מלאי!C:C,MATCH(20,מלאי!$AF$3:$AF$357,0)+3-1),"")</f>
        <v>V1</v>
      </c>
      <c r="D37" s="19" t="str">
        <f>IFERROR(INDEX(מלאי!D:D,MATCH(20,מלאי!$AF$3:$AF$357,0)+3-1),"")</f>
        <v>Op HS  4</v>
      </c>
      <c r="E37" s="19" t="str">
        <f>IFERROR(INDEX(מלאי!H:H,MATCH(20,מלאי!$AF$3:$AF$357,0)+3-1),"")</f>
        <v>Urban Green</v>
      </c>
      <c r="F37" s="19" t="str">
        <f>IFERROR(INDEX(מלאי!I:I,MATCH(20,מלאי!$AF$3:$AF$357,0)+3-1),"")</f>
        <v>Woodland Brown</v>
      </c>
      <c r="G37" s="19" t="str">
        <f>IFERROR(INDEX(מלאי!T:T,MATCH(20,מלאי!$AF$3:$AF$357,0)+3-1),"")</f>
        <v>במלאי</v>
      </c>
      <c r="H37" s="20" t="str">
        <f>IFERROR(INDEX(מלאי!U:U,MATCH(20,מלאי!$AF$3:$AF$357,0)+3-1)&amp;IF(INDEX(מלאי!O:O,MATCH(20,מלאי!$AF$3:$AF$357,0)+3-1)="לא",IF(INDEX(מלאי!U:U,MATCH(20,מלאי!$AF$3:$AF$357,0)+3-1)&lt;&gt;"","  |  ","")&amp;"גרסה לא סופית"&amp;IF(INDEX(מלאי!P:P,MATCH(20,מלאי!$AF$3:$AF$357,0)+3-1)&lt;&gt;"",": "&amp;INDEX(מלאי!P:P,MATCH(20,מלאי!$AF$3:$AF$357,0)+3-1),"")&amp;IF(INDEX(מלאי!Q:Q,MATCH(20,מלאי!$AF$3:$AF$357,0)+3-1)="כן"," (פיתוח)",""),"")&amp;IF(INDEX(מלאי!S:S,MATCH(20,מלאי!$AF$3:$AF$357,0)+3-1)="כן",IF(OR(INDEX(מלאי!U:U,MATCH(20,מלאי!$AF$3:$AF$357,0)+3-1)&lt;&gt;"",INDEX(מלאי!O:O,MATCH(20,מלאי!$AF$3:$AF$357,0)+3-1)="לא"),"  |  ","")&amp;"פער תכולה","")&amp;IF(INDEX(מלאי!N:N,MATCH(20,מלאי!$AF$3:$AF$357,0)+3-1)="לא",IF(OR(INDEX(מלאי!U:U,MATCH(20,מלאי!$AF$3:$AF$357,0)+3-1)&lt;&gt;"",INDEX(מלאי!O:O,MATCH(20,מלאי!$AF$3:$AF$357,0)+3-1)="לא",INDEX(מלאי!S:S,MATCH(20,מלאי!$AF$3:$AF$357,0)+3-1)="כן"),"  |  ","")&amp;"פיצ'רים לא תקינים",""),"")</f>
        <v>חסר תומך  |  פער תכולה</v>
      </c>
    </row>
    <row r="38" spans="1:8" ht="15" customHeight="1" x14ac:dyDescent="0.25">
      <c r="A38" s="17" t="str">
        <f>IFERROR(INDEX(מלאי!A:A,MATCH(21,מלאי!$AF$3:$AF$357,0)+3-1),"")</f>
        <v>Blankets</v>
      </c>
      <c r="B38" s="17" t="str">
        <f>IFERROR(INDEX(מלאי!B:B,MATCH(21,מלאי!$AF$3:$AF$357,0)+3-1),"")</f>
        <v>3D Survival Blanket</v>
      </c>
      <c r="C38" s="17" t="str">
        <f>IFERROR(INDEX(מלאי!C:C,MATCH(21,מלאי!$AF$3:$AF$357,0)+3-1),"")</f>
        <v>V1</v>
      </c>
      <c r="D38" s="17" t="str">
        <f>IFERROR(INDEX(מלאי!D:D,MATCH(21,מלאי!$AF$3:$AF$357,0)+3-1),"")</f>
        <v>יריעה 3D הדגמה 1</v>
      </c>
      <c r="E38" s="17" t="str">
        <f>IFERROR(INDEX(מלאי!H:H,MATCH(21,מלאי!$AF$3:$AF$357,0)+3-1),"")</f>
        <v>Ever-Green</v>
      </c>
      <c r="F38" s="17" t="str">
        <f>IFERROR(INDEX(מלאי!I:I,MATCH(21,מלאי!$AF$3:$AF$357,0)+3-1),"")</f>
        <v>Kestrel</v>
      </c>
      <c r="G38" s="17" t="str">
        <f>IFERROR(INDEX(מלאי!T:T,MATCH(21,מלאי!$AF$3:$AF$357,0)+3-1),"")</f>
        <v>במלאי</v>
      </c>
      <c r="H38" s="18" t="str">
        <f>IFERROR(INDEX(מלאי!U:U,MATCH(21,מלאי!$AF$3:$AF$357,0)+3-1)&amp;IF(INDEX(מלאי!O:O,MATCH(21,מלאי!$AF$3:$AF$357,0)+3-1)="לא",IF(INDEX(מלאי!U:U,MATCH(21,מלאי!$AF$3:$AF$357,0)+3-1)&lt;&gt;"","  |  ","")&amp;"גרסה לא סופית"&amp;IF(INDEX(מלאי!P:P,MATCH(21,מלאי!$AF$3:$AF$357,0)+3-1)&lt;&gt;"",": "&amp;INDEX(מלאי!P:P,MATCH(21,מלאי!$AF$3:$AF$357,0)+3-1),"")&amp;IF(INDEX(מלאי!Q:Q,MATCH(21,מלאי!$AF$3:$AF$357,0)+3-1)="כן"," (פיתוח)",""),"")&amp;IF(INDEX(מלאי!S:S,MATCH(21,מלאי!$AF$3:$AF$357,0)+3-1)="כן",IF(OR(INDEX(מלאי!U:U,MATCH(21,מלאי!$AF$3:$AF$357,0)+3-1)&lt;&gt;"",INDEX(מלאי!O:O,MATCH(21,מלאי!$AF$3:$AF$357,0)+3-1)="לא"),"  |  ","")&amp;"פער תכולה","")&amp;IF(INDEX(מלאי!N:N,MATCH(21,מלאי!$AF$3:$AF$357,0)+3-1)="לא",IF(OR(INDEX(מלאי!U:U,MATCH(21,מלאי!$AF$3:$AF$357,0)+3-1)&lt;&gt;"",INDEX(מלאי!O:O,MATCH(21,מלאי!$AF$3:$AF$357,0)+3-1)="לא",INDEX(מלאי!S:S,MATCH(21,מלאי!$AF$3:$AF$357,0)+3-1)="כן"),"  |  ","")&amp;"פיצ'רים לא תקינים",""),"")</f>
        <v/>
      </c>
    </row>
    <row r="39" spans="1:8" ht="15" customHeight="1" x14ac:dyDescent="0.25">
      <c r="A39" s="19" t="str">
        <f>IFERROR(INDEX(מלאי!A:A,MATCH(22,מלאי!$AF$3:$AF$357,0)+3-1),"")</f>
        <v>Blankets</v>
      </c>
      <c r="B39" s="19" t="str">
        <f>IFERROR(INDEX(מלאי!B:B,MATCH(22,מלאי!$AF$3:$AF$357,0)+3-1),"")</f>
        <v>3D Survival Blanket</v>
      </c>
      <c r="C39" s="19" t="str">
        <f>IFERROR(INDEX(מלאי!C:C,MATCH(22,מלאי!$AF$3:$AF$357,0)+3-1),"")</f>
        <v>V1</v>
      </c>
      <c r="D39" s="19" t="str">
        <f>IFERROR(INDEX(מלאי!D:D,MATCH(22,מלאי!$AF$3:$AF$357,0)+3-1),"")</f>
        <v>יריעה 3D תצוגה 2</v>
      </c>
      <c r="E39" s="19" t="str">
        <f>IFERROR(INDEX(מלאי!H:H,MATCH(22,מלאי!$AF$3:$AF$357,0)+3-1),"")</f>
        <v>Ever-Green</v>
      </c>
      <c r="F39" s="19" t="str">
        <f>IFERROR(INDEX(מלאי!I:I,MATCH(22,מלאי!$AF$3:$AF$357,0)+3-1),"")</f>
        <v>Kestrel</v>
      </c>
      <c r="G39" s="19" t="str">
        <f>IFERROR(INDEX(מלאי!T:T,MATCH(22,מלאי!$AF$3:$AF$357,0)+3-1),"")</f>
        <v>במלאי</v>
      </c>
      <c r="H39" s="20" t="str">
        <f>IFERROR(INDEX(מלאי!U:U,MATCH(22,מלאי!$AF$3:$AF$357,0)+3-1)&amp;IF(INDEX(מלאי!O:O,MATCH(22,מלאי!$AF$3:$AF$357,0)+3-1)="לא",IF(INDEX(מלאי!U:U,MATCH(22,מלאי!$AF$3:$AF$357,0)+3-1)&lt;&gt;"","  |  ","")&amp;"גרסה לא סופית"&amp;IF(INDEX(מלאי!P:P,MATCH(22,מלאי!$AF$3:$AF$357,0)+3-1)&lt;&gt;"",": "&amp;INDEX(מלאי!P:P,MATCH(22,מלאי!$AF$3:$AF$357,0)+3-1),"")&amp;IF(INDEX(מלאי!Q:Q,MATCH(22,מלאי!$AF$3:$AF$357,0)+3-1)="כן"," (פיתוח)",""),"")&amp;IF(INDEX(מלאי!S:S,MATCH(22,מלאי!$AF$3:$AF$357,0)+3-1)="כן",IF(OR(INDEX(מלאי!U:U,MATCH(22,מלאי!$AF$3:$AF$357,0)+3-1)&lt;&gt;"",INDEX(מלאי!O:O,MATCH(22,מלאי!$AF$3:$AF$357,0)+3-1)="לא"),"  |  ","")&amp;"פער תכולה","")&amp;IF(INDEX(מלאי!N:N,MATCH(22,מלאי!$AF$3:$AF$357,0)+3-1)="לא",IF(OR(INDEX(מלאי!U:U,MATCH(22,מלאי!$AF$3:$AF$357,0)+3-1)&lt;&gt;"",INDEX(מלאי!O:O,MATCH(22,מלאי!$AF$3:$AF$357,0)+3-1)="לא",INDEX(מלאי!S:S,MATCH(22,מלאי!$AF$3:$AF$357,0)+3-1)="כן"),"  |  ","")&amp;"פיצ'רים לא תקינים",""),"")</f>
        <v/>
      </c>
    </row>
    <row r="40" spans="1:8" ht="15" customHeight="1" x14ac:dyDescent="0.25">
      <c r="A40" s="17" t="str">
        <f>IFERROR(INDEX(מלאי!A:A,MATCH(23,מלאי!$AF$3:$AF$357,0)+3-1),"")</f>
        <v>Blankets</v>
      </c>
      <c r="B40" s="17" t="str">
        <f>IFERROR(INDEX(מלאי!B:B,MATCH(23,מלאי!$AF$3:$AF$357,0)+3-1),"")</f>
        <v>Water Proof Survival Blanket</v>
      </c>
      <c r="C40" s="17" t="str">
        <f>IFERROR(INDEX(מלאי!C:C,MATCH(23,מלאי!$AF$3:$AF$357,0)+3-1),"")</f>
        <v>V1</v>
      </c>
      <c r="D40" s="17" t="str">
        <f>IFERROR(INDEX(מלאי!D:D,MATCH(23,מלאי!$AF$3:$AF$357,0)+3-1),"")</f>
        <v>יריעה אטומה תצוגה</v>
      </c>
      <c r="E40" s="17" t="str">
        <f>IFERROR(INDEX(מלאי!H:H,MATCH(23,מלאי!$AF$3:$AF$357,0)+3-1),"")</f>
        <v>Woodland Brown</v>
      </c>
      <c r="F40" s="17">
        <f>IFERROR(INDEX(מלאי!I:I,MATCH(23,מלאי!$AF$3:$AF$357,0)+3-1),"")</f>
        <v>0</v>
      </c>
      <c r="G40" s="17" t="str">
        <f>IFERROR(INDEX(מלאי!T:T,MATCH(23,מלאי!$AF$3:$AF$357,0)+3-1),"")</f>
        <v>בחדר תצוגה</v>
      </c>
      <c r="H40" s="18" t="str">
        <f>IFERROR(INDEX(מלאי!U:U,MATCH(23,מלאי!$AF$3:$AF$357,0)+3-1)&amp;IF(INDEX(מלאי!O:O,MATCH(23,מלאי!$AF$3:$AF$357,0)+3-1)="לא",IF(INDEX(מלאי!U:U,MATCH(23,מלאי!$AF$3:$AF$357,0)+3-1)&lt;&gt;"","  |  ","")&amp;"גרסה לא סופית"&amp;IF(INDEX(מלאי!P:P,MATCH(23,מלאי!$AF$3:$AF$357,0)+3-1)&lt;&gt;"",": "&amp;INDEX(מלאי!P:P,MATCH(23,מלאי!$AF$3:$AF$357,0)+3-1),"")&amp;IF(INDEX(מלאי!Q:Q,MATCH(23,מלאי!$AF$3:$AF$357,0)+3-1)="כן"," (פיתוח)",""),"")&amp;IF(INDEX(מלאי!S:S,MATCH(23,מלאי!$AF$3:$AF$357,0)+3-1)="כן",IF(OR(INDEX(מלאי!U:U,MATCH(23,מלאי!$AF$3:$AF$357,0)+3-1)&lt;&gt;"",INDEX(מלאי!O:O,MATCH(23,מלאי!$AF$3:$AF$357,0)+3-1)="לא"),"  |  ","")&amp;"פער תכולה","")&amp;IF(INDEX(מלאי!N:N,MATCH(23,מלאי!$AF$3:$AF$357,0)+3-1)="לא",IF(OR(INDEX(מלאי!U:U,MATCH(23,מלאי!$AF$3:$AF$357,0)+3-1)&lt;&gt;"",INDEX(מלאי!O:O,MATCH(23,מלאי!$AF$3:$AF$357,0)+3-1)="לא",INDEX(מלאי!S:S,MATCH(23,מלאי!$AF$3:$AF$357,0)+3-1)="כן"),"  |  ","")&amp;"פיצ'רים לא תקינים",""),"")</f>
        <v/>
      </c>
    </row>
    <row r="41" spans="1:8" ht="15" customHeight="1" x14ac:dyDescent="0.25">
      <c r="A41" s="19" t="str">
        <f>IFERROR(INDEX(מלאי!A:A,MATCH(24,מלאי!$AF$3:$AF$357,0)+3-1),"")</f>
        <v>Blankets</v>
      </c>
      <c r="B41" s="19" t="str">
        <f>IFERROR(INDEX(מלאי!B:B,MATCH(24,מלאי!$AF$3:$AF$357,0)+3-1),"")</f>
        <v>Survival Blanket</v>
      </c>
      <c r="C41" s="19" t="str">
        <f>IFERROR(INDEX(מלאי!C:C,MATCH(24,מלאי!$AF$3:$AF$357,0)+3-1),"")</f>
        <v>V1</v>
      </c>
      <c r="D41" s="19" t="str">
        <f>IFERROR(INDEX(מלאי!D:D,MATCH(24,מלאי!$AF$3:$AF$357,0)+3-1),"")</f>
        <v>SRV Blanket 2</v>
      </c>
      <c r="E41" s="19" t="str">
        <f>IFERROR(INDEX(מלאי!H:H,MATCH(24,מלאי!$AF$3:$AF$357,0)+3-1),"")</f>
        <v>Ever-Green</v>
      </c>
      <c r="F41" s="19" t="str">
        <f>IFERROR(INDEX(מלאי!I:I,MATCH(24,מלאי!$AF$3:$AF$357,0)+3-1),"")</f>
        <v>Ever-Green</v>
      </c>
      <c r="G41" s="19" t="str">
        <f>IFERROR(INDEX(מלאי!T:T,MATCH(24,מלאי!$AF$3:$AF$357,0)+3-1),"")</f>
        <v>במלאי</v>
      </c>
      <c r="H41" s="20" t="str">
        <f>IFERROR(INDEX(מלאי!U:U,MATCH(24,מלאי!$AF$3:$AF$357,0)+3-1)&amp;IF(INDEX(מלאי!O:O,MATCH(24,מלאי!$AF$3:$AF$357,0)+3-1)="לא",IF(INDEX(מלאי!U:U,MATCH(24,מלאי!$AF$3:$AF$357,0)+3-1)&lt;&gt;"","  |  ","")&amp;"גרסה לא סופית"&amp;IF(INDEX(מלאי!P:P,MATCH(24,מלאי!$AF$3:$AF$357,0)+3-1)&lt;&gt;"",": "&amp;INDEX(מלאי!P:P,MATCH(24,מלאי!$AF$3:$AF$357,0)+3-1),"")&amp;IF(INDEX(מלאי!Q:Q,MATCH(24,מלאי!$AF$3:$AF$357,0)+3-1)="כן"," (פיתוח)",""),"")&amp;IF(INDEX(מלאי!S:S,MATCH(24,מלאי!$AF$3:$AF$357,0)+3-1)="כן",IF(OR(INDEX(מלאי!U:U,MATCH(24,מלאי!$AF$3:$AF$357,0)+3-1)&lt;&gt;"",INDEX(מלאי!O:O,MATCH(24,מלאי!$AF$3:$AF$357,0)+3-1)="לא"),"  |  ","")&amp;"פער תכולה","")&amp;IF(INDEX(מלאי!N:N,MATCH(24,מלאי!$AF$3:$AF$357,0)+3-1)="לא",IF(OR(INDEX(מלאי!U:U,MATCH(24,מלאי!$AF$3:$AF$357,0)+3-1)&lt;&gt;"",INDEX(מלאי!O:O,MATCH(24,מלאי!$AF$3:$AF$357,0)+3-1)="לא",INDEX(מלאי!S:S,MATCH(24,מלאי!$AF$3:$AF$357,0)+3-1)="כן"),"  |  ","")&amp;"פיצ'רים לא תקינים",""),"")</f>
        <v/>
      </c>
    </row>
    <row r="42" spans="1:8" ht="15" customHeight="1" x14ac:dyDescent="0.25">
      <c r="A42" s="17" t="str">
        <f>IFERROR(INDEX(מלאי!A:A,MATCH(25,מלאי!$AF$3:$AF$357,0)+3-1),"")</f>
        <v>Blankets</v>
      </c>
      <c r="B42" s="17" t="str">
        <f>IFERROR(INDEX(מלאי!B:B,MATCH(25,מלאי!$AF$3:$AF$357,0)+3-1),"")</f>
        <v>Survival Blanket</v>
      </c>
      <c r="C42" s="17" t="str">
        <f>IFERROR(INDEX(מלאי!C:C,MATCH(25,מלאי!$AF$3:$AF$357,0)+3-1),"")</f>
        <v>V1</v>
      </c>
      <c r="D42" s="17" t="str">
        <f>IFERROR(INDEX(מלאי!D:D,MATCH(25,מלאי!$AF$3:$AF$357,0)+3-1),"")</f>
        <v>SRV Blanket 22</v>
      </c>
      <c r="E42" s="17" t="str">
        <f>IFERROR(INDEX(מלאי!H:H,MATCH(25,מלאי!$AF$3:$AF$357,0)+3-1),"")</f>
        <v>Ever-Green</v>
      </c>
      <c r="F42" s="17" t="str">
        <f>IFERROR(INDEX(מלאי!I:I,MATCH(25,מלאי!$AF$3:$AF$357,0)+3-1),"")</f>
        <v>Desert</v>
      </c>
      <c r="G42" s="17" t="str">
        <f>IFERROR(INDEX(מלאי!T:T,MATCH(25,מלאי!$AF$3:$AF$357,0)+3-1),"")</f>
        <v>במלאי</v>
      </c>
      <c r="H42" s="18" t="str">
        <f>IFERROR(INDEX(מלאי!U:U,MATCH(25,מלאי!$AF$3:$AF$357,0)+3-1)&amp;IF(INDEX(מלאי!O:O,MATCH(25,מלאי!$AF$3:$AF$357,0)+3-1)="לא",IF(INDEX(מלאי!U:U,MATCH(25,מלאי!$AF$3:$AF$357,0)+3-1)&lt;&gt;"","  |  ","")&amp;"גרסה לא סופית"&amp;IF(INDEX(מלאי!P:P,MATCH(25,מלאי!$AF$3:$AF$357,0)+3-1)&lt;&gt;"",": "&amp;INDEX(מלאי!P:P,MATCH(25,מלאי!$AF$3:$AF$357,0)+3-1),"")&amp;IF(INDEX(מלאי!Q:Q,MATCH(25,מלאי!$AF$3:$AF$357,0)+3-1)="כן"," (פיתוח)",""),"")&amp;IF(INDEX(מלאי!S:S,MATCH(25,מלאי!$AF$3:$AF$357,0)+3-1)="כן",IF(OR(INDEX(מלאי!U:U,MATCH(25,מלאי!$AF$3:$AF$357,0)+3-1)&lt;&gt;"",INDEX(מלאי!O:O,MATCH(25,מלאי!$AF$3:$AF$357,0)+3-1)="לא"),"  |  ","")&amp;"פער תכולה","")&amp;IF(INDEX(מלאי!N:N,MATCH(25,מלאי!$AF$3:$AF$357,0)+3-1)="לא",IF(OR(INDEX(מלאי!U:U,MATCH(25,מלאי!$AF$3:$AF$357,0)+3-1)&lt;&gt;"",INDEX(מלאי!O:O,MATCH(25,מלאי!$AF$3:$AF$357,0)+3-1)="לא",INDEX(מלאי!S:S,MATCH(25,מלאי!$AF$3:$AF$357,0)+3-1)="כן"),"  |  ","")&amp;"פיצ'רים לא תקינים",""),"")</f>
        <v/>
      </c>
    </row>
    <row r="43" spans="1:8" ht="15" customHeight="1" x14ac:dyDescent="0.25">
      <c r="A43" s="19" t="str">
        <f>IFERROR(INDEX(מלאי!A:A,MATCH(26,מלאי!$AF$3:$AF$357,0)+3-1),"")</f>
        <v>Blankets</v>
      </c>
      <c r="B43" s="19" t="str">
        <f>IFERROR(INDEX(מלאי!B:B,MATCH(26,מלאי!$AF$3:$AF$357,0)+3-1),"")</f>
        <v>Survival Blanket</v>
      </c>
      <c r="C43" s="19" t="str">
        <f>IFERROR(INDEX(מלאי!C:C,MATCH(26,מלאי!$AF$3:$AF$357,0)+3-1),"")</f>
        <v>V1</v>
      </c>
      <c r="D43" s="19" t="str">
        <f>IFERROR(INDEX(מלאי!D:D,MATCH(26,מלאי!$AF$3:$AF$357,0)+3-1),"")</f>
        <v>SRV Blanket 7</v>
      </c>
      <c r="E43" s="19" t="str">
        <f>IFERROR(INDEX(מלאי!H:H,MATCH(26,מלאי!$AF$3:$AF$357,0)+3-1),"")</f>
        <v>Forest Green</v>
      </c>
      <c r="F43" s="19" t="str">
        <f>IFERROR(INDEX(מלאי!I:I,MATCH(26,מלאי!$AF$3:$AF$357,0)+3-1),"")</f>
        <v>Forest Green</v>
      </c>
      <c r="G43" s="19" t="str">
        <f>IFERROR(INDEX(מלאי!T:T,MATCH(26,מלאי!$AF$3:$AF$357,0)+3-1),"")</f>
        <v>במלאי</v>
      </c>
      <c r="H43" s="20" t="str">
        <f>IFERROR(INDEX(מלאי!U:U,MATCH(26,מלאי!$AF$3:$AF$357,0)+3-1)&amp;IF(INDEX(מלאי!O:O,MATCH(26,מלאי!$AF$3:$AF$357,0)+3-1)="לא",IF(INDEX(מלאי!U:U,MATCH(26,מלאי!$AF$3:$AF$357,0)+3-1)&lt;&gt;"","  |  ","")&amp;"גרסה לא סופית"&amp;IF(INDEX(מלאי!P:P,MATCH(26,מלאי!$AF$3:$AF$357,0)+3-1)&lt;&gt;"",": "&amp;INDEX(מלאי!P:P,MATCH(26,מלאי!$AF$3:$AF$357,0)+3-1),"")&amp;IF(INDEX(מלאי!Q:Q,MATCH(26,מלאי!$AF$3:$AF$357,0)+3-1)="כן"," (פיתוח)",""),"")&amp;IF(INDEX(מלאי!S:S,MATCH(26,מלאי!$AF$3:$AF$357,0)+3-1)="כן",IF(OR(INDEX(מלאי!U:U,MATCH(26,מלאי!$AF$3:$AF$357,0)+3-1)&lt;&gt;"",INDEX(מלאי!O:O,MATCH(26,מלאי!$AF$3:$AF$357,0)+3-1)="לא"),"  |  ","")&amp;"פער תכולה","")&amp;IF(INDEX(מלאי!N:N,MATCH(26,מלאי!$AF$3:$AF$357,0)+3-1)="לא",IF(OR(INDEX(מלאי!U:U,MATCH(26,מלאי!$AF$3:$AF$357,0)+3-1)&lt;&gt;"",INDEX(מלאי!O:O,MATCH(26,מלאי!$AF$3:$AF$357,0)+3-1)="לא",INDEX(מלאי!S:S,MATCH(26,מלאי!$AF$3:$AF$357,0)+3-1)="כן"),"  |  ","")&amp;"פיצ'רים לא תקינים",""),"")</f>
        <v/>
      </c>
    </row>
    <row r="44" spans="1:8" ht="15" customHeight="1" x14ac:dyDescent="0.25">
      <c r="A44" s="17" t="str">
        <f>IFERROR(INDEX(מלאי!A:A,MATCH(27,מלאי!$AF$3:$AF$357,0)+3-1),"")</f>
        <v>OverGarment</v>
      </c>
      <c r="B44" s="17" t="str">
        <f>IFERROR(INDEX(מלאי!B:B,MATCH(27,מלאי!$AF$3:$AF$357,0)+3-1),"")</f>
        <v>Gal Suit</v>
      </c>
      <c r="C44" s="17" t="str">
        <f>IFERROR(INDEX(מלאי!C:C,MATCH(27,מלאי!$AF$3:$AF$357,0)+3-1),"")</f>
        <v>V1</v>
      </c>
      <c r="D44" s="17" t="str">
        <f>IFERROR(INDEX(מלאי!D:D,MATCH(27,מלאי!$AF$3:$AF$357,0)+3-1),"")</f>
        <v>Gal 1</v>
      </c>
      <c r="E44" s="17" t="str">
        <f>IFERROR(INDEX(מלאי!H:H,MATCH(27,מלאי!$AF$3:$AF$357,0)+3-1),"")</f>
        <v>Ever-Green</v>
      </c>
      <c r="F44" s="17" t="str">
        <f>IFERROR(INDEX(מלאי!I:I,MATCH(27,מלאי!$AF$3:$AF$357,0)+3-1),"")</f>
        <v>Desert</v>
      </c>
      <c r="G44" s="17" t="str">
        <f>IFERROR(INDEX(מלאי!T:T,MATCH(27,מלאי!$AF$3:$AF$357,0)+3-1),"")</f>
        <v>במלאי</v>
      </c>
      <c r="H44" s="18" t="str">
        <f>IFERROR(INDEX(מלאי!U:U,MATCH(27,מלאי!$AF$3:$AF$357,0)+3-1)&amp;IF(INDEX(מלאי!O:O,MATCH(27,מלאי!$AF$3:$AF$357,0)+3-1)="לא",IF(INDEX(מלאי!U:U,MATCH(27,מלאי!$AF$3:$AF$357,0)+3-1)&lt;&gt;"","  |  ","")&amp;"גרסה לא סופית"&amp;IF(INDEX(מלאי!P:P,MATCH(27,מלאי!$AF$3:$AF$357,0)+3-1)&lt;&gt;"",": "&amp;INDEX(מלאי!P:P,MATCH(27,מלאי!$AF$3:$AF$357,0)+3-1),"")&amp;IF(INDEX(מלאי!Q:Q,MATCH(27,מלאי!$AF$3:$AF$357,0)+3-1)="כן"," (פיתוח)",""),"")&amp;IF(INDEX(מלאי!S:S,MATCH(27,מלאי!$AF$3:$AF$357,0)+3-1)="כן",IF(OR(INDEX(מלאי!U:U,MATCH(27,מלאי!$AF$3:$AF$357,0)+3-1)&lt;&gt;"",INDEX(מלאי!O:O,MATCH(27,מלאי!$AF$3:$AF$357,0)+3-1)="לא"),"  |  ","")&amp;"פער תכולה","")&amp;IF(INDEX(מלאי!N:N,MATCH(27,מלאי!$AF$3:$AF$357,0)+3-1)="לא",IF(OR(INDEX(מלאי!U:U,MATCH(27,מלאי!$AF$3:$AF$357,0)+3-1)&lt;&gt;"",INDEX(מלאי!O:O,MATCH(27,מלאי!$AF$3:$AF$357,0)+3-1)="לא",INDEX(מלאי!S:S,MATCH(27,מלאי!$AF$3:$AF$357,0)+3-1)="כן"),"  |  ","")&amp;"פיצ'רים לא תקינים",""),"")</f>
        <v/>
      </c>
    </row>
    <row r="45" spans="1:8" ht="15" customHeight="1" x14ac:dyDescent="0.25">
      <c r="A45" s="19" t="str">
        <f>IFERROR(INDEX(מלאי!A:A,MATCH(28,מלאי!$AF$3:$AF$357,0)+3-1),"")</f>
        <v/>
      </c>
      <c r="B45" s="19" t="str">
        <f>IFERROR(INDEX(מלאי!B:B,MATCH(28,מלאי!$AF$3:$AF$357,0)+3-1),"")</f>
        <v/>
      </c>
      <c r="C45" s="19" t="str">
        <f>IFERROR(INDEX(מלאי!C:C,MATCH(28,מלאי!$AF$3:$AF$357,0)+3-1),"")</f>
        <v/>
      </c>
      <c r="D45" s="19" t="str">
        <f>IFERROR(INDEX(מלאי!D:D,MATCH(28,מלאי!$AF$3:$AF$357,0)+3-1),"")</f>
        <v/>
      </c>
      <c r="E45" s="19" t="str">
        <f>IFERROR(INDEX(מלאי!H:H,MATCH(28,מלאי!$AF$3:$AF$357,0)+3-1),"")</f>
        <v/>
      </c>
      <c r="F45" s="19" t="str">
        <f>IFERROR(INDEX(מלאי!I:I,MATCH(28,מלאי!$AF$3:$AF$357,0)+3-1),"")</f>
        <v/>
      </c>
      <c r="G45" s="19" t="str">
        <f>IFERROR(INDEX(מלאי!T:T,MATCH(28,מלאי!$AF$3:$AF$357,0)+3-1),"")</f>
        <v/>
      </c>
      <c r="H45" s="20" t="str">
        <f>IFERROR(INDEX(מלאי!U:U,MATCH(28,מלאי!$AF$3:$AF$357,0)+3-1)&amp;IF(INDEX(מלאי!O:O,MATCH(28,מלאי!$AF$3:$AF$357,0)+3-1)="לא",IF(INDEX(מלאי!U:U,MATCH(28,מלאי!$AF$3:$AF$357,0)+3-1)&lt;&gt;"","  |  ","")&amp;"גרסה לא סופית"&amp;IF(INDEX(מלאי!P:P,MATCH(28,מלאי!$AF$3:$AF$357,0)+3-1)&lt;&gt;"",": "&amp;INDEX(מלאי!P:P,MATCH(28,מלאי!$AF$3:$AF$357,0)+3-1),"")&amp;IF(INDEX(מלאי!Q:Q,MATCH(28,מלאי!$AF$3:$AF$357,0)+3-1)="כן"," (פיתוח)",""),"")&amp;IF(INDEX(מלאי!S:S,MATCH(28,מלאי!$AF$3:$AF$357,0)+3-1)="כן",IF(OR(INDEX(מלאי!U:U,MATCH(28,מלאי!$AF$3:$AF$357,0)+3-1)&lt;&gt;"",INDEX(מלאי!O:O,MATCH(28,מלאי!$AF$3:$AF$357,0)+3-1)="לא"),"  |  ","")&amp;"פער תכולה","")&amp;IF(INDEX(מלאי!N:N,MATCH(28,מלאי!$AF$3:$AF$357,0)+3-1)="לא",IF(OR(INDEX(מלאי!U:U,MATCH(28,מלאי!$AF$3:$AF$357,0)+3-1)&lt;&gt;"",INDEX(מלאי!O:O,MATCH(28,מלאי!$AF$3:$AF$357,0)+3-1)="לא",INDEX(מלאי!S:S,MATCH(28,מלאי!$AF$3:$AF$357,0)+3-1)="כן"),"  |  ","")&amp;"פיצ'רים לא תקינים",""),"")</f>
        <v/>
      </c>
    </row>
    <row r="46" spans="1:8" ht="15" customHeight="1" x14ac:dyDescent="0.25">
      <c r="A46" s="17" t="str">
        <f>IFERROR(INDEX(מלאי!A:A,MATCH(29,מלאי!$AF$3:$AF$357,0)+3-1),"")</f>
        <v/>
      </c>
      <c r="B46" s="17" t="str">
        <f>IFERROR(INDEX(מלאי!B:B,MATCH(29,מלאי!$AF$3:$AF$357,0)+3-1),"")</f>
        <v/>
      </c>
      <c r="C46" s="17" t="str">
        <f>IFERROR(INDEX(מלאי!C:C,MATCH(29,מלאי!$AF$3:$AF$357,0)+3-1),"")</f>
        <v/>
      </c>
      <c r="D46" s="17" t="str">
        <f>IFERROR(INDEX(מלאי!D:D,MATCH(29,מלאי!$AF$3:$AF$357,0)+3-1),"")</f>
        <v/>
      </c>
      <c r="E46" s="17" t="str">
        <f>IFERROR(INDEX(מלאי!H:H,MATCH(29,מלאי!$AF$3:$AF$357,0)+3-1),"")</f>
        <v/>
      </c>
      <c r="F46" s="17" t="str">
        <f>IFERROR(INDEX(מלאי!I:I,MATCH(29,מלאי!$AF$3:$AF$357,0)+3-1),"")</f>
        <v/>
      </c>
      <c r="G46" s="17" t="str">
        <f>IFERROR(INDEX(מלאי!T:T,MATCH(29,מלאי!$AF$3:$AF$357,0)+3-1),"")</f>
        <v/>
      </c>
      <c r="H46" s="18" t="str">
        <f>IFERROR(INDEX(מלאי!U:U,MATCH(29,מלאי!$AF$3:$AF$357,0)+3-1)&amp;IF(INDEX(מלאי!O:O,MATCH(29,מלאי!$AF$3:$AF$357,0)+3-1)="לא",IF(INDEX(מלאי!U:U,MATCH(29,מלאי!$AF$3:$AF$357,0)+3-1)&lt;&gt;"","  |  ","")&amp;"גרסה לא סופית"&amp;IF(INDEX(מלאי!P:P,MATCH(29,מלאי!$AF$3:$AF$357,0)+3-1)&lt;&gt;"",": "&amp;INDEX(מלאי!P:P,MATCH(29,מלאי!$AF$3:$AF$357,0)+3-1),"")&amp;IF(INDEX(מלאי!Q:Q,MATCH(29,מלאי!$AF$3:$AF$357,0)+3-1)="כן"," (פיתוח)",""),"")&amp;IF(INDEX(מלאי!S:S,MATCH(29,מלאי!$AF$3:$AF$357,0)+3-1)="כן",IF(OR(INDEX(מלאי!U:U,MATCH(29,מלאי!$AF$3:$AF$357,0)+3-1)&lt;&gt;"",INDEX(מלאי!O:O,MATCH(29,מלאי!$AF$3:$AF$357,0)+3-1)="לא"),"  |  ","")&amp;"פער תכולה","")&amp;IF(INDEX(מלאי!N:N,MATCH(29,מלאי!$AF$3:$AF$357,0)+3-1)="לא",IF(OR(INDEX(מלאי!U:U,MATCH(29,מלאי!$AF$3:$AF$357,0)+3-1)&lt;&gt;"",INDEX(מלאי!O:O,MATCH(29,מלאי!$AF$3:$AF$357,0)+3-1)="לא",INDEX(מלאי!S:S,MATCH(29,מלאי!$AF$3:$AF$357,0)+3-1)="כן"),"  |  ","")&amp;"פיצ'רים לא תקינים",""),"")</f>
        <v/>
      </c>
    </row>
    <row r="47" spans="1:8" ht="15" customHeight="1" x14ac:dyDescent="0.25">
      <c r="A47" s="19" t="str">
        <f>IFERROR(INDEX(מלאי!A:A,MATCH(30,מלאי!$AF$3:$AF$357,0)+3-1),"")</f>
        <v/>
      </c>
      <c r="B47" s="19" t="str">
        <f>IFERROR(INDEX(מלאי!B:B,MATCH(30,מלאי!$AF$3:$AF$357,0)+3-1),"")</f>
        <v/>
      </c>
      <c r="C47" s="19" t="str">
        <f>IFERROR(INDEX(מלאי!C:C,MATCH(30,מלאי!$AF$3:$AF$357,0)+3-1),"")</f>
        <v/>
      </c>
      <c r="D47" s="19" t="str">
        <f>IFERROR(INDEX(מלאי!D:D,MATCH(30,מלאי!$AF$3:$AF$357,0)+3-1),"")</f>
        <v/>
      </c>
      <c r="E47" s="19" t="str">
        <f>IFERROR(INDEX(מלאי!H:H,MATCH(30,מלאי!$AF$3:$AF$357,0)+3-1),"")</f>
        <v/>
      </c>
      <c r="F47" s="19" t="str">
        <f>IFERROR(INDEX(מלאי!I:I,MATCH(30,מלאי!$AF$3:$AF$357,0)+3-1),"")</f>
        <v/>
      </c>
      <c r="G47" s="19" t="str">
        <f>IFERROR(INDEX(מלאי!T:T,MATCH(30,מלאי!$AF$3:$AF$357,0)+3-1),"")</f>
        <v/>
      </c>
      <c r="H47" s="20" t="str">
        <f>IFERROR(INDEX(מלאי!U:U,MATCH(30,מלאי!$AF$3:$AF$357,0)+3-1)&amp;IF(INDEX(מלאי!O:O,MATCH(30,מלאי!$AF$3:$AF$357,0)+3-1)="לא",IF(INDEX(מלאי!U:U,MATCH(30,מלאי!$AF$3:$AF$357,0)+3-1)&lt;&gt;"","  |  ","")&amp;"גרסה לא סופית"&amp;IF(INDEX(מלאי!P:P,MATCH(30,מלאי!$AF$3:$AF$357,0)+3-1)&lt;&gt;"",": "&amp;INDEX(מלאי!P:P,MATCH(30,מלאי!$AF$3:$AF$357,0)+3-1),"")&amp;IF(INDEX(מלאי!Q:Q,MATCH(30,מלאי!$AF$3:$AF$357,0)+3-1)="כן"," (פיתוח)",""),"")&amp;IF(INDEX(מלאי!S:S,MATCH(30,מלאי!$AF$3:$AF$357,0)+3-1)="כן",IF(OR(INDEX(מלאי!U:U,MATCH(30,מלאי!$AF$3:$AF$357,0)+3-1)&lt;&gt;"",INDEX(מלאי!O:O,MATCH(30,מלאי!$AF$3:$AF$357,0)+3-1)="לא"),"  |  ","")&amp;"פער תכולה","")&amp;IF(INDEX(מלאי!N:N,MATCH(30,מלאי!$AF$3:$AF$357,0)+3-1)="לא",IF(OR(INDEX(מלאי!U:U,MATCH(30,מלאי!$AF$3:$AF$357,0)+3-1)&lt;&gt;"",INDEX(מלאי!O:O,MATCH(30,מלאי!$AF$3:$AF$357,0)+3-1)="לא",INDEX(מלאי!S:S,MATCH(30,מלאי!$AF$3:$AF$357,0)+3-1)="כן"),"  |  ","")&amp;"פיצ'רים לא תקינים",""),"")</f>
        <v/>
      </c>
    </row>
    <row r="48" spans="1:8" ht="15" customHeight="1" x14ac:dyDescent="0.25">
      <c r="A48" s="21" t="s">
        <v>38</v>
      </c>
    </row>
  </sheetData>
  <sheetProtection algorithmName="SHA-512" hashValue="NQUgz0SVEGR5Aljb6cShO35hYSkrhYltW2Sr03kPNl0zMQV+1hyjANToShh7AL87mbllg2qFgpFATQqhBgj4hg==" saltValue="d9byRSHLofvOIabsXDDSPQ==" spinCount="100000" sheet="1" sort="0" autoFilter="0"/>
  <mergeCells count="5">
    <mergeCell ref="A10:C10"/>
    <mergeCell ref="A16:H16"/>
    <mergeCell ref="A1:H1"/>
    <mergeCell ref="E10:H10"/>
    <mergeCell ref="A3:E3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5" id="{00000000-000E-0000-0100-000002000000}">
            <xm:f>AND(IFERROR(INDEX(מלאי!J:J,_xludf.aggregate(15,6,ROW(מלאי!$AD$3:$AD$357)/(מלאי!$AD$3:$AD$357),ROW()-17))="כן",0),IFERROR(INDEX(מלאי!L:L,_xludf.aggregate(15,6,ROW(מלאי!$AD$3:$AD$357)/(מלאי!$AD$3:$AD$357),ROW()-17))="כן",0),IFERROR(INDEX(מלאי!O:O,_xludf.aggregate(15,6,ROW(מלאי!$AD$3:$AD$357)/(מלאי!$AD$3:$AD$357),ROW()-17))="כן",0))</xm:f>
            <x14:dxf>
              <fill>
                <patternFill>
                  <bgColor rgb="FFE8F5E9"/>
                </patternFill>
              </fill>
            </x14:dxf>
          </x14:cfRule>
          <x14:cfRule type="expression" priority="186" id="{00000000-000E-0000-0100-000003000000}">
            <xm:f>AND($A18&lt;&gt;"",IFERROR(INDEX(מלאי!J:J,MATCH(ROW()-17,מלאי!$AF$3:$AF$357,0)+3-1)="כן",0),IFERROR(INDEX(מלאי!L:L,MATCH(ROW()-17,מלאי!$AF$3:$AF$357,0)+3-1)="כן",0),IFERROR(INDEX(מלאי!O:O,MATCH(ROW()-17,מלאי!$AF$3:$AF$357,0)+3-1)="כן",0))</xm:f>
            <x14:dxf>
              <fill>
                <patternFill>
                  <bgColor rgb="FFE8F5E9"/>
                </patternFill>
              </fill>
            </x14:dxf>
          </x14:cfRule>
          <x14:cfRule type="expression" priority="187" id="{00000000-000E-0000-0100-000004000000}">
            <xm:f>AND($A18&lt;&gt;"",IFERROR(INDEX(מלאי!J:J,MATCH(ROW()-17,מלאי!$AF$3:$AF$357,0)+3-1)="כן",0),OR(IFERROR(INDEX(מלאי!L:L,MATCH(ROW()-17,מלאי!$AF$3:$AF$357,0)+3-1)&lt;&gt;"כן",0),IFERROR(INDEX(מלאי!O:O,MATCH(ROW()-17,מלאי!$AF$3:$AF$357,0)+3-1)&lt;&gt;"כן",0)))</xm:f>
            <x14:dxf>
              <fill>
                <patternFill>
                  <bgColor rgb="FFFFF9C4"/>
                </patternFill>
              </fill>
            </x14:dxf>
          </x14:cfRule>
          <x14:cfRule type="expression" priority="188" id="{00000000-000E-0000-0100-000005000000}">
            <xm:f>AND($A18&lt;&gt;"",IFERROR(INDEX(מלאי!J:J,MATCH(ROW()-17,מלאי!$AF$3:$AF$357,0)+3-1)="לא",0))</xm:f>
            <x14:dxf>
              <fill>
                <patternFill>
                  <bgColor rgb="FFFFEBEE"/>
                </patternFill>
              </fill>
            </x14:dxf>
          </x14:cfRule>
          <xm:sqref>A18:H47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100-000000000000}">
          <x14:formula1>
            <xm:f>הגדרות!$F$2:$F$8</xm:f>
          </x14:formula1>
          <x14:formula2>
            <xm:f>0</xm:f>
          </x14:formula2>
          <xm:sqref>B4</xm:sqref>
        </x14:dataValidation>
        <x14:dataValidation type="list" allowBlank="1" xr:uid="{00000000-0002-0000-0100-000001000000}">
          <x14:formula1>
            <xm:f>הגדרות!$G$2:$G$10</xm:f>
          </x14:formula1>
          <x14:formula2>
            <xm:f>0</xm:f>
          </x14:formula2>
          <xm:sqref>B5</xm:sqref>
        </x14:dataValidation>
        <x14:dataValidation type="list" allowBlank="1" xr:uid="{00000000-0002-0000-0100-000002000000}">
          <x14:formula1>
            <xm:f>הגדרות!$H$2:$H$47</xm:f>
          </x14:formula1>
          <x14:formula2>
            <xm:f>0</xm:f>
          </x14:formula2>
          <xm:sqref>B6</xm:sqref>
        </x14:dataValidation>
        <x14:dataValidation type="list" allowBlank="1" xr:uid="{00000000-0002-0000-0100-000003000000}">
          <x14:formula1>
            <xm:f>הגדרות!$L$2:$L$15</xm:f>
          </x14:formula1>
          <x14:formula2>
            <xm:f>0</xm:f>
          </x14:formula2>
          <xm:sqref>B7</xm:sqref>
        </x14:dataValidation>
        <x14:dataValidation type="list" allowBlank="1" xr:uid="{00000000-0002-0000-0100-000004000000}">
          <x14:formula1>
            <xm:f>הגדרות!$N$2:$N$6</xm:f>
          </x14:formula1>
          <x14:formula2>
            <xm:f>0</xm:f>
          </x14:formula2>
          <xm:sqref>B8</xm:sqref>
        </x14:dataValidation>
        <x14:dataValidation type="list" allowBlank="1" xr:uid="{00000000-0002-0000-0100-000005000000}">
          <x14:formula1>
            <xm:f>הגדרות!$O$2:$O$4</xm:f>
          </x14:formula1>
          <x14:formula2>
            <xm:f>0</xm:f>
          </x14:formula2>
          <xm:sqref>B9 E4:E6</xm:sqref>
        </x14:dataValidation>
        <x14:dataValidation type="list" allowBlank="1" xr:uid="{00000000-0002-0000-0100-000009000000}">
          <x14:formula1>
            <xm:f>הגדרות!$P$2:$P$9</xm:f>
          </x14:formula1>
          <x14:formula2>
            <xm:f>0</xm:f>
          </x14:formula2>
          <xm:sqref>E7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357"/>
  <sheetViews>
    <sheetView rightToLeft="1" zoomScaleNormal="100" workbookViewId="0">
      <pane ySplit="2" topLeftCell="A122" activePane="bottomLeft" state="frozen"/>
      <selection pane="bottomLeft" activeCell="P27" sqref="P27"/>
    </sheetView>
  </sheetViews>
  <sheetFormatPr defaultColWidth="8.7109375" defaultRowHeight="15" x14ac:dyDescent="0.25"/>
  <cols>
    <col min="1" max="1" width="16" customWidth="1"/>
    <col min="2" max="2" width="24" customWidth="1"/>
    <col min="3" max="3" width="14" customWidth="1"/>
    <col min="4" max="4" width="23.28515625" customWidth="1"/>
    <col min="5" max="5" width="14" customWidth="1"/>
    <col min="6" max="6" width="20.85546875" customWidth="1"/>
    <col min="7" max="9" width="16" customWidth="1"/>
    <col min="10" max="14" width="14" customWidth="1"/>
    <col min="15" max="15" width="12" customWidth="1"/>
    <col min="16" max="16" width="26" customWidth="1"/>
    <col min="17" max="17" width="17.5703125" bestFit="1" customWidth="1"/>
    <col min="18" max="18" width="10" customWidth="1"/>
    <col min="19" max="20" width="14" customWidth="1"/>
    <col min="21" max="21" width="30" customWidth="1"/>
    <col min="22" max="22" width="16" customWidth="1"/>
    <col min="23" max="23" width="5.5703125" bestFit="1" customWidth="1"/>
    <col min="24" max="25" width="16" customWidth="1"/>
    <col min="26" max="26" width="14" hidden="1" customWidth="1"/>
    <col min="27" max="33" width="13" hidden="1" customWidth="1"/>
  </cols>
  <sheetData>
    <row r="1" spans="1:33" ht="15" customHeight="1" x14ac:dyDescent="0.25">
      <c r="A1" s="63" t="s">
        <v>39</v>
      </c>
      <c r="B1" s="55"/>
      <c r="C1" s="63" t="s">
        <v>40</v>
      </c>
      <c r="D1" s="54"/>
      <c r="E1" s="55"/>
      <c r="F1" s="63" t="s">
        <v>41</v>
      </c>
      <c r="G1" s="55"/>
      <c r="H1" s="63" t="s">
        <v>42</v>
      </c>
      <c r="I1" s="55"/>
      <c r="J1" s="63" t="s">
        <v>450</v>
      </c>
      <c r="K1" s="54"/>
      <c r="L1" s="54"/>
      <c r="M1" s="54"/>
      <c r="N1" s="54"/>
      <c r="O1" s="54"/>
      <c r="P1" s="55"/>
      <c r="Q1" s="65" t="s">
        <v>37</v>
      </c>
      <c r="R1" s="65"/>
      <c r="S1" s="66"/>
      <c r="T1" s="16" t="s">
        <v>36</v>
      </c>
      <c r="U1" s="16" t="s">
        <v>37</v>
      </c>
      <c r="V1" s="63" t="s">
        <v>454</v>
      </c>
      <c r="W1" s="54"/>
      <c r="X1" s="54"/>
      <c r="Y1" s="55"/>
    </row>
    <row r="2" spans="1:33" ht="23.25" customHeight="1" x14ac:dyDescent="0.25">
      <c r="A2" s="22" t="s">
        <v>30</v>
      </c>
      <c r="B2" s="22" t="s">
        <v>31</v>
      </c>
      <c r="C2" s="22" t="s">
        <v>32</v>
      </c>
      <c r="D2" s="22" t="s">
        <v>43</v>
      </c>
      <c r="E2" s="22" t="s">
        <v>451</v>
      </c>
      <c r="F2" s="22" t="s">
        <v>44</v>
      </c>
      <c r="G2" s="22" t="s">
        <v>45</v>
      </c>
      <c r="H2" s="22" t="s">
        <v>391</v>
      </c>
      <c r="I2" s="22" t="s">
        <v>46</v>
      </c>
      <c r="J2" s="22" t="s">
        <v>453</v>
      </c>
      <c r="K2" s="22" t="s">
        <v>452</v>
      </c>
      <c r="L2" s="22" t="s">
        <v>392</v>
      </c>
      <c r="M2" s="22" t="s">
        <v>47</v>
      </c>
      <c r="N2" s="22" t="s">
        <v>48</v>
      </c>
      <c r="O2" s="22" t="s">
        <v>49</v>
      </c>
      <c r="P2" s="22" t="s">
        <v>50</v>
      </c>
      <c r="Q2" s="22" t="s">
        <v>52</v>
      </c>
      <c r="R2" s="22" t="s">
        <v>53</v>
      </c>
      <c r="S2" s="22" t="s">
        <v>54</v>
      </c>
      <c r="T2" s="22" t="s">
        <v>36</v>
      </c>
      <c r="U2" s="22" t="s">
        <v>37</v>
      </c>
      <c r="V2" s="22" t="s">
        <v>55</v>
      </c>
      <c r="W2" s="22" t="s">
        <v>56</v>
      </c>
      <c r="X2" s="22" t="s">
        <v>455</v>
      </c>
      <c r="Y2" s="22" t="s">
        <v>57</v>
      </c>
      <c r="Z2" s="22" t="s">
        <v>393</v>
      </c>
      <c r="AA2" s="22" t="s">
        <v>394</v>
      </c>
      <c r="AB2" s="22" t="s">
        <v>58</v>
      </c>
      <c r="AC2" s="22" t="s">
        <v>59</v>
      </c>
      <c r="AD2" s="22" t="s">
        <v>60</v>
      </c>
      <c r="AE2" s="22" t="s">
        <v>61</v>
      </c>
    </row>
    <row r="3" spans="1:33" ht="15" customHeight="1" x14ac:dyDescent="0.25">
      <c r="A3" s="17" t="s">
        <v>62</v>
      </c>
      <c r="B3" s="17" t="s">
        <v>63</v>
      </c>
      <c r="C3" s="17" t="s">
        <v>64</v>
      </c>
      <c r="D3" s="17" t="s">
        <v>279</v>
      </c>
      <c r="E3" s="17" t="str">
        <f>IFERROR(INDEX(הגדרות!$I$2:$I$47,MATCH(B3,הגדרות!$H$2:$H$47,0)),"")</f>
        <v>7031-01</v>
      </c>
      <c r="F3" s="17" t="s">
        <v>65</v>
      </c>
      <c r="G3" s="17"/>
      <c r="H3" s="17" t="s">
        <v>66</v>
      </c>
      <c r="I3" s="17" t="s">
        <v>67</v>
      </c>
      <c r="J3" s="17" t="s">
        <v>68</v>
      </c>
      <c r="K3" s="17" t="s">
        <v>68</v>
      </c>
      <c r="L3" s="17" t="s">
        <v>68</v>
      </c>
      <c r="M3" s="17" t="s">
        <v>68</v>
      </c>
      <c r="N3" s="17" t="s">
        <v>68</v>
      </c>
      <c r="O3" s="17" t="s">
        <v>395</v>
      </c>
      <c r="P3" s="17"/>
      <c r="Q3" s="17" t="s">
        <v>395</v>
      </c>
      <c r="R3" s="17"/>
      <c r="S3" s="17" t="s">
        <v>395</v>
      </c>
      <c r="T3" s="17" t="s">
        <v>69</v>
      </c>
      <c r="U3" s="17"/>
      <c r="V3" s="17"/>
      <c r="W3" s="17"/>
      <c r="X3" s="17"/>
      <c r="Y3" s="17"/>
      <c r="Z3" t="str">
        <f>IFERROR(INDEX(הגדרות!$B$2:$B$17,MATCH(H3,הגדרות!$A$2:$A$17,0)),"")</f>
        <v>מיוער</v>
      </c>
      <c r="AA3">
        <f>IFERROR(INDEX(הגדרות!$C$2:$C$17,MATCH(H3,הגדרות!$A$2:$A$17,0)),"")</f>
        <v>0</v>
      </c>
      <c r="AB3" t="str">
        <f>IFERROR(INDEX(הגדרות!$B$2:$B$17,MATCH(I3,הגדרות!$A$2:$A$17,0)),"")</f>
        <v>מדברי</v>
      </c>
      <c r="AC3">
        <f>IFERROR(INDEX(הגדרות!$C$2:$C$17,MATCH(I3,הגדרות!$A$2:$A$17,0)),"")</f>
        <v>0</v>
      </c>
      <c r="AD3" t="e">
        <f>IF(AND([1]מלAי!D3&lt;&gt;"",OR('לוח בקרה'!$B$4="הכל",[1]מלAי!AA3='לוח בקרה'!$B$4,[1]מלAי!AB3='לוח בקרה'!$B$4,[1]מלAי!AC3='לוח בקרה'!$B$4,[1]מלAי!AD3='לוח בקרה'!$B$4),OR('לוח בקרה'!$B$5="הכל",[1]מלAי!A3='לוח בקרה'!$B$5),OR('לוח בקרה'!$B$6="הכל",[1]מלAי!B3='לוח בקרה'!$B$6),OR('לוח בקרה'!$B$7="הכל",[1]מלAי!F3='לוח בקרה'!$B$7,[1]מלAי!G3='לוח בקרה'!$B$7),OR('לוח בקרה'!$B$8="הכל",[1]מלAי!U3='לוח בקרה'!$B$8),OR('לוח בקרה'!$B$9="הכל",[1]מלAי!R3='לוח בקרה'!$B$9),OR('לוח בקרה'!$E$4="הכל",[1]מלAי!J3='לוח בקרה'!$E$4),OR('לוח בקרה'!$E$5="הכל",[1]מלAי!L3='לוח בקרה'!$E$5),OR('לוח בקרה'!$E$6="הכל",[1]מלAי!O3='לוח בקרה'!$E$6),OR('לוח בקרה'!$E$7="הכל",[1]מלAי!S3='לוח בקרה'!$E$7),OR('לוח בקרה'!$E$8="הכל",'לוח בקרה'!$E$8="",[1]מלAי!X3='לוח בקרה'!$E$8),OR('לוח בקרה'!$E$9="הכל",'לוח בקרה'!$E$9="",ISNUMBER(SEARCH('לוח בקרה'!$E$9,[1]מלAי!C3)))),1,0)</f>
        <v>#REF!</v>
      </c>
      <c r="AE3" t="e">
        <f>IF(AND(מלאי!D3&lt;&gt;"",OR('לוח בקרה טכנו-מבצעי'!$B$4="הכל",מלאי!Z3='לוח בקרה טכנו-מבצעי'!$B$4,מלאי!AA3='לוח בקרה טכנו-מבצעי'!$B$4,מלאי!AB3='לוח בקרה טכנו-מבצעי'!$B$4,מלאי!AC3='לוח בקרה טכנו-מבצעי'!$B$4),OR('לוח בקרה טכנו-מבצעי'!$B$5="הכל",מלאי!A3='לוח בקרה טכנו-מבצעי'!$B$5),OR('לוח בקרה טכנו-מבצעי'!$B$6="הכל",מלאי!B3='לוח בקרה טכנו-מבצעי'!$B$6),OR('לוח בקרה טכנו-מבצעי'!$B$7="הכל",מלאי!F3='לוח בקרה טכנו-מבצעי'!$B$7,מלאי!G3='לוח בקרה טכנו-מבצעי'!$B$7),OR('לוח בקרה טכנו-מבצעי'!$B$8="הכל",מלאי!T3='לוח בקרה טכנו-מבצעי'!$B$8),OR('לוח בקרה טכנו-מבצעי'!$B$9="הכל",מלאי!Q3='לוח בקרה טכנו-מבצעי'!$B$9),OR('לוח בקרה טכנו-מבצעי'!$E$4="הכל",מלאי!J3='לוח בקרה טכנו-מבצעי'!$E$4),OR('לוח בקרה טכנו-מבצעי'!$E$5="הכל",מלאי!L3='לוח בקרה טכנו-מבצעי'!$E$5),OR('לוח בקרה טכנו-מבצעי'!$E$6="הכל",מלאי!O3='לוח בקרה טכנו-מבצעי'!$E$6),OR('לוח בקרה טכנו-מבצעי'!$E$7="הכל",מלאי!R3='לוח בקרה טכנו-מבצעי'!$E$7),OR('לוח בקרה טכנו-מבצעי'!$E$8="הכל",'לוח בקרה טכנו-מבצעי'!$E$8="",מלאי!W3='לוח בקרה טכנו-מבצעי'!$E$8),OR('לוח בקרה טכנו-מבצעי'!$E$9="הכל",'לוח בקרה טכנו-מבצעי'!$E$9="",ISNUMBER(SEARCH('לוח בקרה טכנו-מבצעי'!$E$9,מלאי!C3))),OR('לוח בקרה טכנו-מבצעי'!$B$10="הכל",מלאי!#REF!='לוח בקרה טכנו-מבצעי'!$B$10)),1,0)</f>
        <v>#REF!</v>
      </c>
      <c r="AF3" t="e">
        <f>IF(AD3=1,COUNTIF($AD$3:$AD3,1),"")</f>
        <v>#REF!</v>
      </c>
      <c r="AG3" t="e">
        <f>IF(AE3=1,COUNTIF($AE$3:$AE3,1),"")</f>
        <v>#REF!</v>
      </c>
    </row>
    <row r="4" spans="1:33" ht="15" customHeight="1" x14ac:dyDescent="0.25">
      <c r="A4" s="19" t="s">
        <v>62</v>
      </c>
      <c r="B4" s="19" t="s">
        <v>63</v>
      </c>
      <c r="C4" s="19" t="s">
        <v>64</v>
      </c>
      <c r="D4" s="19" t="s">
        <v>280</v>
      </c>
      <c r="E4" s="19" t="str">
        <f>IFERROR(INDEX(הגדרות!$I$2:$I$47,MATCH(B4,הגדרות!$H$2:$H$47,0)),"")</f>
        <v>7031-01</v>
      </c>
      <c r="F4" s="19" t="s">
        <v>189</v>
      </c>
      <c r="G4" s="19"/>
      <c r="H4" s="19" t="s">
        <v>66</v>
      </c>
      <c r="I4" s="19" t="s">
        <v>67</v>
      </c>
      <c r="J4" s="19" t="s">
        <v>68</v>
      </c>
      <c r="K4" s="19" t="s">
        <v>68</v>
      </c>
      <c r="L4" s="19" t="s">
        <v>68</v>
      </c>
      <c r="M4" s="19" t="s">
        <v>68</v>
      </c>
      <c r="N4" s="19" t="s">
        <v>68</v>
      </c>
      <c r="O4" s="19" t="s">
        <v>14</v>
      </c>
      <c r="P4" s="19"/>
      <c r="Q4" s="19" t="s">
        <v>14</v>
      </c>
      <c r="R4" s="19"/>
      <c r="S4" s="19" t="s">
        <v>14</v>
      </c>
      <c r="T4" s="19" t="s">
        <v>69</v>
      </c>
      <c r="U4" s="19"/>
      <c r="V4" s="19"/>
      <c r="W4" s="19"/>
      <c r="X4" s="19"/>
      <c r="Y4" s="19"/>
      <c r="Z4" t="str">
        <f>IFERROR(INDEX(הגדרות!$B$2:$B$17,MATCH(H4,הגדרות!$A$2:$A$17,0)),"")</f>
        <v>מיוער</v>
      </c>
      <c r="AA4">
        <f>IFERROR(INDEX(הגדרות!$C$2:$C$17,MATCH(H4,הגדרות!$A$2:$A$17,0)),"")</f>
        <v>0</v>
      </c>
      <c r="AB4" t="str">
        <f>IFERROR(INDEX(הגדרות!$B$2:$B$17,MATCH(I4,הגדרות!$A$2:$A$17,0)),"")</f>
        <v>מדברי</v>
      </c>
      <c r="AC4">
        <f>IFERROR(INDEX(הגדרות!$C$2:$C$17,MATCH(I4,הגדרות!$A$2:$A$17,0)),"")</f>
        <v>0</v>
      </c>
      <c r="AD4">
        <f>IF(AND(מלאי!D4&lt;&gt;"",OR('לוח בקרה'!$B$4="הכל",מלאי!Z4='לוח בקרה'!$B$4,מלאי!AA4='לוח בקרה'!$B$4,מלאי!AB4='לוח בקרה'!$B$4,מלאי!AC4='לוח בקרה'!$B$4),OR('לוח בקרה'!$B$5="הכל",מלאי!A4='לוח בקרה'!$B$5),OR('לוח בקרה'!$B$6="הכל",מלאי!B4='לוח בקרה'!$B$6),OR('לוח בקרה'!$B$7="הכל",מלאי!F4='לוח בקרה'!$B$7,מלאי!G4='לוח בקרה'!$B$7),OR('לוח בקרה'!$B$8="הכל",מלאי!T4='לוח בקרה'!$B$8),OR('לוח בקרה'!$B$9="הכל",מלאי!Q4='לוח בקרה'!$B$9),OR('לוח בקרה'!$E$4="הכל",מלאי!J4='לוח בקרה'!$E$4),OR('לוח בקרה'!$E$5="הכל",מלאי!L4='לוח בקרה'!$E$5),OR('לוח בקרה'!$E$6="הכל",מלאי!O4='לוח בקרה'!$E$6),OR('לוח בקרה'!$E$7="הכל",מלאי!R4='לוח בקרה'!$E$7),OR('לוח בקרה'!$E$8="הכל",'לוח בקרה'!$E$8="",מלאי!W4='לוח בקרה'!$E$8),OR('לוח בקרה'!$E$9="הכל",'לוח בקרה'!$E$9="",ISNUMBER(SEARCH('לוח בקרה'!$E$9,מלאי!C4)))),1,0)</f>
        <v>0</v>
      </c>
      <c r="AE4" t="e">
        <f>IF(AND(מלאי!D4&lt;&gt;"",OR('לוח בקרה טכנו-מבצעי'!$B$4="הכל",מלאי!Z4='לוח בקרה טכנו-מבצעי'!$B$4,מלאי!AA4='לוח בקרה טכנו-מבצעי'!$B$4,מלאי!AB4='לוח בקרה טכנו-מבצעי'!$B$4,מלאי!AC4='לוח בקרה טכנו-מבצעי'!$B$4),OR('לוח בקרה טכנו-מבצעי'!$B$5="הכל",מלאי!A4='לוח בקרה טכנו-מבצעי'!$B$5),OR('לוח בקרה טכנו-מבצעי'!$B$6="הכל",מלאי!B4='לוח בקרה טכנו-מבצעי'!$B$6),OR('לוח בקרה טכנו-מבצעי'!$B$7="הכל",מלאי!F4='לוח בקרה טכנו-מבצעי'!$B$7,מלאי!G4='לוח בקרה טכנו-מבצעי'!$B$7),OR('לוח בקרה טכנו-מבצעי'!$B$8="הכל",מלאי!T4='לוח בקרה טכנו-מבצעי'!$B$8),OR('לוח בקרה טכנו-מבצעי'!$B$9="הכל",מלאי!Q4='לוח בקרה טכנו-מבצעי'!$B$9),OR('לוח בקרה טכנו-מבצעי'!$E$4="הכל",מלאי!J4='לוח בקרה טכנו-מבצעי'!$E$4),OR('לוח בקרה טכנו-מבצעי'!$E$5="הכל",מלאי!L4='לוח בקרה טכנו-מבצעי'!$E$5),OR('לוח בקרה טכנו-מבצעי'!$E$6="הכל",מלאי!O4='לוח בקרה טכנו-מבצעי'!$E$6),OR('לוח בקרה טכנו-מבצעי'!$E$7="הכל",מלאי!R4='לוח בקרה טכנו-מבצעי'!$E$7),OR('לוח בקרה טכנו-מבצעי'!$E$8="הכל",'לוח בקרה טכנו-מבצעי'!$E$8="",מלאי!W4='לוח בקרה טכנו-מבצעי'!$E$8),OR('לוח בקרה טכנו-מבצעי'!$E$9="הכל",'לוח בקרה טכנו-מבצעי'!$E$9="",ISNUMBER(SEARCH('לוח בקרה טכנו-מבצעי'!$E$9,מלאי!C4))),OR('לוח בקרה טכנו-מבצעי'!$B$10="הכל",מלאי!#REF!='לוח בקרה טכנו-מבצעי'!$B$10)),1,0)</f>
        <v>#REF!</v>
      </c>
      <c r="AF4" t="str">
        <f>IF(AD4=1,COUNTIF($AD$3:$AD4,1),"")</f>
        <v/>
      </c>
      <c r="AG4" t="e">
        <f>IF(AE4=1,COUNTIF($AE$3:$AE4,1),"")</f>
        <v>#REF!</v>
      </c>
    </row>
    <row r="5" spans="1:33" ht="15" customHeight="1" x14ac:dyDescent="0.25">
      <c r="A5" s="17" t="s">
        <v>62</v>
      </c>
      <c r="B5" s="17" t="s">
        <v>63</v>
      </c>
      <c r="C5" s="17" t="s">
        <v>64</v>
      </c>
      <c r="D5" s="17" t="s">
        <v>281</v>
      </c>
      <c r="E5" s="17" t="str">
        <f>IFERROR(INDEX(הגדרות!$I$2:$I$47,MATCH(B5,הגדרות!$H$2:$H$47,0)),"")</f>
        <v>7031-01</v>
      </c>
      <c r="F5" s="17" t="s">
        <v>109</v>
      </c>
      <c r="G5" s="17"/>
      <c r="H5" s="17" t="s">
        <v>66</v>
      </c>
      <c r="I5" s="17" t="s">
        <v>67</v>
      </c>
      <c r="J5" s="17" t="s">
        <v>68</v>
      </c>
      <c r="K5" s="17" t="s">
        <v>68</v>
      </c>
      <c r="L5" s="17" t="s">
        <v>68</v>
      </c>
      <c r="M5" s="17" t="s">
        <v>68</v>
      </c>
      <c r="N5" s="19" t="s">
        <v>68</v>
      </c>
      <c r="O5" s="17" t="s">
        <v>14</v>
      </c>
      <c r="P5" s="17"/>
      <c r="Q5" s="17" t="s">
        <v>14</v>
      </c>
      <c r="R5" s="17"/>
      <c r="S5" s="17" t="s">
        <v>14</v>
      </c>
      <c r="T5" s="17" t="s">
        <v>69</v>
      </c>
      <c r="U5" s="17"/>
      <c r="V5" s="17"/>
      <c r="W5" s="17"/>
      <c r="X5" s="17"/>
      <c r="Y5" s="17"/>
      <c r="Z5" t="str">
        <f>IFERROR(INDEX(הגדרות!$B$2:$B$17,MATCH(H5,הגדרות!$A$2:$A$17,0)),"")</f>
        <v>מיוער</v>
      </c>
      <c r="AA5">
        <f>IFERROR(INDEX(הגדרות!$C$2:$C$17,MATCH(H5,הגדרות!$A$2:$A$17,0)),"")</f>
        <v>0</v>
      </c>
      <c r="AB5" t="str">
        <f>IFERROR(INDEX(הגדרות!$B$2:$B$17,MATCH(I5,הגדרות!$A$2:$A$17,0)),"")</f>
        <v>מדברי</v>
      </c>
      <c r="AC5">
        <f>IFERROR(INDEX(הגדרות!$C$2:$C$17,MATCH(I5,הגדרות!$A$2:$A$17,0)),"")</f>
        <v>0</v>
      </c>
      <c r="AD5">
        <f>IF(AND(מלאי!D5&lt;&gt;"",OR('לוח בקרה'!$B$4="הכל",מלאי!Z5='לוח בקרה'!$B$4,מלאי!AA5='לוח בקרה'!$B$4,מלאי!AB5='לוח בקרה'!$B$4,מלאי!AC5='לוח בקרה'!$B$4),OR('לוח בקרה'!$B$5="הכל",מלאי!A5='לוח בקרה'!$B$5),OR('לוח בקרה'!$B$6="הכל",מלאי!B5='לוח בקרה'!$B$6),OR('לוח בקרה'!$B$7="הכל",מלאי!F5='לוח בקרה'!$B$7,מלאי!G5='לוח בקרה'!$B$7),OR('לוח בקרה'!$B$8="הכל",מלאי!T5='לוח בקרה'!$B$8),OR('לוח בקרה'!$B$9="הכל",מלאי!Q5='לוח בקרה'!$B$9),OR('לוח בקרה'!$E$4="הכל",מלאי!J5='לוח בקרה'!$E$4),OR('לוח בקרה'!$E$5="הכל",מלאי!L5='לוח בקרה'!$E$5),OR('לוח בקרה'!$E$6="הכל",מלאי!O5='לוח בקרה'!$E$6),OR('לוח בקרה'!$E$7="הכל",מלאי!R5='לוח בקרה'!$E$7),OR('לוח בקרה'!$E$8="הכל",'לוח בקרה'!$E$8="",מלאי!W5='לוח בקרה'!$E$8),OR('לוח בקרה'!$E$9="הכל",'לוח בקרה'!$E$9="",ISNUMBER(SEARCH('לוח בקרה'!$E$9,מלאי!C5)))),1,0)</f>
        <v>0</v>
      </c>
      <c r="AE5" t="e">
        <f>IF(AND(מלאי!D5&lt;&gt;"",OR('לוח בקרה טכנו-מבצעי'!$B$4="הכל",מלאי!Z5='לוח בקרה טכנו-מבצעי'!$B$4,מלאי!AA5='לוח בקרה טכנו-מבצעי'!$B$4,מלאי!AB5='לוח בקרה טכנו-מבצעי'!$B$4,מלאי!AC5='לוח בקרה טכנו-מבצעי'!$B$4),OR('לוח בקרה טכנו-מבצעי'!$B$5="הכל",מלאי!A5='לוח בקרה טכנו-מבצעי'!$B$5),OR('לוח בקרה טכנו-מבצעי'!$B$6="הכל",מלאי!B5='לוח בקרה טכנו-מבצעי'!$B$6),OR('לוח בקרה טכנו-מבצעי'!$B$7="הכל",מלאי!F5='לוח בקרה טכנו-מבצעי'!$B$7,מלאי!G5='לוח בקרה טכנו-מבצעי'!$B$7),OR('לוח בקרה טכנו-מבצעי'!$B$8="הכל",מלאי!T5='לוח בקרה טכנו-מבצעי'!$B$8),OR('לוח בקרה טכנו-מבצעי'!$B$9="הכל",מלאי!Q5='לוח בקרה טכנו-מבצעי'!$B$9),OR('לוח בקרה טכנו-מבצעי'!$E$4="הכל",מלאי!J5='לוח בקרה טכנו-מבצעי'!$E$4),OR('לוח בקרה טכנו-מבצעי'!$E$5="הכל",מלאי!L5='לוח בקרה טכנו-מבצעי'!$E$5),OR('לוח בקרה טכנו-מבצעי'!$E$6="הכל",מלאי!O5='לוח בקרה טכנו-מבצעי'!$E$6),OR('לוח בקרה טכנו-מבצעי'!$E$7="הכל",מלאי!R5='לוח בקרה טכנו-מבצעי'!$E$7),OR('לוח בקרה טכנו-מבצעי'!$E$8="הכל",'לוח בקרה טכנו-מבצעי'!$E$8="",מלאי!W5='לוח בקרה טכנו-מבצעי'!$E$8),OR('לוח בקרה טכנו-מבצעי'!$E$9="הכל",'לוח בקרה טכנו-מבצעי'!$E$9="",ISNUMBER(SEARCH('לוח בקרה טכנו-מבצעי'!$E$9,מלאי!C5))),OR('לוח בקרה טכנו-מבצעי'!$B$10="הכל",מלאי!#REF!='לוח בקרה טכנו-מבצעי'!$B$10)),1,0)</f>
        <v>#REF!</v>
      </c>
      <c r="AF5" t="str">
        <f>IF(AD5=1,COUNTIF($AD$3:$AD5,1),"")</f>
        <v/>
      </c>
      <c r="AG5" t="e">
        <f>IF(AE5=1,COUNTIF($AE$3:$AE5,1),"")</f>
        <v>#REF!</v>
      </c>
    </row>
    <row r="6" spans="1:33" ht="15" customHeight="1" x14ac:dyDescent="0.25">
      <c r="A6" s="19" t="s">
        <v>62</v>
      </c>
      <c r="B6" s="19" t="s">
        <v>63</v>
      </c>
      <c r="C6" s="19" t="s">
        <v>64</v>
      </c>
      <c r="D6" s="19" t="s">
        <v>276</v>
      </c>
      <c r="E6" s="19" t="str">
        <f>IFERROR(INDEX(הגדרות!$I$2:$I$47,MATCH(B6,הגדרות!$H$2:$H$47,0)),"")</f>
        <v>7031-01</v>
      </c>
      <c r="F6" s="19" t="s">
        <v>65</v>
      </c>
      <c r="G6" s="19"/>
      <c r="H6" s="19" t="s">
        <v>66</v>
      </c>
      <c r="I6" s="19" t="s">
        <v>67</v>
      </c>
      <c r="J6" s="19" t="s">
        <v>68</v>
      </c>
      <c r="K6" s="19" t="s">
        <v>68</v>
      </c>
      <c r="L6" s="19" t="s">
        <v>68</v>
      </c>
      <c r="M6" s="19" t="s">
        <v>68</v>
      </c>
      <c r="N6" s="19" t="s">
        <v>68</v>
      </c>
      <c r="O6" s="19" t="s">
        <v>14</v>
      </c>
      <c r="P6" s="19"/>
      <c r="Q6" s="19" t="s">
        <v>14</v>
      </c>
      <c r="R6" s="19"/>
      <c r="S6" s="19" t="s">
        <v>14</v>
      </c>
      <c r="T6" s="19" t="s">
        <v>69</v>
      </c>
      <c r="U6" s="19"/>
      <c r="V6" s="19"/>
      <c r="W6" s="19"/>
      <c r="X6" s="19"/>
      <c r="Y6" s="19"/>
      <c r="Z6" t="str">
        <f>IFERROR(INDEX(הגדרות!$B$2:$B$17,MATCH(H6,הגדרות!$A$2:$A$17,0)),"")</f>
        <v>מיוער</v>
      </c>
      <c r="AA6">
        <f>IFERROR(INDEX(הגדרות!$C$2:$C$17,MATCH(H6,הגדרות!$A$2:$A$17,0)),"")</f>
        <v>0</v>
      </c>
      <c r="AB6" t="str">
        <f>IFERROR(INDEX(הגדרות!$B$2:$B$17,MATCH(I6,הגדרות!$A$2:$A$17,0)),"")</f>
        <v>מדברי</v>
      </c>
      <c r="AC6">
        <f>IFERROR(INDEX(הגדרות!$C$2:$C$17,MATCH(I6,הגדרות!$A$2:$A$17,0)),"")</f>
        <v>0</v>
      </c>
      <c r="AD6">
        <f>IF(AND(מלאי!D6&lt;&gt;"",OR('לוח בקרה'!$B$4="הכל",מלאי!Z6='לוח בקרה'!$B$4,מלאי!AA6='לוח בקרה'!$B$4,מלאי!AB6='לוח בקרה'!$B$4,מלאי!AC6='לוח בקרה'!$B$4),OR('לוח בקרה'!$B$5="הכל",מלאי!A6='לוח בקרה'!$B$5),OR('לוח בקרה'!$B$6="הכל",מלאי!B6='לוח בקרה'!$B$6),OR('לוח בקרה'!$B$7="הכל",מלאי!F6='לוח בקרה'!$B$7,מלאי!G6='לוח בקרה'!$B$7),OR('לוח בקרה'!$B$8="הכל",מלאי!T6='לוח בקרה'!$B$8),OR('לוח בקרה'!$B$9="הכל",מלאי!Q6='לוח בקרה'!$B$9),OR('לוח בקרה'!$E$4="הכל",מלאי!J6='לוח בקרה'!$E$4),OR('לוח בקרה'!$E$5="הכל",מלאי!L6='לוח בקרה'!$E$5),OR('לוח בקרה'!$E$6="הכל",מלאי!O6='לוח בקרה'!$E$6),OR('לוח בקרה'!$E$7="הכל",מלאי!R6='לוח בקרה'!$E$7),OR('לוח בקרה'!$E$8="הכל",'לוח בקרה'!$E$8="",מלאי!W6='לוח בקרה'!$E$8),OR('לוח בקרה'!$E$9="הכל",'לוח בקרה'!$E$9="",ISNUMBER(SEARCH('לוח בקרה'!$E$9,מלאי!C6)))),1,0)</f>
        <v>0</v>
      </c>
      <c r="AE6" t="e">
        <f>IF(AND(מלאי!D6&lt;&gt;"",OR('לוח בקרה טכנו-מבצעי'!$B$4="הכל",מלאי!Z6='לוח בקרה טכנו-מבצעי'!$B$4,מלאי!AA6='לוח בקרה טכנו-מבצעי'!$B$4,מלאי!AB6='לוח בקרה טכנו-מבצעי'!$B$4,מלאי!AC6='לוח בקרה טכנו-מבצעי'!$B$4),OR('לוח בקרה טכנו-מבצעי'!$B$5="הכל",מלאי!A6='לוח בקרה טכנו-מבצעי'!$B$5),OR('לוח בקרה טכנו-מבצעי'!$B$6="הכל",מלאי!B6='לוח בקרה טכנו-מבצעי'!$B$6),OR('לוח בקרה טכנו-מבצעי'!$B$7="הכל",מלאי!F6='לוח בקרה טכנו-מבצעי'!$B$7,מלאי!G6='לוח בקרה טכנו-מבצעי'!$B$7),OR('לוח בקרה טכנו-מבצעי'!$B$8="הכל",מלאי!T6='לוח בקרה טכנו-מבצעי'!$B$8),OR('לוח בקרה טכנו-מבצעי'!$B$9="הכל",מלאי!Q6='לוח בקרה טכנו-מבצעי'!$B$9),OR('לוח בקרה טכנו-מבצעי'!$E$4="הכל",מלאי!J6='לוח בקרה טכנו-מבצעי'!$E$4),OR('לוח בקרה טכנו-מבצעי'!$E$5="הכל",מלאי!L6='לוח בקרה טכנו-מבצעי'!$E$5),OR('לוח בקרה טכנו-מבצעי'!$E$6="הכל",מלאי!O6='לוח בקרה טכנו-מבצעי'!$E$6),OR('לוח בקרה טכנו-מבצעי'!$E$7="הכל",מלאי!R6='לוח בקרה טכנו-מבצעי'!$E$7),OR('לוח בקרה טכנו-מבצעי'!$E$8="הכל",'לוח בקרה טכנו-מבצעי'!$E$8="",מלאי!W6='לוח בקרה טכנו-מבצעי'!$E$8),OR('לוח בקרה טכנו-מבצעי'!$E$9="הכל",'לוח בקרה טכנו-מבצעי'!$E$9="",ISNUMBER(SEARCH('לוח בקרה טכנו-מבצעי'!$E$9,מלאי!C6))),OR('לוח בקרה טכנו-מבצעי'!$B$10="הכל",מלאי!#REF!='לוח בקרה טכנו-מבצעי'!$B$10)),1,0)</f>
        <v>#REF!</v>
      </c>
      <c r="AF6" t="str">
        <f>IF(AD6=1,COUNTIF($AD$3:$AD6,1),"")</f>
        <v/>
      </c>
      <c r="AG6" t="e">
        <f>IF(AE6=1,COUNTIF($AE$3:$AE6,1),"")</f>
        <v>#REF!</v>
      </c>
    </row>
    <row r="7" spans="1:33" ht="15" customHeight="1" x14ac:dyDescent="0.25">
      <c r="A7" s="17" t="s">
        <v>62</v>
      </c>
      <c r="B7" s="17" t="s">
        <v>63</v>
      </c>
      <c r="C7" s="17" t="s">
        <v>64</v>
      </c>
      <c r="D7" s="17" t="s">
        <v>277</v>
      </c>
      <c r="E7" s="17" t="str">
        <f>IFERROR(INDEX(הגדרות!$I$2:$I$47,MATCH(B7,הגדרות!$H$2:$H$47,0)),"")</f>
        <v>7031-01</v>
      </c>
      <c r="F7" s="17" t="s">
        <v>65</v>
      </c>
      <c r="G7" s="17"/>
      <c r="H7" s="17" t="s">
        <v>66</v>
      </c>
      <c r="I7" s="17" t="s">
        <v>67</v>
      </c>
      <c r="J7" s="17" t="s">
        <v>68</v>
      </c>
      <c r="K7" s="17" t="s">
        <v>68</v>
      </c>
      <c r="L7" s="17" t="s">
        <v>68</v>
      </c>
      <c r="M7" s="17" t="s">
        <v>68</v>
      </c>
      <c r="N7" s="19" t="s">
        <v>68</v>
      </c>
      <c r="O7" s="17" t="s">
        <v>14</v>
      </c>
      <c r="P7" s="17"/>
      <c r="Q7" s="17" t="s">
        <v>14</v>
      </c>
      <c r="R7" s="17"/>
      <c r="S7" s="17" t="s">
        <v>14</v>
      </c>
      <c r="T7" s="17" t="s">
        <v>70</v>
      </c>
      <c r="U7" s="17"/>
      <c r="V7" s="17"/>
      <c r="W7" s="17"/>
      <c r="X7" s="17"/>
      <c r="Y7" s="17"/>
      <c r="Z7" t="str">
        <f>IFERROR(INDEX(הגדרות!$B$2:$B$17,MATCH(H7,הגדרות!$A$2:$A$17,0)),"")</f>
        <v>מיוער</v>
      </c>
      <c r="AA7">
        <f>IFERROR(INDEX(הגדרות!$C$2:$C$17,MATCH(H7,הגדרות!$A$2:$A$17,0)),"")</f>
        <v>0</v>
      </c>
      <c r="AB7" t="str">
        <f>IFERROR(INDEX(הגדרות!$B$2:$B$17,MATCH(I7,הגדרות!$A$2:$A$17,0)),"")</f>
        <v>מדברי</v>
      </c>
      <c r="AC7">
        <f>IFERROR(INDEX(הגדרות!$C$2:$C$17,MATCH(I7,הגדרות!$A$2:$A$17,0)),"")</f>
        <v>0</v>
      </c>
      <c r="AD7">
        <f>IF(AND(מלאי!D7&lt;&gt;"",OR('לוח בקרה'!$B$4="הכל",מלאי!Z7='לוח בקרה'!$B$4,מלאי!AA7='לוח בקרה'!$B$4,מלאי!AB7='לוח בקרה'!$B$4,מלאי!AC7='לוח בקרה'!$B$4),OR('לוח בקרה'!$B$5="הכל",מלאי!A7='לוח בקרה'!$B$5),OR('לוח בקרה'!$B$6="הכל",מלאי!B7='לוח בקרה'!$B$6),OR('לוח בקרה'!$B$7="הכל",מלאי!F7='לוח בקרה'!$B$7,מלאי!G7='לוח בקרה'!$B$7),OR('לוח בקרה'!$B$8="הכל",מלאי!T7='לוח בקרה'!$B$8),OR('לוח בקרה'!$B$9="הכל",מלאי!Q7='לוח בקרה'!$B$9),OR('לוח בקרה'!$E$4="הכל",מלאי!J7='לוח בקרה'!$E$4),OR('לוח בקרה'!$E$5="הכל",מלאי!L7='לוח בקרה'!$E$5),OR('לוח בקרה'!$E$6="הכל",מלאי!O7='לוח בקרה'!$E$6),OR('לוח בקרה'!$E$7="הכל",מלאי!R7='לוח בקרה'!$E$7),OR('לוח בקרה'!$E$8="הכל",'לוח בקרה'!$E$8="",מלאי!W7='לוח בקרה'!$E$8),OR('לוח בקרה'!$E$9="הכל",'לוח בקרה'!$E$9="",ISNUMBER(SEARCH('לוח בקרה'!$E$9,מלאי!C7)))),1,0)</f>
        <v>0</v>
      </c>
      <c r="AE7" t="e">
        <f>IF(AND(מלאי!D7&lt;&gt;"",OR('לוח בקרה טכנו-מבצעי'!$B$4="הכל",מלאי!Z7='לוח בקרה טכנו-מבצעי'!$B$4,מלאי!AA7='לוח בקרה טכנו-מבצעי'!$B$4,מלאי!AB7='לוח בקרה טכנו-מבצעי'!$B$4,מלאי!AC7='לוח בקרה טכנו-מבצעי'!$B$4),OR('לוח בקרה טכנו-מבצעי'!$B$5="הכל",מלאי!A7='לוח בקרה טכנו-מבצעי'!$B$5),OR('לוח בקרה טכנו-מבצעי'!$B$6="הכל",מלאי!B7='לוח בקרה טכנו-מבצעי'!$B$6),OR('לוח בקרה טכנו-מבצעי'!$B$7="הכל",מלאי!F7='לוח בקרה טכנו-מבצעי'!$B$7,מלאי!G7='לוח בקרה טכנו-מבצעי'!$B$7),OR('לוח בקרה טכנו-מבצעי'!$B$8="הכל",מלאי!T7='לוח בקרה טכנו-מבצעי'!$B$8),OR('לוח בקרה טכנו-מבצעי'!$B$9="הכל",מלאי!Q7='לוח בקרה טכנו-מבצעי'!$B$9),OR('לוח בקרה טכנו-מבצעי'!$E$4="הכל",מלאי!J7='לוח בקרה טכנו-מבצעי'!$E$4),OR('לוח בקרה טכנו-מבצעי'!$E$5="הכל",מלאי!L7='לוח בקרה טכנו-מבצעי'!$E$5),OR('לוח בקרה טכנו-מבצעי'!$E$6="הכל",מלאי!O7='לוח בקרה טכנו-מבצעי'!$E$6),OR('לוח בקרה טכנו-מבצעי'!$E$7="הכל",מלאי!R7='לוח בקרה טכנו-מבצעי'!$E$7),OR('לוח בקרה טכנו-מבצעי'!$E$8="הכל",'לוח בקרה טכנו-מבצעי'!$E$8="",מלאי!W7='לוח בקרה טכנו-מבצעי'!$E$8),OR('לוח בקרה טכנו-מבצעי'!$E$9="הכל",'לוח בקרה טכנו-מבצעי'!$E$9="",ISNUMBER(SEARCH('לוח בקרה טכנו-מבצעי'!$E$9,מלאי!C7))),OR('לוח בקרה טכנו-מבצעי'!$B$10="הכל",מלאי!#REF!='לוח בקרה טכנו-מבצעי'!$B$10)),1,0)</f>
        <v>#REF!</v>
      </c>
      <c r="AF7" t="str">
        <f>IF(AD7=1,COUNTIF($AD$3:$AD7,1),"")</f>
        <v/>
      </c>
      <c r="AG7" t="e">
        <f>IF(AE7=1,COUNTIF($AE$3:$AE7,1),"")</f>
        <v>#REF!</v>
      </c>
    </row>
    <row r="8" spans="1:33" ht="15" customHeight="1" x14ac:dyDescent="0.25">
      <c r="A8" s="19" t="s">
        <v>62</v>
      </c>
      <c r="B8" s="19" t="s">
        <v>63</v>
      </c>
      <c r="C8" s="19" t="s">
        <v>71</v>
      </c>
      <c r="D8" s="19" t="s">
        <v>278</v>
      </c>
      <c r="E8" s="19" t="str">
        <f>IFERROR(INDEX(הגדרות!$I$2:$I$47,MATCH(B8,הגדרות!$H$2:$H$47,0)),"")</f>
        <v>7031-01</v>
      </c>
      <c r="F8" s="19" t="s">
        <v>65</v>
      </c>
      <c r="G8" s="19"/>
      <c r="H8" s="19" t="s">
        <v>111</v>
      </c>
      <c r="I8" s="19" t="s">
        <v>100</v>
      </c>
      <c r="J8" s="19" t="s">
        <v>68</v>
      </c>
      <c r="K8" s="19" t="s">
        <v>68</v>
      </c>
      <c r="L8" s="19" t="s">
        <v>68</v>
      </c>
      <c r="M8" s="19" t="s">
        <v>68</v>
      </c>
      <c r="N8" s="19" t="s">
        <v>68</v>
      </c>
      <c r="O8" s="19" t="s">
        <v>14</v>
      </c>
      <c r="P8" s="19"/>
      <c r="Q8" s="19" t="s">
        <v>14</v>
      </c>
      <c r="R8" s="19"/>
      <c r="S8" s="19" t="s">
        <v>14</v>
      </c>
      <c r="T8" s="19" t="s">
        <v>69</v>
      </c>
      <c r="U8" s="19"/>
      <c r="V8" s="19"/>
      <c r="W8" s="19"/>
      <c r="X8" s="19"/>
      <c r="Y8" s="19"/>
      <c r="Z8" t="str">
        <f>IFERROR(INDEX(הגדרות!$B$2:$B$17,MATCH(H8,הגדרות!$A$2:$A$17,0)),"")</f>
        <v>מיוער</v>
      </c>
      <c r="AA8">
        <f>IFERROR(INDEX(הגדרות!$C$2:$C$17,MATCH(H8,הגדרות!$A$2:$A$17,0)),"")</f>
        <v>0</v>
      </c>
      <c r="AB8" t="str">
        <f>IFERROR(INDEX(הגדרות!$B$2:$B$17,MATCH(I8,הגדרות!$A$2:$A$17,0)),"")</f>
        <v>מיוער</v>
      </c>
      <c r="AC8">
        <f>IFERROR(INDEX(הגדרות!$C$2:$C$17,MATCH(I8,הגדרות!$A$2:$A$17,0)),"")</f>
        <v>0</v>
      </c>
      <c r="AD8">
        <f>IF(AND(מלאי!D8&lt;&gt;"",OR('לוח בקרה'!$B$4="הכל",מלאי!Z8='לוח בקרה'!$B$4,מלאי!AA8='לוח בקרה'!$B$4,מלאי!AB8='לוח בקרה'!$B$4,מלאי!AC8='לוח בקרה'!$B$4),OR('לוח בקרה'!$B$5="הכל",מלאי!A8='לוח בקרה'!$B$5),OR('לוח בקרה'!$B$6="הכל",מלאי!B8='לוח בקרה'!$B$6),OR('לוח בקרה'!$B$7="הכל",מלאי!F8='לוח בקרה'!$B$7,מלאי!G8='לוח בקרה'!$B$7),OR('לוח בקרה'!$B$8="הכל",מלאי!T8='לוח בקרה'!$B$8),OR('לוח בקרה'!$B$9="הכל",מלאי!Q8='לוח בקרה'!$B$9),OR('לוח בקרה'!$E$4="הכל",מלאי!J8='לוח בקרה'!$E$4),OR('לוח בקרה'!$E$5="הכל",מלאי!L8='לוח בקרה'!$E$5),OR('לוח בקרה'!$E$6="הכל",מלאי!O8='לוח בקרה'!$E$6),OR('לוח בקרה'!$E$7="הכל",מלאי!R8='לוח בקרה'!$E$7),OR('לוח בקרה'!$E$8="הכל",'לוח בקרה'!$E$8="",מלאי!W8='לוח בקרה'!$E$8),OR('לוח בקרה'!$E$9="הכל",'לוח בקרה'!$E$9="",ISNUMBER(SEARCH('לוח בקרה'!$E$9,מלאי!C8)))),1,0)</f>
        <v>0</v>
      </c>
      <c r="AE8" t="e">
        <f>IF(AND(מלאי!D8&lt;&gt;"",OR('לוח בקרה טכנו-מבצעי'!$B$4="הכל",מלאי!Z8='לוח בקרה טכנו-מבצעי'!$B$4,מלאי!AA8='לוח בקרה טכנו-מבצעי'!$B$4,מלאי!AB8='לוח בקרה טכנו-מבצעי'!$B$4,מלאי!AC8='לוח בקרה טכנו-מבצעי'!$B$4),OR('לוח בקרה טכנו-מבצעי'!$B$5="הכל",מלאי!A8='לוח בקרה טכנו-מבצעי'!$B$5),OR('לוח בקרה טכנו-מבצעי'!$B$6="הכל",מלאי!B8='לוח בקרה טכנו-מבצעי'!$B$6),OR('לוח בקרה טכנו-מבצעי'!$B$7="הכל",מלאי!F8='לוח בקרה טכנו-מבצעי'!$B$7,מלאי!G8='לוח בקרה טכנו-מבצעי'!$B$7),OR('לוח בקרה טכנו-מבצעי'!$B$8="הכל",מלאי!T8='לוח בקרה טכנו-מבצעי'!$B$8),OR('לוח בקרה טכנו-מבצעי'!$B$9="הכל",מלאי!Q8='לוח בקרה טכנו-מבצעי'!$B$9),OR('לוח בקרה טכנו-מבצעי'!$E$4="הכל",מלאי!J8='לוח בקרה טכנו-מבצעי'!$E$4),OR('לוח בקרה טכנו-מבצעי'!$E$5="הכל",מלאי!L8='לוח בקרה טכנו-מבצעי'!$E$5),OR('לוח בקרה טכנו-מבצעי'!$E$6="הכל",מלאי!O8='לוח בקרה טכנו-מבצעי'!$E$6),OR('לוח בקרה טכנו-מבצעי'!$E$7="הכל",מלאי!R8='לוח בקרה טכנו-מבצעי'!$E$7),OR('לוח בקרה טכנו-מבצעי'!$E$8="הכל",'לוח בקרה טכנו-מבצעי'!$E$8="",מלאי!W8='לוח בקרה טכנו-מבצעי'!$E$8),OR('לוח בקרה טכנו-מבצעי'!$E$9="הכל",'לוח בקרה טכנו-מבצעי'!$E$9="",ISNUMBER(SEARCH('לוח בקרה טכנו-מבצעי'!$E$9,מלאי!C8))),OR('לוח בקרה טכנו-מבצעי'!$B$10="הכל",מלאי!#REF!='לוח בקרה טכנו-מבצעי'!$B$10)),1,0)</f>
        <v>#REF!</v>
      </c>
      <c r="AF8" t="str">
        <f>IF(AD8=1,COUNTIF($AD$3:$AD8,1),"")</f>
        <v/>
      </c>
      <c r="AG8" t="e">
        <f>IF(AE8=1,COUNTIF($AE$3:$AE8,1),"")</f>
        <v>#REF!</v>
      </c>
    </row>
    <row r="9" spans="1:33" ht="15" customHeight="1" x14ac:dyDescent="0.25">
      <c r="A9" s="17" t="s">
        <v>62</v>
      </c>
      <c r="B9" s="17" t="s">
        <v>63</v>
      </c>
      <c r="C9" s="17" t="s">
        <v>71</v>
      </c>
      <c r="D9" s="17" t="s">
        <v>282</v>
      </c>
      <c r="E9" s="17" t="str">
        <f>IFERROR(INDEX(הגדרות!$I$2:$I$47,MATCH(B9,הגדרות!$H$2:$H$47,0)),"")</f>
        <v>7031-01</v>
      </c>
      <c r="F9" s="17" t="s">
        <v>65</v>
      </c>
      <c r="G9" s="17"/>
      <c r="H9" s="17" t="s">
        <v>111</v>
      </c>
      <c r="I9" s="17" t="s">
        <v>100</v>
      </c>
      <c r="J9" s="17" t="s">
        <v>68</v>
      </c>
      <c r="K9" s="17" t="s">
        <v>68</v>
      </c>
      <c r="L9" s="17" t="s">
        <v>68</v>
      </c>
      <c r="M9" s="17" t="s">
        <v>68</v>
      </c>
      <c r="N9" s="17" t="s">
        <v>68</v>
      </c>
      <c r="O9" s="17" t="s">
        <v>14</v>
      </c>
      <c r="P9" s="17"/>
      <c r="Q9" s="17" t="s">
        <v>14</v>
      </c>
      <c r="R9" s="17"/>
      <c r="S9" s="17" t="s">
        <v>14</v>
      </c>
      <c r="T9" s="17" t="s">
        <v>70</v>
      </c>
      <c r="U9" s="17"/>
      <c r="V9" s="17"/>
      <c r="W9" s="17"/>
      <c r="X9" s="17"/>
      <c r="Y9" s="17"/>
      <c r="Z9" t="str">
        <f>IFERROR(INDEX(הגדרות!$B$2:$B$17,MATCH(H9,הגדרות!$A$2:$A$17,0)),"")</f>
        <v>מיוער</v>
      </c>
      <c r="AA9">
        <f>IFERROR(INDEX(הגדרות!$C$2:$C$17,MATCH(H9,הגדרות!$A$2:$A$17,0)),"")</f>
        <v>0</v>
      </c>
      <c r="AB9" t="str">
        <f>IFERROR(INDEX(הגדרות!$B$2:$B$17,MATCH(I9,הגדרות!$A$2:$A$17,0)),"")</f>
        <v>מיוער</v>
      </c>
      <c r="AC9">
        <f>IFERROR(INDEX(הגדרות!$C$2:$C$17,MATCH(I9,הגדרות!$A$2:$A$17,0)),"")</f>
        <v>0</v>
      </c>
      <c r="AD9">
        <f>IF(AND(מלאי!D9&lt;&gt;"",OR('לוח בקרה'!$B$4="הכל",מלאי!Z9='לוח בקרה'!$B$4,מלאי!AA9='לוח בקרה'!$B$4,מלאי!AB9='לוח בקרה'!$B$4,מלאי!AC9='לוח בקרה'!$B$4),OR('לוח בקרה'!$B$5="הכל",מלאי!A9='לוח בקרה'!$B$5),OR('לוח בקרה'!$B$6="הכל",מלאי!B9='לוח בקרה'!$B$6),OR('לוח בקרה'!$B$7="הכל",מלאי!F9='לוח בקרה'!$B$7,מלאי!G9='לוח בקרה'!$B$7),OR('לוח בקרה'!$B$8="הכל",מלאי!T9='לוח בקרה'!$B$8),OR('לוח בקרה'!$B$9="הכל",מלאי!Q9='לוח בקרה'!$B$9),OR('לוח בקרה'!$E$4="הכל",מלאי!J9='לוח בקרה'!$E$4),OR('לוח בקרה'!$E$5="הכל",מלאי!L9='לוח בקרה'!$E$5),OR('לוח בקרה'!$E$6="הכל",מלאי!O9='לוח בקרה'!$E$6),OR('לוח בקרה'!$E$7="הכל",מלאי!R9='לוח בקרה'!$E$7),OR('לוח בקרה'!$E$8="הכל",'לוח בקרה'!$E$8="",מלאי!W9='לוח בקרה'!$E$8),OR('לוח בקרה'!$E$9="הכל",'לוח בקרה'!$E$9="",ISNUMBER(SEARCH('לוח בקרה'!$E$9,מלאי!C9)))),1,0)</f>
        <v>0</v>
      </c>
      <c r="AE9" t="e">
        <f>IF(AND(מלאי!D9&lt;&gt;"",OR('לוח בקרה טכנו-מבצעי'!$B$4="הכל",מלאי!Z9='לוח בקרה טכנו-מבצעי'!$B$4,מלאי!AA9='לוח בקרה טכנו-מבצעי'!$B$4,מלאי!AB9='לוח בקרה טכנו-מבצעי'!$B$4,מלאי!AC9='לוח בקרה טכנו-מבצעי'!$B$4),OR('לוח בקרה טכנו-מבצעי'!$B$5="הכל",מלאי!A9='לוח בקרה טכנו-מבצעי'!$B$5),OR('לוח בקרה טכנו-מבצעי'!$B$6="הכל",מלאי!B9='לוח בקרה טכנו-מבצעי'!$B$6),OR('לוח בקרה טכנו-מבצעי'!$B$7="הכל",מלאי!F9='לוח בקרה טכנו-מבצעי'!$B$7,מלאי!G9='לוח בקרה טכנו-מבצעי'!$B$7),OR('לוח בקרה טכנו-מבצעי'!$B$8="הכל",מלאי!T9='לוח בקרה טכנו-מבצעי'!$B$8),OR('לוח בקרה טכנו-מבצעי'!$B$9="הכל",מלאי!Q9='לוח בקרה טכנו-מבצעי'!$B$9),OR('לוח בקרה טכנו-מבצעי'!$E$4="הכל",מלאי!J9='לוח בקרה טכנו-מבצעי'!$E$4),OR('לוח בקרה טכנו-מבצעי'!$E$5="הכל",מלאי!L9='לוח בקרה טכנו-מבצעי'!$E$5),OR('לוח בקרה טכנו-מבצעי'!$E$6="הכל",מלאי!O9='לוח בקרה טכנו-מבצעי'!$E$6),OR('לוח בקרה טכנו-מבצעי'!$E$7="הכל",מלאי!R9='לוח בקרה טכנו-מבצעי'!$E$7),OR('לוח בקרה טכנו-מבצעי'!$E$8="הכל",'לוח בקרה טכנו-מבצעי'!$E$8="",מלאי!W9='לוח בקרה טכנו-מבצעי'!$E$8),OR('לוח בקרה טכנו-מבצעי'!$E$9="הכל",'לוח בקרה טכנו-מבצעי'!$E$9="",ISNUMBER(SEARCH('לוח בקרה טכנו-מבצעי'!$E$9,מלאי!C9))),OR('לוח בקרה טכנו-מבצעי'!$B$10="הכל",מלאי!#REF!='לוח בקרה טכנו-מבצעי'!$B$10)),1,0)</f>
        <v>#REF!</v>
      </c>
      <c r="AF9" t="str">
        <f>IF(AD9=1,COUNTIF($AD$3:$AD9,1),"")</f>
        <v/>
      </c>
      <c r="AG9" t="e">
        <f>IF(AE9=1,COUNTIF($AE$3:$AE9,1),"")</f>
        <v>#REF!</v>
      </c>
    </row>
    <row r="10" spans="1:33" ht="15" customHeight="1" x14ac:dyDescent="0.25">
      <c r="A10" s="19" t="s">
        <v>62</v>
      </c>
      <c r="B10" s="19" t="s">
        <v>72</v>
      </c>
      <c r="C10" s="19" t="s">
        <v>64</v>
      </c>
      <c r="D10" s="19" t="s">
        <v>383</v>
      </c>
      <c r="E10" s="19" t="str">
        <f>IFERROR(INDEX(הגדרות!$I$2:$I$47,MATCH(B10,הגדרות!$H$2:$H$47,0)),"")</f>
        <v>7030-01</v>
      </c>
      <c r="F10" s="19" t="s">
        <v>73</v>
      </c>
      <c r="G10" s="19"/>
      <c r="H10" s="19" t="s">
        <v>74</v>
      </c>
      <c r="I10" s="19" t="s">
        <v>67</v>
      </c>
      <c r="J10" s="19" t="s">
        <v>68</v>
      </c>
      <c r="K10" s="19" t="s">
        <v>68</v>
      </c>
      <c r="L10" s="19" t="s">
        <v>68</v>
      </c>
      <c r="M10" s="19" t="s">
        <v>68</v>
      </c>
      <c r="N10" s="19" t="s">
        <v>14</v>
      </c>
      <c r="O10" s="19" t="s">
        <v>14</v>
      </c>
      <c r="P10" s="19" t="s">
        <v>75</v>
      </c>
      <c r="Q10" s="19" t="s">
        <v>14</v>
      </c>
      <c r="R10" s="19"/>
      <c r="S10" s="19" t="s">
        <v>14</v>
      </c>
      <c r="T10" s="19" t="s">
        <v>69</v>
      </c>
      <c r="U10" s="19" t="s">
        <v>76</v>
      </c>
      <c r="V10" s="19"/>
      <c r="W10" s="19"/>
      <c r="X10" s="19"/>
      <c r="Y10" s="19"/>
      <c r="Z10" t="str">
        <f>IFERROR(INDEX(הגדרות!$B$2:$B$17,MATCH(H10,הגדרות!$A$2:$A$17,0)),"")</f>
        <v>מיוער</v>
      </c>
      <c r="AA10">
        <f>IFERROR(INDEX(הגדרות!$C$2:$C$17,MATCH(H10,הגדרות!$A$2:$A$17,0)),"")</f>
        <v>0</v>
      </c>
      <c r="AB10" t="str">
        <f>IFERROR(INDEX(הגדרות!$B$2:$B$17,MATCH(I10,הגדרות!$A$2:$A$17,0)),"")</f>
        <v>מדברי</v>
      </c>
      <c r="AC10">
        <f>IFERROR(INDEX(הגדרות!$C$2:$C$17,MATCH(I10,הגדרות!$A$2:$A$17,0)),"")</f>
        <v>0</v>
      </c>
      <c r="AD10">
        <f>IF(AND(מלאי!D10&lt;&gt;"",OR('לוח בקרה'!$B$4="הכל",מלאי!Z10='לוח בקרה'!$B$4,מלאי!AA10='לוח בקרה'!$B$4,מלאי!AB10='לוח בקרה'!$B$4,מלאי!AC10='לוח בקרה'!$B$4),OR('לוח בקרה'!$B$5="הכל",מלאי!A10='לוח בקרה'!$B$5),OR('לוח בקרה'!$B$6="הכל",מלאי!B10='לוח בקרה'!$B$6),OR('לוח בקרה'!$B$7="הכל",מלאי!F10='לוח בקרה'!$B$7,מלאי!G10='לוח בקרה'!$B$7),OR('לוח בקרה'!$B$8="הכל",מלאי!T10='לוח בקרה'!$B$8),OR('לוח בקרה'!$B$9="הכל",מלאי!Q10='לוח בקרה'!$B$9),OR('לוח בקרה'!$E$4="הכל",מלאי!J10='לוח בקרה'!$E$4),OR('לוח בקרה'!$E$5="הכל",מלאי!L10='לוח בקרה'!$E$5),OR('לוח בקרה'!$E$6="הכל",מלאי!O10='לוח בקרה'!$E$6),OR('לוח בקרה'!$E$7="הכל",מלאי!R10='לוח בקרה'!$E$7),OR('לוח בקרה'!$E$8="הכל",'לוח בקרה'!$E$8="",מלאי!W10='לוח בקרה'!$E$8),OR('לוח בקרה'!$E$9="הכל",'לוח בקרה'!$E$9="",ISNUMBER(SEARCH('לוח בקרה'!$E$9,מלאי!C10)))),1,0)</f>
        <v>0</v>
      </c>
      <c r="AE10" t="e">
        <f>IF(AND(מלאי!D10&lt;&gt;"",OR('לוח בקרה טכנו-מבצעי'!$B$4="הכל",מלאי!Z10='לוח בקרה טכנו-מבצעי'!$B$4,מלאי!AA10='לוח בקרה טכנו-מבצעי'!$B$4,מלאי!AB10='לוח בקרה טכנו-מבצעי'!$B$4,מלאי!AC10='לוח בקרה טכנו-מבצעי'!$B$4),OR('לוח בקרה טכנו-מבצעי'!$B$5="הכל",מלאי!A10='לוח בקרה טכנו-מבצעי'!$B$5),OR('לוח בקרה טכנו-מבצעי'!$B$6="הכל",מלאי!B10='לוח בקרה טכנו-מבצעי'!$B$6),OR('לוח בקרה טכנו-מבצעי'!$B$7="הכל",מלאי!F10='לוח בקרה טכנו-מבצעי'!$B$7,מלאי!G10='לוח בקרה טכנו-מבצעי'!$B$7),OR('לוח בקרה טכנו-מבצעי'!$B$8="הכל",מלאי!T10='לוח בקרה טכנו-מבצעי'!$B$8),OR('לוח בקרה טכנו-מבצעי'!$B$9="הכל",מלאי!Q10='לוח בקרה טכנו-מבצעי'!$B$9),OR('לוח בקרה טכנו-מבצעי'!$E$4="הכל",מלאי!J10='לוח בקרה טכנו-מבצעי'!$E$4),OR('לוח בקרה טכנו-מבצעי'!$E$5="הכל",מלאי!L10='לוח בקרה טכנו-מבצעי'!$E$5),OR('לוח בקרה טכנו-מבצעי'!$E$6="הכל",מלאי!O10='לוח בקרה טכנו-מבצעי'!$E$6),OR('לוח בקרה טכנו-מבצעי'!$E$7="הכל",מלאי!R10='לוח בקרה טכנו-מבצעי'!$E$7),OR('לוח בקרה טכנו-מבצעי'!$E$8="הכל",'לוח בקרה טכנו-מבצעי'!$E$8="",מלאי!W10='לוח בקרה טכנו-מבצעי'!$E$8),OR('לוח בקרה טכנו-מבצעי'!$E$9="הכל",'לוח בקרה טכנו-מבצעי'!$E$9="",ISNUMBER(SEARCH('לוח בקרה טכנו-מבצעי'!$E$9,מלאי!C10))),OR('לוח בקרה טכנו-מבצעי'!$B$10="הכל",מלאי!#REF!='לוח בקרה טכנו-מבצעי'!$B$10)),1,0)</f>
        <v>#REF!</v>
      </c>
      <c r="AF10" t="str">
        <f>IF(AD10=1,COUNTIF($AD$3:$AD10,1),"")</f>
        <v/>
      </c>
      <c r="AG10" t="e">
        <f>IF(AE10=1,COUNTIF($AE$3:$AE10,1),"")</f>
        <v>#REF!</v>
      </c>
    </row>
    <row r="11" spans="1:33" ht="15" customHeight="1" x14ac:dyDescent="0.25">
      <c r="A11" s="17" t="s">
        <v>62</v>
      </c>
      <c r="B11" s="17" t="s">
        <v>72</v>
      </c>
      <c r="C11" s="17" t="s">
        <v>64</v>
      </c>
      <c r="D11" s="17" t="s">
        <v>384</v>
      </c>
      <c r="E11" s="17" t="str">
        <f>IFERROR(INDEX(הגדרות!$I$2:$I$47,MATCH(B11,הגדרות!$H$2:$H$47,0)),"")</f>
        <v>7030-01</v>
      </c>
      <c r="F11" s="17" t="s">
        <v>73</v>
      </c>
      <c r="G11" s="17"/>
      <c r="H11" s="17" t="s">
        <v>74</v>
      </c>
      <c r="I11" s="17" t="s">
        <v>67</v>
      </c>
      <c r="J11" s="17" t="s">
        <v>68</v>
      </c>
      <c r="K11" s="17" t="s">
        <v>68</v>
      </c>
      <c r="L11" s="17" t="s">
        <v>68</v>
      </c>
      <c r="M11" s="17" t="s">
        <v>68</v>
      </c>
      <c r="N11" s="17" t="s">
        <v>14</v>
      </c>
      <c r="O11" s="17" t="s">
        <v>14</v>
      </c>
      <c r="P11" s="17" t="s">
        <v>75</v>
      </c>
      <c r="Q11" s="17" t="s">
        <v>14</v>
      </c>
      <c r="R11" s="17"/>
      <c r="S11" s="17" t="s">
        <v>14</v>
      </c>
      <c r="T11" s="17" t="s">
        <v>69</v>
      </c>
      <c r="U11" s="17" t="s">
        <v>76</v>
      </c>
      <c r="V11" s="17"/>
      <c r="W11" s="17"/>
      <c r="X11" s="17"/>
      <c r="Y11" s="17"/>
      <c r="Z11" t="str">
        <f>IFERROR(INDEX(הגדרות!$B$2:$B$17,MATCH(H11,הגדרות!$A$2:$A$17,0)),"")</f>
        <v>מיוער</v>
      </c>
      <c r="AA11">
        <f>IFERROR(INDEX(הגדרות!$C$2:$C$17,MATCH(H11,הגדרות!$A$2:$A$17,0)),"")</f>
        <v>0</v>
      </c>
      <c r="AB11" t="str">
        <f>IFERROR(INDEX(הגדרות!$B$2:$B$17,MATCH(I11,הגדרות!$A$2:$A$17,0)),"")</f>
        <v>מדברי</v>
      </c>
      <c r="AC11">
        <f>IFERROR(INDEX(הגדרות!$C$2:$C$17,MATCH(I11,הגדרות!$A$2:$A$17,0)),"")</f>
        <v>0</v>
      </c>
      <c r="AD11">
        <f>IF(AND(מלאי!D11&lt;&gt;"",OR('לוח בקרה'!$B$4="הכל",מלאי!Z11='לוח בקרה'!$B$4,מלאי!AA11='לוח בקרה'!$B$4,מלאי!AB11='לוח בקרה'!$B$4,מלאי!AC11='לוח בקרה'!$B$4),OR('לוח בקרה'!$B$5="הכל",מלאי!A11='לוח בקרה'!$B$5),OR('לוח בקרה'!$B$6="הכל",מלאי!B11='לוח בקרה'!$B$6),OR('לוח בקרה'!$B$7="הכל",מלאי!F11='לוח בקרה'!$B$7,מלאי!G11='לוח בקרה'!$B$7),OR('לוח בקרה'!$B$8="הכל",מלאי!T11='לוח בקרה'!$B$8),OR('לוח בקרה'!$B$9="הכל",מלאי!Q11='לוח בקרה'!$B$9),OR('לוח בקרה'!$E$4="הכל",מלאי!J11='לוח בקרה'!$E$4),OR('לוח בקרה'!$E$5="הכל",מלאי!L11='לוח בקרה'!$E$5),OR('לוח בקרה'!$E$6="הכל",מלאי!O11='לוח בקרה'!$E$6),OR('לוח בקרה'!$E$7="הכל",מלאי!R11='לוח בקרה'!$E$7),OR('לוח בקרה'!$E$8="הכל",'לוח בקרה'!$E$8="",מלאי!W11='לוח בקרה'!$E$8),OR('לוח בקרה'!$E$9="הכל",'לוח בקרה'!$E$9="",ISNUMBER(SEARCH('לוח בקרה'!$E$9,מלאי!C11)))),1,0)</f>
        <v>0</v>
      </c>
      <c r="AE11" t="e">
        <f>IF(AND(מלאי!D11&lt;&gt;"",OR('לוח בקרה טכנו-מבצעי'!$B$4="הכל",מלאי!Z11='לוח בקרה טכנו-מבצעי'!$B$4,מלאי!AA11='לוח בקרה טכנו-מבצעי'!$B$4,מלאי!AB11='לוח בקרה טכנו-מבצעי'!$B$4,מלאי!AC11='לוח בקרה טכנו-מבצעי'!$B$4),OR('לוח בקרה טכנו-מבצעי'!$B$5="הכל",מלאי!A11='לוח בקרה טכנו-מבצעי'!$B$5),OR('לוח בקרה טכנו-מבצעי'!$B$6="הכל",מלאי!B11='לוח בקרה טכנו-מבצעי'!$B$6),OR('לוח בקרה טכנו-מבצעי'!$B$7="הכל",מלאי!F11='לוח בקרה טכנו-מבצעי'!$B$7,מלאי!G11='לוח בקרה טכנו-מבצעי'!$B$7),OR('לוח בקרה טכנו-מבצעי'!$B$8="הכל",מלאי!T11='לוח בקרה טכנו-מבצעי'!$B$8),OR('לוח בקרה טכנו-מבצעי'!$B$9="הכל",מלאי!Q11='לוח בקרה טכנו-מבצעי'!$B$9),OR('לוח בקרה טכנו-מבצעי'!$E$4="הכל",מלאי!J11='לוח בקרה טכנו-מבצעי'!$E$4),OR('לוח בקרה טכנו-מבצעי'!$E$5="הכל",מלאי!L11='לוח בקרה טכנו-מבצעי'!$E$5),OR('לוח בקרה טכנו-מבצעי'!$E$6="הכל",מלאי!O11='לוח בקרה טכנו-מבצעי'!$E$6),OR('לוח בקרה טכנו-מבצעי'!$E$7="הכל",מלאי!R11='לוח בקרה טכנו-מבצעי'!$E$7),OR('לוח בקרה טכנו-מבצעי'!$E$8="הכל",'לוח בקרה טכנו-מבצעי'!$E$8="",מלאי!W11='לוח בקרה טכנו-מבצעי'!$E$8),OR('לוח בקרה טכנו-מבצעי'!$E$9="הכל",'לוח בקרה טכנו-מבצעי'!$E$9="",ISNUMBER(SEARCH('לוח בקרה טכנו-מבצעי'!$E$9,מלאי!C11))),OR('לוח בקרה טכנו-מבצעי'!$B$10="הכל",מלאי!#REF!='לוח בקרה טכנו-מבצעי'!$B$10)),1,0)</f>
        <v>#REF!</v>
      </c>
      <c r="AF11" t="str">
        <f>IF(AD11=1,COUNTIF($AD$3:$AD11,1),"")</f>
        <v/>
      </c>
      <c r="AG11" t="e">
        <f>IF(AE11=1,COUNTIF($AE$3:$AE11,1),"")</f>
        <v>#REF!</v>
      </c>
    </row>
    <row r="12" spans="1:33" ht="15" customHeight="1" x14ac:dyDescent="0.25">
      <c r="A12" s="19" t="s">
        <v>62</v>
      </c>
      <c r="B12" s="19" t="s">
        <v>72</v>
      </c>
      <c r="C12" s="19" t="s">
        <v>64</v>
      </c>
      <c r="D12" s="19" t="s">
        <v>385</v>
      </c>
      <c r="E12" s="19" t="str">
        <f>IFERROR(INDEX(הגדרות!$I$2:$I$47,MATCH(B12,הגדרות!$H$2:$H$47,0)),"")</f>
        <v>7030-01</v>
      </c>
      <c r="F12" s="19" t="s">
        <v>73</v>
      </c>
      <c r="G12" s="19"/>
      <c r="H12" s="19" t="s">
        <v>74</v>
      </c>
      <c r="I12" s="19" t="s">
        <v>77</v>
      </c>
      <c r="J12" s="19" t="s">
        <v>68</v>
      </c>
      <c r="K12" s="19" t="s">
        <v>68</v>
      </c>
      <c r="L12" s="19" t="s">
        <v>68</v>
      </c>
      <c r="M12" s="19" t="s">
        <v>68</v>
      </c>
      <c r="N12" s="19"/>
      <c r="O12" s="19" t="s">
        <v>14</v>
      </c>
      <c r="P12" s="19"/>
      <c r="Q12" s="19" t="s">
        <v>14</v>
      </c>
      <c r="R12" s="19"/>
      <c r="S12" s="19" t="s">
        <v>14</v>
      </c>
      <c r="T12" s="19" t="s">
        <v>69</v>
      </c>
      <c r="U12" s="19"/>
      <c r="V12" s="19"/>
      <c r="W12" s="19"/>
      <c r="X12" s="19"/>
      <c r="Y12" s="19"/>
      <c r="Z12" t="str">
        <f>IFERROR(INDEX(הגדרות!$B$2:$B$17,MATCH(H12,הגדרות!$A$2:$A$17,0)),"")</f>
        <v>מיוער</v>
      </c>
      <c r="AA12">
        <f>IFERROR(INDEX(הגדרות!$C$2:$C$17,MATCH(H12,הגדרות!$A$2:$A$17,0)),"")</f>
        <v>0</v>
      </c>
      <c r="AB12" t="str">
        <f>IFERROR(INDEX(הגדרות!$B$2:$B$17,MATCH(I12,הגדרות!$A$2:$A$17,0)),"")</f>
        <v>מדברי</v>
      </c>
      <c r="AC12">
        <f>IFERROR(INDEX(הגדרות!$C$2:$C$17,MATCH(I12,הגדרות!$A$2:$A$17,0)),"")</f>
        <v>0</v>
      </c>
      <c r="AD12">
        <f>IF(AND(מלאי!D12&lt;&gt;"",OR('לוח בקרה'!$B$4="הכל",מלאי!Z12='לוח בקרה'!$B$4,מלאי!AA12='לוח בקרה'!$B$4,מלאי!AB12='לוח בקרה'!$B$4,מלאי!AC12='לוח בקרה'!$B$4),OR('לוח בקרה'!$B$5="הכל",מלאי!A12='לוח בקרה'!$B$5),OR('לוח בקרה'!$B$6="הכל",מלאי!B12='לוח בקרה'!$B$6),OR('לוח בקרה'!$B$7="הכל",מלאי!F12='לוח בקרה'!$B$7,מלאי!G12='לוח בקרה'!$B$7),OR('לוח בקרה'!$B$8="הכל",מלאי!T12='לוח בקרה'!$B$8),OR('לוח בקרה'!$B$9="הכל",מלאי!Q12='לוח בקרה'!$B$9),OR('לוח בקרה'!$E$4="הכל",מלאי!J12='לוח בקרה'!$E$4),OR('לוח בקרה'!$E$5="הכל",מלאי!L12='לוח בקרה'!$E$5),OR('לוח בקרה'!$E$6="הכל",מלאי!O12='לוח בקרה'!$E$6),OR('לוח בקרה'!$E$7="הכל",מלאי!R12='לוח בקרה'!$E$7),OR('לוח בקרה'!$E$8="הכל",'לוח בקרה'!$E$8="",מלאי!W12='לוח בקרה'!$E$8),OR('לוח בקרה'!$E$9="הכל",'לוח בקרה'!$E$9="",ISNUMBER(SEARCH('לוח בקרה'!$E$9,מלאי!C12)))),1,0)</f>
        <v>0</v>
      </c>
      <c r="AE12" t="e">
        <f>IF(AND(מלאי!D12&lt;&gt;"",OR('לוח בקרה טכנו-מבצעי'!$B$4="הכל",מלאי!Z12='לוח בקרה טכנו-מבצעי'!$B$4,מלאי!AA12='לוח בקרה טכנו-מבצעי'!$B$4,מלאי!AB12='לוח בקרה טכנו-מבצעי'!$B$4,מלאי!AC12='לוח בקרה טכנו-מבצעי'!$B$4),OR('לוח בקרה טכנו-מבצעי'!$B$5="הכל",מלאי!A12='לוח בקרה טכנו-מבצעי'!$B$5),OR('לוח בקרה טכנו-מבצעי'!$B$6="הכל",מלאי!B12='לוח בקרה טכנו-מבצעי'!$B$6),OR('לוח בקרה טכנו-מבצעי'!$B$7="הכל",מלאי!F12='לוח בקרה טכנו-מבצעי'!$B$7,מלאי!G12='לוח בקרה טכנו-מבצעי'!$B$7),OR('לוח בקרה טכנו-מבצעי'!$B$8="הכל",מלאי!T12='לוח בקרה טכנו-מבצעי'!$B$8),OR('לוח בקרה טכנו-מבצעי'!$B$9="הכל",מלאי!Q12='לוח בקרה טכנו-מבצעי'!$B$9),OR('לוח בקרה טכנו-מבצעי'!$E$4="הכל",מלאי!J12='לוח בקרה טכנו-מבצעי'!$E$4),OR('לוח בקרה טכנו-מבצעי'!$E$5="הכל",מלאי!L12='לוח בקרה טכנו-מבצעי'!$E$5),OR('לוח בקרה טכנו-מבצעי'!$E$6="הכל",מלאי!O12='לוח בקרה טכנו-מבצעי'!$E$6),OR('לוח בקרה טכנו-מבצעי'!$E$7="הכל",מלאי!R12='לוח בקרה טכנו-מבצעי'!$E$7),OR('לוח בקרה טכנו-מבצעי'!$E$8="הכל",'לוח בקרה טכנו-מבצעי'!$E$8="",מלאי!W12='לוח בקרה טכנו-מבצעי'!$E$8),OR('לוח בקרה טכנו-מבצעי'!$E$9="הכל",'לוח בקרה טכנו-מבצעי'!$E$9="",ISNUMBER(SEARCH('לוח בקרה טכנו-מבצעי'!$E$9,מלאי!C12))),OR('לוח בקרה טכנו-מבצעי'!$B$10="הכל",מלאי!#REF!='לוח בקרה טכנו-מבצעי'!$B$10)),1,0)</f>
        <v>#REF!</v>
      </c>
      <c r="AF12" t="str">
        <f>IF(AD12=1,COUNTIF($AD$3:$AD12,1),"")</f>
        <v/>
      </c>
      <c r="AG12" t="e">
        <f>IF(AE12=1,COUNTIF($AE$3:$AE12,1),"")</f>
        <v>#REF!</v>
      </c>
    </row>
    <row r="13" spans="1:33" ht="15" customHeight="1" x14ac:dyDescent="0.25">
      <c r="A13" s="17" t="s">
        <v>62</v>
      </c>
      <c r="B13" s="17" t="s">
        <v>72</v>
      </c>
      <c r="C13" s="17" t="s">
        <v>64</v>
      </c>
      <c r="D13" s="17" t="s">
        <v>382</v>
      </c>
      <c r="E13" s="17" t="str">
        <f>IFERROR(INDEX(הגדרות!$I$2:$I$47,MATCH(B13,הגדרות!$H$2:$H$47,0)),"")</f>
        <v>7030-01</v>
      </c>
      <c r="F13" s="17" t="s">
        <v>73</v>
      </c>
      <c r="G13" s="17"/>
      <c r="H13" s="17" t="s">
        <v>74</v>
      </c>
      <c r="I13" s="17" t="s">
        <v>77</v>
      </c>
      <c r="J13" s="17" t="s">
        <v>68</v>
      </c>
      <c r="K13" s="17" t="s">
        <v>68</v>
      </c>
      <c r="L13" s="17" t="s">
        <v>68</v>
      </c>
      <c r="M13" s="17" t="s">
        <v>68</v>
      </c>
      <c r="N13" s="17"/>
      <c r="O13" s="17" t="s">
        <v>14</v>
      </c>
      <c r="P13" s="17"/>
      <c r="Q13" s="17" t="s">
        <v>14</v>
      </c>
      <c r="R13" s="17"/>
      <c r="S13" s="17" t="s">
        <v>14</v>
      </c>
      <c r="T13" s="17" t="s">
        <v>69</v>
      </c>
      <c r="U13" s="17"/>
      <c r="V13" s="17"/>
      <c r="W13" s="17"/>
      <c r="X13" s="17"/>
      <c r="Y13" s="17"/>
      <c r="Z13" t="str">
        <f>IFERROR(INDEX(הגדרות!$B$2:$B$17,MATCH(H13,הגדרות!$A$2:$A$17,0)),"")</f>
        <v>מיוער</v>
      </c>
      <c r="AA13">
        <f>IFERROR(INDEX(הגדרות!$C$2:$C$17,MATCH(H13,הגדרות!$A$2:$A$17,0)),"")</f>
        <v>0</v>
      </c>
      <c r="AB13" t="str">
        <f>IFERROR(INDEX(הגדרות!$B$2:$B$17,MATCH(I13,הגדרות!$A$2:$A$17,0)),"")</f>
        <v>מדברי</v>
      </c>
      <c r="AC13">
        <f>IFERROR(INDEX(הגדרות!$C$2:$C$17,MATCH(I13,הגדרות!$A$2:$A$17,0)),"")</f>
        <v>0</v>
      </c>
      <c r="AD13">
        <f>IF(AND(מלאי!D13&lt;&gt;"",OR('לוח בקרה'!$B$4="הכל",מלאי!Z13='לוח בקרה'!$B$4,מלאי!AA13='לוח בקרה'!$B$4,מלאי!AB13='לוח בקרה'!$B$4,מלאי!AC13='לוח בקרה'!$B$4),OR('לוח בקרה'!$B$5="הכל",מלאי!A13='לוח בקרה'!$B$5),OR('לוח בקרה'!$B$6="הכל",מלאי!B13='לוח בקרה'!$B$6),OR('לוח בקרה'!$B$7="הכל",מלאי!F13='לוח בקרה'!$B$7,מלאי!G13='לוח בקרה'!$B$7),OR('לוח בקרה'!$B$8="הכל",מלאי!T13='לוח בקרה'!$B$8),OR('לוח בקרה'!$B$9="הכל",מלאי!Q13='לוח בקרה'!$B$9),OR('לוח בקרה'!$E$4="הכל",מלאי!J13='לוח בקרה'!$E$4),OR('לוח בקרה'!$E$5="הכל",מלאי!L13='לוח בקרה'!$E$5),OR('לוח בקרה'!$E$6="הכל",מלאי!O13='לוח בקרה'!$E$6),OR('לוח בקרה'!$E$7="הכל",מלאי!R13='לוח בקרה'!$E$7),OR('לוח בקרה'!$E$8="הכל",'לוח בקרה'!$E$8="",מלאי!W13='לוח בקרה'!$E$8),OR('לוח בקרה'!$E$9="הכל",'לוח בקרה'!$E$9="",ISNUMBER(SEARCH('לוח בקרה'!$E$9,מלאי!C13)))),1,0)</f>
        <v>0</v>
      </c>
      <c r="AE13" t="e">
        <f>IF(AND(מלאי!D13&lt;&gt;"",OR('לוח בקרה טכנו-מבצעי'!$B$4="הכל",מלאי!Z13='לוח בקרה טכנו-מבצעי'!$B$4,מלאי!AA13='לוח בקרה טכנו-מבצעי'!$B$4,מלאי!AB13='לוח בקרה טכנו-מבצעי'!$B$4,מלאי!AC13='לוח בקרה טכנו-מבצעי'!$B$4),OR('לוח בקרה טכנו-מבצעי'!$B$5="הכל",מלאי!A13='לוח בקרה טכנו-מבצעי'!$B$5),OR('לוח בקרה טכנו-מבצעי'!$B$6="הכל",מלאי!B13='לוח בקרה טכנו-מבצעי'!$B$6),OR('לוח בקרה טכנו-מבצעי'!$B$7="הכל",מלאי!F13='לוח בקרה טכנו-מבצעי'!$B$7,מלאי!G13='לוח בקרה טכנו-מבצעי'!$B$7),OR('לוח בקרה טכנו-מבצעי'!$B$8="הכל",מלאי!T13='לוח בקרה טכנו-מבצעי'!$B$8),OR('לוח בקרה טכנו-מבצעי'!$B$9="הכל",מלאי!Q13='לוח בקרה טכנו-מבצעי'!$B$9),OR('לוח בקרה טכנו-מבצעי'!$E$4="הכל",מלאי!J13='לוח בקרה טכנו-מבצעי'!$E$4),OR('לוח בקרה טכנו-מבצעי'!$E$5="הכל",מלאי!L13='לוח בקרה טכנו-מבצעי'!$E$5),OR('לוח בקרה טכנו-מבצעי'!$E$6="הכל",מלאי!O13='לוח בקרה טכנו-מבצעי'!$E$6),OR('לוח בקרה טכנו-מבצעי'!$E$7="הכל",מלאי!R13='לוח בקרה טכנו-מבצעי'!$E$7),OR('לוח בקרה טכנו-מבצעי'!$E$8="הכל",'לוח בקרה טכנו-מבצעי'!$E$8="",מלאי!W13='לוח בקרה טכנו-מבצעי'!$E$8),OR('לוח בקרה טכנו-מבצעי'!$E$9="הכל",'לוח בקרה טכנו-מבצעי'!$E$9="",ISNUMBER(SEARCH('לוח בקרה טכנו-מבצעי'!$E$9,מלאי!C13))),OR('לוח בקרה טכנו-מבצעי'!$B$10="הכל",מלאי!#REF!='לוח בקרה טכנו-מבצעי'!$B$10)),1,0)</f>
        <v>#REF!</v>
      </c>
      <c r="AF13" t="str">
        <f>IF(AD13=1,COUNTIF($AD$3:$AD13,1),"")</f>
        <v/>
      </c>
      <c r="AG13" t="e">
        <f>IF(AE13=1,COUNTIF($AE$3:$AE13,1),"")</f>
        <v>#REF!</v>
      </c>
    </row>
    <row r="14" spans="1:33" ht="15" customHeight="1" x14ac:dyDescent="0.25">
      <c r="A14" s="19" t="s">
        <v>62</v>
      </c>
      <c r="B14" s="19" t="s">
        <v>72</v>
      </c>
      <c r="C14" s="19" t="s">
        <v>64</v>
      </c>
      <c r="D14" s="19" t="s">
        <v>386</v>
      </c>
      <c r="E14" s="19" t="str">
        <f>IFERROR(INDEX(הגדרות!$I$2:$I$47,MATCH(B14,הגדרות!$H$2:$H$47,0)),"")</f>
        <v>7030-01</v>
      </c>
      <c r="F14" s="19" t="s">
        <v>73</v>
      </c>
      <c r="G14" s="19"/>
      <c r="H14" s="19" t="s">
        <v>74</v>
      </c>
      <c r="I14" s="19" t="s">
        <v>77</v>
      </c>
      <c r="J14" s="19" t="s">
        <v>68</v>
      </c>
      <c r="K14" s="19" t="s">
        <v>68</v>
      </c>
      <c r="L14" s="19" t="s">
        <v>68</v>
      </c>
      <c r="M14" s="19" t="s">
        <v>68</v>
      </c>
      <c r="N14" s="19"/>
      <c r="O14" s="19" t="s">
        <v>14</v>
      </c>
      <c r="P14" s="19"/>
      <c r="Q14" s="19" t="s">
        <v>14</v>
      </c>
      <c r="R14" s="19"/>
      <c r="S14" s="19" t="s">
        <v>14</v>
      </c>
      <c r="T14" s="19" t="s">
        <v>70</v>
      </c>
      <c r="U14" s="19"/>
      <c r="V14" s="19"/>
      <c r="W14" s="19"/>
      <c r="X14" s="19"/>
      <c r="Y14" s="19"/>
      <c r="Z14" t="str">
        <f>IFERROR(INDEX(הגדרות!$B$2:$B$17,MATCH(H14,הגדרות!$A$2:$A$17,0)),"")</f>
        <v>מיוער</v>
      </c>
      <c r="AA14">
        <f>IFERROR(INDEX(הגדרות!$C$2:$C$17,MATCH(H14,הגדרות!$A$2:$A$17,0)),"")</f>
        <v>0</v>
      </c>
      <c r="AB14" t="str">
        <f>IFERROR(INDEX(הגדרות!$B$2:$B$17,MATCH(I14,הגדרות!$A$2:$A$17,0)),"")</f>
        <v>מדברי</v>
      </c>
      <c r="AC14">
        <f>IFERROR(INDEX(הגדרות!$C$2:$C$17,MATCH(I14,הגדרות!$A$2:$A$17,0)),"")</f>
        <v>0</v>
      </c>
      <c r="AD14">
        <f>IF(AND(מלאי!D14&lt;&gt;"",OR('לוח בקרה'!$B$4="הכל",מלאי!Z14='לוח בקרה'!$B$4,מלאי!AA14='לוח בקרה'!$B$4,מלאי!AB14='לוח בקרה'!$B$4,מלאי!AC14='לוח בקרה'!$B$4),OR('לוח בקרה'!$B$5="הכל",מלאי!A14='לוח בקרה'!$B$5),OR('לוח בקרה'!$B$6="הכל",מלאי!B14='לוח בקרה'!$B$6),OR('לוח בקרה'!$B$7="הכל",מלאי!F14='לוח בקרה'!$B$7,מלאי!G14='לוח בקרה'!$B$7),OR('לוח בקרה'!$B$8="הכל",מלאי!T14='לוח בקרה'!$B$8),OR('לוח בקרה'!$B$9="הכל",מלאי!Q14='לוח בקרה'!$B$9),OR('לוח בקרה'!$E$4="הכל",מלאי!J14='לוח בקרה'!$E$4),OR('לוח בקרה'!$E$5="הכל",מלאי!L14='לוח בקרה'!$E$5),OR('לוח בקרה'!$E$6="הכל",מלאי!O14='לוח בקרה'!$E$6),OR('לוח בקרה'!$E$7="הכל",מלאי!R14='לוח בקרה'!$E$7),OR('לוח בקרה'!$E$8="הכל",'לוח בקרה'!$E$8="",מלאי!W14='לוח בקרה'!$E$8),OR('לוח בקרה'!$E$9="הכל",'לוח בקרה'!$E$9="",ISNUMBER(SEARCH('לוח בקרה'!$E$9,מלאי!C14)))),1,0)</f>
        <v>0</v>
      </c>
      <c r="AE14" t="e">
        <f>IF(AND(מלאי!D14&lt;&gt;"",OR('לוח בקרה טכנו-מבצעי'!$B$4="הכל",מלאי!Z14='לוח בקרה טכנו-מבצעי'!$B$4,מלאי!AA14='לוח בקרה טכנו-מבצעי'!$B$4,מלאי!AB14='לוח בקרה טכנו-מבצעי'!$B$4,מלאי!AC14='לוח בקרה טכנו-מבצעי'!$B$4),OR('לוח בקרה טכנו-מבצעי'!$B$5="הכל",מלאי!A14='לוח בקרה טכנו-מבצעי'!$B$5),OR('לוח בקרה טכנו-מבצעי'!$B$6="הכל",מלאי!B14='לוח בקרה טכנו-מבצעי'!$B$6),OR('לוח בקרה טכנו-מבצעי'!$B$7="הכל",מלאי!F14='לוח בקרה טכנו-מבצעי'!$B$7,מלאי!G14='לוח בקרה טכנו-מבצעי'!$B$7),OR('לוח בקרה טכנו-מבצעי'!$B$8="הכל",מלאי!T14='לוח בקרה טכנו-מבצעי'!$B$8),OR('לוח בקרה טכנו-מבצעי'!$B$9="הכל",מלאי!Q14='לוח בקרה טכנו-מבצעי'!$B$9),OR('לוח בקרה טכנו-מבצעי'!$E$4="הכל",מלאי!J14='לוח בקרה טכנו-מבצעי'!$E$4),OR('לוח בקרה טכנו-מבצעי'!$E$5="הכל",מלאי!L14='לוח בקרה טכנו-מבצעי'!$E$5),OR('לוח בקרה טכנו-מבצעי'!$E$6="הכל",מלאי!O14='לוח בקרה טכנו-מבצעי'!$E$6),OR('לוח בקרה טכנו-מבצעי'!$E$7="הכל",מלאי!R14='לוח בקרה טכנו-מבצעי'!$E$7),OR('לוח בקרה טכנו-מבצעי'!$E$8="הכל",'לוח בקרה טכנו-מבצעי'!$E$8="",מלאי!W14='לוח בקרה טכנו-מבצעי'!$E$8),OR('לוח בקרה טכנו-מבצעי'!$E$9="הכל",'לוח בקרה טכנו-מבצעי'!$E$9="",ISNUMBER(SEARCH('לוח בקרה טכנו-מבצעי'!$E$9,מלאי!C14))),OR('לוח בקרה טכנו-מבצעי'!$B$10="הכל",מלאי!#REF!='לוח בקרה טכנו-מבצעי'!$B$10)),1,0)</f>
        <v>#REF!</v>
      </c>
      <c r="AF14" t="str">
        <f>IF(AD14=1,COUNTIF($AD$3:$AD14,1),"")</f>
        <v/>
      </c>
      <c r="AG14" t="e">
        <f>IF(AE14=1,COUNTIF($AE$3:$AE14,1),"")</f>
        <v>#REF!</v>
      </c>
    </row>
    <row r="15" spans="1:33" ht="15" customHeight="1" x14ac:dyDescent="0.25">
      <c r="A15" s="17" t="s">
        <v>62</v>
      </c>
      <c r="B15" s="17" t="s">
        <v>72</v>
      </c>
      <c r="C15" s="17" t="s">
        <v>64</v>
      </c>
      <c r="D15" s="17" t="s">
        <v>387</v>
      </c>
      <c r="E15" s="17" t="str">
        <f>IFERROR(INDEX(הגדרות!$I$2:$I$47,MATCH(B15,הגדרות!$H$2:$H$47,0)),"")</f>
        <v>7030-01</v>
      </c>
      <c r="F15" s="17" t="s">
        <v>73</v>
      </c>
      <c r="G15" s="17"/>
      <c r="H15" s="17" t="s">
        <v>74</v>
      </c>
      <c r="I15" s="17" t="s">
        <v>67</v>
      </c>
      <c r="J15" s="17" t="s">
        <v>68</v>
      </c>
      <c r="K15" s="17" t="s">
        <v>68</v>
      </c>
      <c r="L15" s="17" t="s">
        <v>68</v>
      </c>
      <c r="M15" s="17" t="s">
        <v>68</v>
      </c>
      <c r="N15" s="17" t="s">
        <v>14</v>
      </c>
      <c r="O15" s="17" t="s">
        <v>14</v>
      </c>
      <c r="P15" s="17" t="s">
        <v>75</v>
      </c>
      <c r="Q15" s="17" t="s">
        <v>14</v>
      </c>
      <c r="R15" s="17"/>
      <c r="S15" s="17" t="s">
        <v>14</v>
      </c>
      <c r="T15" s="17" t="s">
        <v>69</v>
      </c>
      <c r="U15" s="17" t="s">
        <v>76</v>
      </c>
      <c r="V15" s="17"/>
      <c r="W15" s="17"/>
      <c r="X15" s="17"/>
      <c r="Y15" s="17"/>
      <c r="Z15" t="str">
        <f>IFERROR(INDEX(הגדרות!$B$2:$B$17,MATCH(H15,הגדרות!$A$2:$A$17,0)),"")</f>
        <v>מיוער</v>
      </c>
      <c r="AA15">
        <f>IFERROR(INDEX(הגדרות!$C$2:$C$17,MATCH(H15,הגדרות!$A$2:$A$17,0)),"")</f>
        <v>0</v>
      </c>
      <c r="AB15" t="str">
        <f>IFERROR(INDEX(הגדרות!$B$2:$B$17,MATCH(I15,הגדרות!$A$2:$A$17,0)),"")</f>
        <v>מדברי</v>
      </c>
      <c r="AC15">
        <f>IFERROR(INDEX(הגדרות!$C$2:$C$17,MATCH(I15,הגדרות!$A$2:$A$17,0)),"")</f>
        <v>0</v>
      </c>
      <c r="AD15">
        <f>IF(AND(מלאי!D15&lt;&gt;"",OR('לוח בקרה'!$B$4="הכל",מלאי!Z15='לוח בקרה'!$B$4,מלאי!AA15='לוח בקרה'!$B$4,מלאי!AB15='לוח בקרה'!$B$4,מלאי!AC15='לוח בקרה'!$B$4),OR('לוח בקרה'!$B$5="הכל",מלאי!A15='לוח בקרה'!$B$5),OR('לוח בקרה'!$B$6="הכל",מלאי!B15='לוח בקרה'!$B$6),OR('לוח בקרה'!$B$7="הכל",מלאי!F15='לוח בקרה'!$B$7,מלאי!G15='לוח בקרה'!$B$7),OR('לוח בקרה'!$B$8="הכל",מלאי!T15='לוח בקרה'!$B$8),OR('לוח בקרה'!$B$9="הכל",מלאי!Q15='לוח בקרה'!$B$9),OR('לוח בקרה'!$E$4="הכל",מלאי!J15='לוח בקרה'!$E$4),OR('לוח בקרה'!$E$5="הכל",מלאי!L15='לוח בקרה'!$E$5),OR('לוח בקרה'!$E$6="הכל",מלאי!O15='לוח בקרה'!$E$6),OR('לוח בקרה'!$E$7="הכל",מלאי!R15='לוח בקרה'!$E$7),OR('לוח בקרה'!$E$8="הכל",'לוח בקרה'!$E$8="",מלאי!W15='לוח בקרה'!$E$8),OR('לוח בקרה'!$E$9="הכל",'לוח בקרה'!$E$9="",ISNUMBER(SEARCH('לוח בקרה'!$E$9,מלאי!C15)))),1,0)</f>
        <v>0</v>
      </c>
      <c r="AE15" t="e">
        <f>IF(AND(מלאי!D15&lt;&gt;"",OR('לוח בקרה טכנו-מבצעי'!$B$4="הכל",מלאי!Z15='לוח בקרה טכנו-מבצעי'!$B$4,מלאי!AA15='לוח בקרה טכנו-מבצעי'!$B$4,מלאי!AB15='לוח בקרה טכנו-מבצעי'!$B$4,מלאי!AC15='לוח בקרה טכנו-מבצעי'!$B$4),OR('לוח בקרה טכנו-מבצעי'!$B$5="הכל",מלאי!A15='לוח בקרה טכנו-מבצעי'!$B$5),OR('לוח בקרה טכנו-מבצעי'!$B$6="הכל",מלאי!B15='לוח בקרה טכנו-מבצעי'!$B$6),OR('לוח בקרה טכנו-מבצעי'!$B$7="הכל",מלאי!F15='לוח בקרה טכנו-מבצעי'!$B$7,מלאי!G15='לוח בקרה טכנו-מבצעי'!$B$7),OR('לוח בקרה טכנו-מבצעי'!$B$8="הכל",מלאי!T15='לוח בקרה טכנו-מבצעי'!$B$8),OR('לוח בקרה טכנו-מבצעי'!$B$9="הכל",מלאי!Q15='לוח בקרה טכנו-מבצעי'!$B$9),OR('לוח בקרה טכנו-מבצעי'!$E$4="הכל",מלאי!J15='לוח בקרה טכנו-מבצעי'!$E$4),OR('לוח בקרה טכנו-מבצעי'!$E$5="הכל",מלאי!L15='לוח בקרה טכנו-מבצעי'!$E$5),OR('לוח בקרה טכנו-מבצעי'!$E$6="הכל",מלאי!O15='לוח בקרה טכנו-מבצעי'!$E$6),OR('לוח בקרה טכנו-מבצעי'!$E$7="הכל",מלאי!R15='לוח בקרה טכנו-מבצעי'!$E$7),OR('לוח בקרה טכנו-מבצעי'!$E$8="הכל",'לוח בקרה טכנו-מבצעי'!$E$8="",מלאי!W15='לוח בקרה טכנו-מבצעי'!$E$8),OR('לוח בקרה טכנו-מבצעי'!$E$9="הכל",'לוח בקרה טכנו-מבצעי'!$E$9="",ISNUMBER(SEARCH('לוח בקרה טכנו-מבצעי'!$E$9,מלאי!C15))),OR('לוח בקרה טכנו-מבצעי'!$B$10="הכל",מלאי!#REF!='לוח בקרה טכנו-מבצעי'!$B$10)),1,0)</f>
        <v>#REF!</v>
      </c>
      <c r="AF15" t="str">
        <f>IF(AD15=1,COUNTIF($AD$3:$AD15,1),"")</f>
        <v/>
      </c>
      <c r="AG15" t="e">
        <f>IF(AE15=1,COUNTIF($AE$3:$AE15,1),"")</f>
        <v>#REF!</v>
      </c>
    </row>
    <row r="16" spans="1:33" ht="23.25" customHeight="1" x14ac:dyDescent="0.25">
      <c r="A16" s="19" t="s">
        <v>62</v>
      </c>
      <c r="B16" s="19" t="s">
        <v>78</v>
      </c>
      <c r="C16" s="19" t="s">
        <v>64</v>
      </c>
      <c r="D16" s="31" t="s">
        <v>290</v>
      </c>
      <c r="E16" s="19" t="str">
        <f>IFERROR(INDEX(הגדרות!$I$2:$I$47,MATCH(B16,הגדרות!$H$2:$H$47,0)),"")</f>
        <v>7040-01</v>
      </c>
      <c r="F16" s="19" t="s">
        <v>79</v>
      </c>
      <c r="G16" s="19"/>
      <c r="H16" s="19" t="s">
        <v>74</v>
      </c>
      <c r="I16" s="19" t="s">
        <v>80</v>
      </c>
      <c r="J16" s="19" t="s">
        <v>68</v>
      </c>
      <c r="K16" s="19" t="s">
        <v>68</v>
      </c>
      <c r="L16" s="19" t="s">
        <v>68</v>
      </c>
      <c r="M16" s="19" t="s">
        <v>68</v>
      </c>
      <c r="N16" s="19"/>
      <c r="O16" s="19" t="s">
        <v>68</v>
      </c>
      <c r="P16" s="19"/>
      <c r="Q16" s="19" t="s">
        <v>14</v>
      </c>
      <c r="R16" s="19"/>
      <c r="S16" s="19" t="s">
        <v>14</v>
      </c>
      <c r="T16" s="19" t="s">
        <v>69</v>
      </c>
      <c r="U16" s="19"/>
      <c r="V16" s="19"/>
      <c r="W16" s="19"/>
      <c r="X16" s="19"/>
      <c r="Y16" s="19"/>
      <c r="Z16" t="str">
        <f>IFERROR(INDEX(הגדרות!$B$2:$B$17,MATCH(H16,הגדרות!$A$2:$A$17,0)),"")</f>
        <v>מיוער</v>
      </c>
      <c r="AA16">
        <f>IFERROR(INDEX(הגדרות!$C$2:$C$17,MATCH(H16,הגדרות!$A$2:$A$17,0)),"")</f>
        <v>0</v>
      </c>
      <c r="AB16" t="str">
        <f>IFERROR(INDEX(הגדרות!$B$2:$B$17,MATCH(I16,הגדרות!$A$2:$A$17,0)),"")</f>
        <v>מיוער</v>
      </c>
      <c r="AC16">
        <f>IFERROR(INDEX(הגדרות!$C$2:$C$17,MATCH(I16,הגדרות!$A$2:$A$17,0)),"")</f>
        <v>0</v>
      </c>
      <c r="AD16">
        <f>IF(AND(מלאי!D16&lt;&gt;"",OR('לוח בקרה'!$B$4="הכל",מלאי!Z16='לוח בקרה'!$B$4,מלאי!AA16='לוח בקרה'!$B$4,מלאי!AB16='לוח בקרה'!$B$4,מלאי!AC16='לוח בקרה'!$B$4),OR('לוח בקרה'!$B$5="הכל",מלאי!A16='לוח בקרה'!$B$5),OR('לוח בקרה'!$B$6="הכל",מלאי!B16='לוח בקרה'!$B$6),OR('לוח בקרה'!$B$7="הכל",מלאי!F16='לוח בקרה'!$B$7,מלאי!G16='לוח בקרה'!$B$7),OR('לוח בקרה'!$B$8="הכל",מלאי!T16='לוח בקרה'!$B$8),OR('לוח בקרה'!$B$9="הכל",מלאי!Q16='לוח בקרה'!$B$9),OR('לוח בקרה'!$E$4="הכל",מלאי!J16='לוח בקרה'!$E$4),OR('לוח בקרה'!$E$5="הכל",מלאי!L16='לוח בקרה'!$E$5),OR('לוח בקרה'!$E$6="הכל",מלאי!O16='לוח בקרה'!$E$6),OR('לוח בקרה'!$E$7="הכל",מלאי!R16='לוח בקרה'!$E$7),OR('לוח בקרה'!$E$8="הכל",'לוח בקרה'!$E$8="",מלאי!W16='לוח בקרה'!$E$8),OR('לוח בקרה'!$E$9="הכל",'לוח בקרה'!$E$9="",ISNUMBER(SEARCH('לוח בקרה'!$E$9,מלאי!C16)))),1,0)</f>
        <v>1</v>
      </c>
      <c r="AE16" t="e">
        <f>IF(AND(מלאי!D16&lt;&gt;"",OR('לוח בקרה טכנו-מבצעי'!$B$4="הכל",מלאי!Z16='לוח בקרה טכנו-מבצעי'!$B$4,מלאי!AA16='לוח בקרה טכנו-מבצעי'!$B$4,מלאי!AB16='לוח בקרה טכנו-מבצעי'!$B$4,מלאי!AC16='לוח בקרה טכנו-מבצעי'!$B$4),OR('לוח בקרה טכנו-מבצעי'!$B$5="הכל",מלאי!A16='לוח בקרה טכנו-מבצעי'!$B$5),OR('לוח בקרה טכנו-מבצעי'!$B$6="הכל",מלאי!B16='לוח בקרה טכנו-מבצעי'!$B$6),OR('לוח בקרה טכנו-מבצעי'!$B$7="הכל",מלאי!F16='לוח בקרה טכנו-מבצעי'!$B$7,מלאי!G16='לוח בקרה טכנו-מבצעי'!$B$7),OR('לוח בקרה טכנו-מבצעי'!$B$8="הכל",מלאי!T16='לוח בקרה טכנו-מבצעי'!$B$8),OR('לוח בקרה טכנו-מבצעי'!$B$9="הכל",מלאי!Q16='לוח בקרה טכנו-מבצעי'!$B$9),OR('לוח בקרה טכנו-מבצעי'!$E$4="הכל",מלאי!J16='לוח בקרה טכנו-מבצעי'!$E$4),OR('לוח בקרה טכנו-מבצעי'!$E$5="הכל",מלאי!L16='לוח בקרה טכנו-מבצעי'!$E$5),OR('לוח בקרה טכנו-מבצעי'!$E$6="הכל",מלאי!O16='לוח בקרה טכנו-מבצעי'!$E$6),OR('לוח בקרה טכנו-מבצעי'!$E$7="הכל",מלאי!R16='לוח בקרה טכנו-מבצעי'!$E$7),OR('לוח בקרה טכנו-מבצעי'!$E$8="הכל",'לוח בקרה טכנו-מבצעי'!$E$8="",מלאי!W16='לוח בקרה טכנו-מבצעי'!$E$8),OR('לוח בקרה טכנו-מבצעי'!$E$9="הכל",'לוח בקרה טכנו-מבצעי'!$E$9="",ISNUMBER(SEARCH('לוח בקרה טכנו-מבצעי'!$E$9,מלאי!C16))),OR('לוח בקרה טכנו-מבצעי'!$B$10="הכל",מלאי!#REF!='לוח בקרה טכנו-מבצעי'!$B$10)),1,0)</f>
        <v>#REF!</v>
      </c>
      <c r="AF16">
        <f>IF(AD16=1,COUNTIF($AD$3:$AD16,1),"")</f>
        <v>1</v>
      </c>
      <c r="AG16" t="e">
        <f>IF(AE16=1,COUNTIF($AE$3:$AE16,1),"")</f>
        <v>#REF!</v>
      </c>
    </row>
    <row r="17" spans="1:33" ht="23.25" customHeight="1" x14ac:dyDescent="0.25">
      <c r="A17" s="17" t="s">
        <v>62</v>
      </c>
      <c r="B17" s="17" t="s">
        <v>78</v>
      </c>
      <c r="C17" s="17" t="s">
        <v>64</v>
      </c>
      <c r="D17" s="17" t="s">
        <v>291</v>
      </c>
      <c r="E17" s="17" t="str">
        <f>IFERROR(INDEX(הגדרות!$I$2:$I$47,MATCH(B17,הגדרות!$H$2:$H$47,0)),"")</f>
        <v>7040-01</v>
      </c>
      <c r="F17" s="17" t="s">
        <v>79</v>
      </c>
      <c r="G17" s="17"/>
      <c r="H17" s="17" t="s">
        <v>74</v>
      </c>
      <c r="I17" s="17" t="s">
        <v>80</v>
      </c>
      <c r="J17" s="17" t="s">
        <v>68</v>
      </c>
      <c r="K17" s="17" t="s">
        <v>68</v>
      </c>
      <c r="L17" s="17" t="s">
        <v>68</v>
      </c>
      <c r="M17" s="17" t="s">
        <v>68</v>
      </c>
      <c r="N17" s="17"/>
      <c r="O17" s="17" t="s">
        <v>68</v>
      </c>
      <c r="P17" s="17"/>
      <c r="Q17" s="17" t="s">
        <v>14</v>
      </c>
      <c r="R17" s="17"/>
      <c r="S17" s="17" t="s">
        <v>14</v>
      </c>
      <c r="T17" s="17" t="s">
        <v>69</v>
      </c>
      <c r="U17" s="17"/>
      <c r="V17" s="17"/>
      <c r="W17" s="17"/>
      <c r="X17" s="17"/>
      <c r="Y17" s="17"/>
      <c r="Z17" t="str">
        <f>IFERROR(INDEX(הגדרות!$B$2:$B$17,MATCH(H17,הגדרות!$A$2:$A$17,0)),"")</f>
        <v>מיוער</v>
      </c>
      <c r="AA17">
        <f>IFERROR(INDEX(הגדרות!$C$2:$C$17,MATCH(H17,הגדרות!$A$2:$A$17,0)),"")</f>
        <v>0</v>
      </c>
      <c r="AB17" t="str">
        <f>IFERROR(INDEX(הגדרות!$B$2:$B$17,MATCH(I17,הגדרות!$A$2:$A$17,0)),"")</f>
        <v>מיוער</v>
      </c>
      <c r="AC17">
        <f>IFERROR(INDEX(הגדרות!$C$2:$C$17,MATCH(I17,הגדרות!$A$2:$A$17,0)),"")</f>
        <v>0</v>
      </c>
      <c r="AD17">
        <f>IF(AND(מלאי!D17&lt;&gt;"",OR('לוח בקרה'!$B$4="הכל",מלאי!Z17='לוח בקרה'!$B$4,מלאי!AA17='לוח בקרה'!$B$4,מלאי!AB17='לוח בקרה'!$B$4,מלאי!AC17='לוח בקרה'!$B$4),OR('לוח בקרה'!$B$5="הכל",מלאי!A17='לוח בקרה'!$B$5),OR('לוח בקרה'!$B$6="הכל",מלאי!B17='לוח בקרה'!$B$6),OR('לוח בקרה'!$B$7="הכל",מלאי!F17='לוח בקרה'!$B$7,מלאי!G17='לוח בקרה'!$B$7),OR('לוח בקרה'!$B$8="הכל",מלאי!T17='לוח בקרה'!$B$8),OR('לוח בקרה'!$B$9="הכל",מלאי!Q17='לוח בקרה'!$B$9),OR('לוח בקרה'!$E$4="הכל",מלאי!J17='לוח בקרה'!$E$4),OR('לוח בקרה'!$E$5="הכל",מלאי!L17='לוח בקרה'!$E$5),OR('לוח בקרה'!$E$6="הכל",מלאי!O17='לוח בקרה'!$E$6),OR('לוח בקרה'!$E$7="הכל",מלאי!R17='לוח בקרה'!$E$7),OR('לוח בקרה'!$E$8="הכל",'לוח בקרה'!$E$8="",מלאי!W17='לוח בקרה'!$E$8),OR('לוח בקרה'!$E$9="הכל",'לוח בקרה'!$E$9="",ISNUMBER(SEARCH('לוח בקרה'!$E$9,מלאי!C17)))),1,0)</f>
        <v>1</v>
      </c>
      <c r="AE17" t="e">
        <f>IF(AND(מלאי!D17&lt;&gt;"",OR('לוח בקרה טכנו-מבצעי'!$B$4="הכל",מלאי!Z17='לוח בקרה טכנו-מבצעי'!$B$4,מלאי!AA17='לוח בקרה טכנו-מבצעי'!$B$4,מלאי!AB17='לוח בקרה טכנו-מבצעי'!$B$4,מלאי!AC17='לוח בקרה טכנו-מבצעי'!$B$4),OR('לוח בקרה טכנו-מבצעי'!$B$5="הכל",מלאי!A17='לוח בקרה טכנו-מבצעי'!$B$5),OR('לוח בקרה טכנו-מבצעי'!$B$6="הכל",מלאי!B17='לוח בקרה טכנו-מבצעי'!$B$6),OR('לוח בקרה טכנו-מבצעי'!$B$7="הכל",מלאי!F17='לוח בקרה טכנו-מבצעי'!$B$7,מלאי!G17='לוח בקרה טכנו-מבצעי'!$B$7),OR('לוח בקרה טכנו-מבצעי'!$B$8="הכל",מלאי!T17='לוח בקרה טכנו-מבצעי'!$B$8),OR('לוח בקרה טכנו-מבצעי'!$B$9="הכל",מלאי!Q17='לוח בקרה טכנו-מבצעי'!$B$9),OR('לוח בקרה טכנו-מבצעי'!$E$4="הכל",מלאי!J17='לוח בקרה טכנו-מבצעי'!$E$4),OR('לוח בקרה טכנו-מבצעי'!$E$5="הכל",מלאי!L17='לוח בקרה טכנו-מבצעי'!$E$5),OR('לוח בקרה טכנו-מבצעי'!$E$6="הכל",מלאי!O17='לוח בקרה טכנו-מבצעי'!$E$6),OR('לוח בקרה טכנו-מבצעי'!$E$7="הכל",מלאי!R17='לוח בקרה טכנו-מבצעי'!$E$7),OR('לוח בקרה טכנו-מבצעי'!$E$8="הכל",'לוח בקרה טכנו-מבצעי'!$E$8="",מלאי!W17='לוח בקרה טכנו-מבצעי'!$E$8),OR('לוח בקרה טכנו-מבצעי'!$E$9="הכל",'לוח בקרה טכנו-מבצעי'!$E$9="",ISNUMBER(SEARCH('לוח בקרה טכנו-מבצעי'!$E$9,מלאי!C17))),OR('לוח בקרה טכנו-מבצעי'!$B$10="הכל",מלאי!#REF!='לוח בקרה טכנו-מבצעי'!$B$10)),1,0)</f>
        <v>#REF!</v>
      </c>
      <c r="AF17">
        <f>IF(AD17=1,COUNTIF($AD$3:$AD17,1),"")</f>
        <v>2</v>
      </c>
      <c r="AG17" t="e">
        <f>IF(AE17=1,COUNTIF($AE$3:$AE17,1),"")</f>
        <v>#REF!</v>
      </c>
    </row>
    <row r="18" spans="1:33" ht="23.25" customHeight="1" x14ac:dyDescent="0.25">
      <c r="A18" s="19" t="s">
        <v>62</v>
      </c>
      <c r="B18" s="19" t="s">
        <v>78</v>
      </c>
      <c r="C18" s="19" t="s">
        <v>64</v>
      </c>
      <c r="D18" s="19" t="s">
        <v>81</v>
      </c>
      <c r="E18" s="19" t="str">
        <f>IFERROR(INDEX(הגדרות!$I$2:$I$47,MATCH(B18,הגדרות!$H$2:$H$47,0)),"")</f>
        <v>7040-01</v>
      </c>
      <c r="F18" s="19" t="s">
        <v>79</v>
      </c>
      <c r="G18" s="19"/>
      <c r="H18" s="19" t="s">
        <v>74</v>
      </c>
      <c r="I18" s="19" t="s">
        <v>80</v>
      </c>
      <c r="J18" s="19" t="s">
        <v>68</v>
      </c>
      <c r="K18" s="19" t="s">
        <v>68</v>
      </c>
      <c r="L18" s="19" t="s">
        <v>68</v>
      </c>
      <c r="M18" s="19" t="s">
        <v>68</v>
      </c>
      <c r="N18" s="19"/>
      <c r="O18" s="19" t="s">
        <v>68</v>
      </c>
      <c r="P18" s="19"/>
      <c r="Q18" s="19" t="s">
        <v>14</v>
      </c>
      <c r="R18" s="19"/>
      <c r="S18" s="19" t="s">
        <v>14</v>
      </c>
      <c r="T18" s="19" t="s">
        <v>70</v>
      </c>
      <c r="U18" s="19"/>
      <c r="V18" s="19"/>
      <c r="W18" s="19"/>
      <c r="X18" s="19"/>
      <c r="Y18" s="19"/>
      <c r="Z18" t="str">
        <f>IFERROR(INDEX(הגדרות!$B$2:$B$17,MATCH(H18,הגדרות!$A$2:$A$17,0)),"")</f>
        <v>מיוער</v>
      </c>
      <c r="AA18">
        <f>IFERROR(INDEX(הגדרות!$C$2:$C$17,MATCH(H18,הגדרות!$A$2:$A$17,0)),"")</f>
        <v>0</v>
      </c>
      <c r="AB18" t="str">
        <f>IFERROR(INDEX(הגדרות!$B$2:$B$17,MATCH(I18,הגדרות!$A$2:$A$17,0)),"")</f>
        <v>מיוער</v>
      </c>
      <c r="AC18">
        <f>IFERROR(INDEX(הגדרות!$C$2:$C$17,MATCH(I18,הגדרות!$A$2:$A$17,0)),"")</f>
        <v>0</v>
      </c>
      <c r="AD18">
        <f>IF(AND(מלאי!D18&lt;&gt;"",OR('לוח בקרה'!$B$4="הכל",מלאי!Z18='לוח בקרה'!$B$4,מלאי!AA18='לוח בקרה'!$B$4,מלאי!AB18='לוח בקרה'!$B$4,מלאי!AC18='לוח בקרה'!$B$4),OR('לוח בקרה'!$B$5="הכל",מלאי!A18='לוח בקרה'!$B$5),OR('לוח בקרה'!$B$6="הכל",מלאי!B18='לוח בקרה'!$B$6),OR('לוח בקרה'!$B$7="הכל",מלאי!F18='לוח בקרה'!$B$7,מלאי!G18='לוח בקרה'!$B$7),OR('לוח בקרה'!$B$8="הכל",מלאי!T18='לוח בקרה'!$B$8),OR('לוח בקרה'!$B$9="הכל",מלאי!Q18='לוח בקרה'!$B$9),OR('לוח בקרה'!$E$4="הכל",מלאי!J18='לוח בקרה'!$E$4),OR('לוח בקרה'!$E$5="הכל",מלאי!L18='לוח בקרה'!$E$5),OR('לוח בקרה'!$E$6="הכל",מלאי!O18='לוח בקרה'!$E$6),OR('לוח בקרה'!$E$7="הכל",מלאי!R18='לוח בקרה'!$E$7),OR('לוח בקרה'!$E$8="הכל",'לוח בקרה'!$E$8="",מלאי!W18='לוח בקרה'!$E$8),OR('לוח בקרה'!$E$9="הכל",'לוח בקרה'!$E$9="",ISNUMBER(SEARCH('לוח בקרה'!$E$9,מלאי!C18)))),1,0)</f>
        <v>1</v>
      </c>
      <c r="AE18" t="e">
        <f>IF(AND(מלאי!D18&lt;&gt;"",OR('לוח בקרה טכנו-מבצעי'!$B$4="הכל",מלאי!Z18='לוח בקרה טכנו-מבצעי'!$B$4,מלאי!AA18='לוח בקרה טכנו-מבצעי'!$B$4,מלאי!AB18='לוח בקרה טכנו-מבצעי'!$B$4,מלאי!AC18='לוח בקרה טכנו-מבצעי'!$B$4),OR('לוח בקרה טכנו-מבצעי'!$B$5="הכל",מלאי!A18='לוח בקרה טכנו-מבצעי'!$B$5),OR('לוח בקרה טכנו-מבצעי'!$B$6="הכל",מלאי!B18='לוח בקרה טכנו-מבצעי'!$B$6),OR('לוח בקרה טכנו-מבצעי'!$B$7="הכל",מלאי!F18='לוח בקרה טכנו-מבצעי'!$B$7,מלאי!G18='לוח בקרה טכנו-מבצעי'!$B$7),OR('לוח בקרה טכנו-מבצעי'!$B$8="הכל",מלאי!T18='לוח בקרה טכנו-מבצעי'!$B$8),OR('לוח בקרה טכנו-מבצעי'!$B$9="הכל",מלאי!Q18='לוח בקרה טכנו-מבצעי'!$B$9),OR('לוח בקרה טכנו-מבצעי'!$E$4="הכל",מלאי!J18='לוח בקרה טכנו-מבצעי'!$E$4),OR('לוח בקרה טכנו-מבצעי'!$E$5="הכל",מלאי!L18='לוח בקרה טכנו-מבצעי'!$E$5),OR('לוח בקרה טכנו-מבצעי'!$E$6="הכל",מלאי!O18='לוח בקרה טכנו-מבצעי'!$E$6),OR('לוח בקרה טכנו-מבצעי'!$E$7="הכל",מלאי!R18='לוח בקרה טכנו-מבצעי'!$E$7),OR('לוח בקרה טכנו-מבצעי'!$E$8="הכל",'לוח בקרה טכנו-מבצעי'!$E$8="",מלאי!W18='לוח בקרה טכנו-מבצעי'!$E$8),OR('לוח בקרה טכנו-מבצעי'!$E$9="הכל",'לוח בקרה טכנו-מבצעי'!$E$9="",ISNUMBER(SEARCH('לוח בקרה טכנו-מבצעי'!$E$9,מלאי!C18))),OR('לוח בקרה טכנו-מבצעי'!$B$10="הכל",מלאי!#REF!='לוח בקרה טכנו-מבצעי'!$B$10)),1,0)</f>
        <v>#REF!</v>
      </c>
      <c r="AF18">
        <f>IF(AD18=1,COUNTIF($AD$3:$AD18,1),"")</f>
        <v>3</v>
      </c>
      <c r="AG18" t="e">
        <f>IF(AE18=1,COUNTIF($AE$3:$AE18,1),"")</f>
        <v>#REF!</v>
      </c>
    </row>
    <row r="19" spans="1:33" ht="23.25" customHeight="1" x14ac:dyDescent="0.25">
      <c r="A19" s="17" t="s">
        <v>62</v>
      </c>
      <c r="B19" s="17" t="s">
        <v>78</v>
      </c>
      <c r="C19" s="17" t="s">
        <v>64</v>
      </c>
      <c r="D19" s="17" t="s">
        <v>82</v>
      </c>
      <c r="E19" s="17" t="str">
        <f>IFERROR(INDEX(הגדרות!$I$2:$I$47,MATCH(B19,הגדרות!$H$2:$H$47,0)),"")</f>
        <v>7040-01</v>
      </c>
      <c r="F19" s="17" t="s">
        <v>79</v>
      </c>
      <c r="G19" s="17"/>
      <c r="H19" s="17" t="s">
        <v>74</v>
      </c>
      <c r="I19" s="17" t="s">
        <v>80</v>
      </c>
      <c r="J19" s="17" t="s">
        <v>68</v>
      </c>
      <c r="K19" s="17" t="s">
        <v>68</v>
      </c>
      <c r="L19" s="17" t="s">
        <v>68</v>
      </c>
      <c r="M19" s="17" t="s">
        <v>68</v>
      </c>
      <c r="N19" s="17"/>
      <c r="O19" s="17" t="s">
        <v>68</v>
      </c>
      <c r="P19" s="17"/>
      <c r="Q19" s="17" t="s">
        <v>14</v>
      </c>
      <c r="R19" s="17"/>
      <c r="S19" s="17" t="s">
        <v>14</v>
      </c>
      <c r="T19" s="17" t="s">
        <v>69</v>
      </c>
      <c r="U19" s="17"/>
      <c r="V19" s="17"/>
      <c r="W19" s="17"/>
      <c r="X19" s="17"/>
      <c r="Y19" s="17"/>
      <c r="Z19" t="str">
        <f>IFERROR(INDEX(הגדרות!$B$2:$B$17,MATCH(H19,הגדרות!$A$2:$A$17,0)),"")</f>
        <v>מיוער</v>
      </c>
      <c r="AA19">
        <f>IFERROR(INDEX(הגדרות!$C$2:$C$17,MATCH(H19,הגדרות!$A$2:$A$17,0)),"")</f>
        <v>0</v>
      </c>
      <c r="AB19" t="str">
        <f>IFERROR(INDEX(הגדרות!$B$2:$B$17,MATCH(I19,הגדרות!$A$2:$A$17,0)),"")</f>
        <v>מיוער</v>
      </c>
      <c r="AC19">
        <f>IFERROR(INDEX(הגדרות!$C$2:$C$17,MATCH(I19,הגדרות!$A$2:$A$17,0)),"")</f>
        <v>0</v>
      </c>
      <c r="AD19">
        <f>IF(AND(מלאי!D19&lt;&gt;"",OR('לוח בקרה'!$B$4="הכל",מלאי!Z19='לוח בקרה'!$B$4,מלאי!AA19='לוח בקרה'!$B$4,מלאי!AB19='לוח בקרה'!$B$4,מלאי!AC19='לוח בקרה'!$B$4),OR('לוח בקרה'!$B$5="הכל",מלאי!A19='לוח בקרה'!$B$5),OR('לוח בקרה'!$B$6="הכל",מלאי!B19='לוח בקרה'!$B$6),OR('לוח בקרה'!$B$7="הכל",מלאי!F19='לוח בקרה'!$B$7,מלאי!G19='לוח בקרה'!$B$7),OR('לוח בקרה'!$B$8="הכל",מלאי!T19='לוח בקרה'!$B$8),OR('לוח בקרה'!$B$9="הכל",מלאי!Q19='לוח בקרה'!$B$9),OR('לוח בקרה'!$E$4="הכל",מלאי!J19='לוח בקרה'!$E$4),OR('לוח בקרה'!$E$5="הכל",מלאי!L19='לוח בקרה'!$E$5),OR('לוח בקרה'!$E$6="הכל",מלאי!O19='לוח בקרה'!$E$6),OR('לוח בקרה'!$E$7="הכל",מלאי!R19='לוח בקרה'!$E$7),OR('לוח בקרה'!$E$8="הכל",'לוח בקרה'!$E$8="",מלאי!W19='לוח בקרה'!$E$8),OR('לוח בקרה'!$E$9="הכל",'לוח בקרה'!$E$9="",ISNUMBER(SEARCH('לוח בקרה'!$E$9,מלאי!C19)))),1,0)</f>
        <v>1</v>
      </c>
      <c r="AE19" t="e">
        <f>IF(AND(מלאי!D19&lt;&gt;"",OR('לוח בקרה טכנו-מבצעי'!$B$4="הכל",מלאי!Z19='לוח בקרה טכנו-מבצעי'!$B$4,מלאי!AA19='לוח בקרה טכנו-מבצעי'!$B$4,מלאי!AB19='לוח בקרה טכנו-מבצעי'!$B$4,מלאי!AC19='לוח בקרה טכנו-מבצעי'!$B$4),OR('לוח בקרה טכנו-מבצעי'!$B$5="הכל",מלאי!A19='לוח בקרה טכנו-מבצעי'!$B$5),OR('לוח בקרה טכנו-מבצעי'!$B$6="הכל",מלאי!B19='לוח בקרה טכנו-מבצעי'!$B$6),OR('לוח בקרה טכנו-מבצעי'!$B$7="הכל",מלאי!F19='לוח בקרה טכנו-מבצעי'!$B$7,מלאי!G19='לוח בקרה טכנו-מבצעי'!$B$7),OR('לוח בקרה טכנו-מבצעי'!$B$8="הכל",מלאי!T19='לוח בקרה טכנו-מבצעי'!$B$8),OR('לוח בקרה טכנו-מבצעי'!$B$9="הכל",מלאי!Q19='לוח בקרה טכנו-מבצעי'!$B$9),OR('לוח בקרה טכנו-מבצעי'!$E$4="הכל",מלאי!J19='לוח בקרה טכנו-מבצעי'!$E$4),OR('לוח בקרה טכנו-מבצעי'!$E$5="הכל",מלאי!L19='לוח בקרה טכנו-מבצעי'!$E$5),OR('לוח בקרה טכנו-מבצעי'!$E$6="הכל",מלאי!O19='לוח בקרה טכנו-מבצעי'!$E$6),OR('לוח בקרה טכנו-מבצעי'!$E$7="הכל",מלאי!R19='לוח בקרה טכנו-מבצעי'!$E$7),OR('לוח בקרה טכנו-מבצעי'!$E$8="הכל",'לוח בקרה טכנו-מבצעי'!$E$8="",מלאי!W19='לוח בקרה טכנו-מבצעי'!$E$8),OR('לוח בקרה טכנו-מבצעי'!$E$9="הכל",'לוח בקרה טכנו-מבצעי'!$E$9="",ISNUMBER(SEARCH('לוח בקרה טכנו-מבצעי'!$E$9,מלאי!C19))),OR('לוח בקרה טכנו-מבצעי'!$B$10="הכל",מלאי!#REF!='לוח בקרה טכנו-מבצעי'!$B$10)),1,0)</f>
        <v>#REF!</v>
      </c>
      <c r="AF19">
        <f>IF(AD19=1,COUNTIF($AD$3:$AD19,1),"")</f>
        <v>4</v>
      </c>
      <c r="AG19" t="e">
        <f>IF(AE19=1,COUNTIF($AE$3:$AE19,1),"")</f>
        <v>#REF!</v>
      </c>
    </row>
    <row r="20" spans="1:33" ht="23.25" customHeight="1" x14ac:dyDescent="0.25">
      <c r="A20" s="19" t="s">
        <v>62</v>
      </c>
      <c r="B20" s="19" t="s">
        <v>78</v>
      </c>
      <c r="C20" s="19" t="s">
        <v>64</v>
      </c>
      <c r="D20" s="19" t="s">
        <v>292</v>
      </c>
      <c r="E20" s="19" t="str">
        <f>IFERROR(INDEX(הגדרות!$I$2:$I$47,MATCH(B20,הגדרות!$H$2:$H$47,0)),"")</f>
        <v>7040-01</v>
      </c>
      <c r="F20" s="19" t="s">
        <v>79</v>
      </c>
      <c r="G20" s="19"/>
      <c r="H20" s="19" t="s">
        <v>77</v>
      </c>
      <c r="I20" s="19" t="s">
        <v>77</v>
      </c>
      <c r="J20" s="19" t="s">
        <v>68</v>
      </c>
      <c r="K20" s="19" t="s">
        <v>68</v>
      </c>
      <c r="L20" s="19" t="s">
        <v>68</v>
      </c>
      <c r="M20" s="19" t="s">
        <v>68</v>
      </c>
      <c r="N20" s="19"/>
      <c r="O20" s="19" t="s">
        <v>68</v>
      </c>
      <c r="P20" s="19"/>
      <c r="Q20" s="19" t="s">
        <v>14</v>
      </c>
      <c r="R20" s="19"/>
      <c r="S20" s="19" t="s">
        <v>14</v>
      </c>
      <c r="T20" s="19" t="s">
        <v>69</v>
      </c>
      <c r="U20" s="19"/>
      <c r="V20" s="19"/>
      <c r="W20" s="19"/>
      <c r="X20" s="19"/>
      <c r="Y20" s="19"/>
      <c r="Z20" t="str">
        <f>IFERROR(INDEX(הגדרות!$B$2:$B$17,MATCH(H20,הגדרות!$A$2:$A$17,0)),"")</f>
        <v>מדברי</v>
      </c>
      <c r="AA20">
        <f>IFERROR(INDEX(הגדרות!$C$2:$C$17,MATCH(H20,הגדרות!$A$2:$A$17,0)),"")</f>
        <v>0</v>
      </c>
      <c r="AB20" t="str">
        <f>IFERROR(INDEX(הגדרות!$B$2:$B$17,MATCH(I20,הגדרות!$A$2:$A$17,0)),"")</f>
        <v>מדברי</v>
      </c>
      <c r="AC20">
        <f>IFERROR(INDEX(הגדרות!$C$2:$C$17,MATCH(I20,הגדרות!$A$2:$A$17,0)),"")</f>
        <v>0</v>
      </c>
      <c r="AD20">
        <f>IF(AND(מלאי!D20&lt;&gt;"",OR('לוח בקרה'!$B$4="הכל",מלאי!Z20='לוח בקרה'!$B$4,מלאי!AA20='לוח בקרה'!$B$4,מלאי!AB20='לוח בקרה'!$B$4,מלאי!AC20='לוח בקרה'!$B$4),OR('לוח בקרה'!$B$5="הכל",מלאי!A20='לוח בקרה'!$B$5),OR('לוח בקרה'!$B$6="הכל",מלאי!B20='לוח בקרה'!$B$6),OR('לוח בקרה'!$B$7="הכל",מלאי!F20='לוח בקרה'!$B$7,מלאי!G20='לוח בקרה'!$B$7),OR('לוח בקרה'!$B$8="הכל",מלאי!T20='לוח בקרה'!$B$8),OR('לוח בקרה'!$B$9="הכל",מלאי!Q20='לוח בקרה'!$B$9),OR('לוח בקרה'!$E$4="הכל",מלאי!J20='לוח בקרה'!$E$4),OR('לוח בקרה'!$E$5="הכל",מלאי!L20='לוח בקרה'!$E$5),OR('לוח בקרה'!$E$6="הכל",מלאי!O20='לוח בקרה'!$E$6),OR('לוח בקרה'!$E$7="הכל",מלאי!R20='לוח בקרה'!$E$7),OR('לוח בקרה'!$E$8="הכל",'לוח בקרה'!$E$8="",מלאי!W20='לוח בקרה'!$E$8),OR('לוח בקרה'!$E$9="הכל",'לוח בקרה'!$E$9="",ISNUMBER(SEARCH('לוח בקרה'!$E$9,מלאי!C20)))),1,0)</f>
        <v>0</v>
      </c>
      <c r="AE20" t="e">
        <f>IF(AND(מלאי!D20&lt;&gt;"",OR('לוח בקרה טכנו-מבצעי'!$B$4="הכל",מלאי!Z20='לוח בקרה טכנו-מבצעי'!$B$4,מלאי!AA20='לוח בקרה טכנו-מבצעי'!$B$4,מלאי!AB20='לוח בקרה טכנו-מבצעי'!$B$4,מלאי!AC20='לוח בקרה טכנו-מבצעי'!$B$4),OR('לוח בקרה טכנו-מבצעי'!$B$5="הכל",מלאי!A20='לוח בקרה טכנו-מבצעי'!$B$5),OR('לוח בקרה טכנו-מבצעי'!$B$6="הכל",מלאי!B20='לוח בקרה טכנו-מבצעי'!$B$6),OR('לוח בקרה טכנו-מבצעי'!$B$7="הכל",מלאי!F20='לוח בקרה טכנו-מבצעי'!$B$7,מלאי!G20='לוח בקרה טכנו-מבצעי'!$B$7),OR('לוח בקרה טכנו-מבצעי'!$B$8="הכל",מלאי!T20='לוח בקרה טכנו-מבצעי'!$B$8),OR('לוח בקרה טכנו-מבצעי'!$B$9="הכל",מלאי!Q20='לוח בקרה טכנו-מבצעי'!$B$9),OR('לוח בקרה טכנו-מבצעי'!$E$4="הכל",מלאי!J20='לוח בקרה טכנו-מבצעי'!$E$4),OR('לוח בקרה טכנו-מבצעי'!$E$5="הכל",מלאי!L20='לוח בקרה טכנו-מבצעי'!$E$5),OR('לוח בקרה טכנו-מבצעי'!$E$6="הכל",מלאי!O20='לוח בקרה טכנו-מבצעי'!$E$6),OR('לוח בקרה טכנו-מבצעי'!$E$7="הכל",מלאי!R20='לוח בקרה טכנו-מבצעי'!$E$7),OR('לוח בקרה טכנו-מבצעי'!$E$8="הכל",'לוח בקרה טכנו-מבצעי'!$E$8="",מלאי!W20='לוח בקרה טכנו-מבצעי'!$E$8),OR('לוח בקרה טכנו-מבצעי'!$E$9="הכל",'לוח בקרה טכנו-מבצעי'!$E$9="",ISNUMBER(SEARCH('לוח בקרה טכנו-מבצעי'!$E$9,מלאי!C20))),OR('לוח בקרה טכנו-מבצעי'!$B$10="הכל",מלאי!#REF!='לוח בקרה טכנו-מבצעי'!$B$10)),1,0)</f>
        <v>#REF!</v>
      </c>
      <c r="AF20" t="str">
        <f>IF(AD20=1,COUNTIF($AD$3:$AD20,1),"")</f>
        <v/>
      </c>
      <c r="AG20" t="e">
        <f>IF(AE20=1,COUNTIF($AE$3:$AE20,1),"")</f>
        <v>#REF!</v>
      </c>
    </row>
    <row r="21" spans="1:33" ht="23.25" customHeight="1" x14ac:dyDescent="0.25">
      <c r="A21" s="17" t="s">
        <v>62</v>
      </c>
      <c r="B21" s="17" t="s">
        <v>78</v>
      </c>
      <c r="C21" s="17" t="s">
        <v>64</v>
      </c>
      <c r="D21" s="17" t="s">
        <v>293</v>
      </c>
      <c r="E21" s="17" t="str">
        <f>IFERROR(INDEX(הגדרות!$I$2:$I$47,MATCH(B21,הגדרות!$H$2:$H$47,0)),"")</f>
        <v>7040-01</v>
      </c>
      <c r="F21" s="17" t="s">
        <v>79</v>
      </c>
      <c r="G21" s="17"/>
      <c r="H21" s="17" t="s">
        <v>77</v>
      </c>
      <c r="I21" s="17" t="s">
        <v>77</v>
      </c>
      <c r="J21" s="17" t="s">
        <v>68</v>
      </c>
      <c r="K21" s="17" t="s">
        <v>68</v>
      </c>
      <c r="L21" s="17" t="s">
        <v>68</v>
      </c>
      <c r="M21" s="17" t="s">
        <v>68</v>
      </c>
      <c r="N21" s="17"/>
      <c r="O21" s="17" t="s">
        <v>68</v>
      </c>
      <c r="P21" s="17"/>
      <c r="Q21" s="17" t="s">
        <v>14</v>
      </c>
      <c r="R21" s="17"/>
      <c r="S21" s="17" t="s">
        <v>14</v>
      </c>
      <c r="T21" s="17" t="s">
        <v>69</v>
      </c>
      <c r="U21" s="17"/>
      <c r="V21" s="17"/>
      <c r="W21" s="17"/>
      <c r="X21" s="17"/>
      <c r="Y21" s="17"/>
      <c r="Z21" t="str">
        <f>IFERROR(INDEX(הגדרות!$B$2:$B$17,MATCH(H21,הגדרות!$A$2:$A$17,0)),"")</f>
        <v>מדברי</v>
      </c>
      <c r="AA21">
        <f>IFERROR(INDEX(הגדרות!$C$2:$C$17,MATCH(H21,הגדרות!$A$2:$A$17,0)),"")</f>
        <v>0</v>
      </c>
      <c r="AB21" t="str">
        <f>IFERROR(INDEX(הגדרות!$B$2:$B$17,MATCH(I21,הגדרות!$A$2:$A$17,0)),"")</f>
        <v>מדברי</v>
      </c>
      <c r="AC21">
        <f>IFERROR(INDEX(הגדרות!$C$2:$C$17,MATCH(I21,הגדרות!$A$2:$A$17,0)),"")</f>
        <v>0</v>
      </c>
      <c r="AD21">
        <f>IF(AND(מלאי!D21&lt;&gt;"",OR('לוח בקרה'!$B$4="הכל",מלאי!Z21='לוח בקרה'!$B$4,מלאי!AA21='לוח בקרה'!$B$4,מלאי!AB21='לוח בקרה'!$B$4,מלאי!AC21='לוח בקרה'!$B$4),OR('לוח בקרה'!$B$5="הכל",מלאי!A21='לוח בקרה'!$B$5),OR('לוח בקרה'!$B$6="הכל",מלאי!B21='לוח בקרה'!$B$6),OR('לוח בקרה'!$B$7="הכל",מלאי!F21='לוח בקרה'!$B$7,מלאי!G21='לוח בקרה'!$B$7),OR('לוח בקרה'!$B$8="הכל",מלאי!T21='לוח בקרה'!$B$8),OR('לוח בקרה'!$B$9="הכל",מלאי!Q21='לוח בקרה'!$B$9),OR('לוח בקרה'!$E$4="הכל",מלאי!J21='לוח בקרה'!$E$4),OR('לוח בקרה'!$E$5="הכל",מלאי!L21='לוח בקרה'!$E$5),OR('לוח בקרה'!$E$6="הכל",מלאי!O21='לוח בקרה'!$E$6),OR('לוח בקרה'!$E$7="הכל",מלאי!R21='לוח בקרה'!$E$7),OR('לוח בקרה'!$E$8="הכל",'לוח בקרה'!$E$8="",מלאי!W21='לוח בקרה'!$E$8),OR('לוח בקרה'!$E$9="הכל",'לוח בקרה'!$E$9="",ISNUMBER(SEARCH('לוח בקרה'!$E$9,מלאי!C21)))),1,0)</f>
        <v>0</v>
      </c>
      <c r="AE21" t="e">
        <f>IF(AND(מלאי!D21&lt;&gt;"",OR('לוח בקרה טכנו-מבצעי'!$B$4="הכל",מלאי!Z21='לוח בקרה טכנו-מבצעי'!$B$4,מלאי!AA21='לוח בקרה טכנו-מבצעי'!$B$4,מלאי!AB21='לוח בקרה טכנו-מבצעי'!$B$4,מלאי!AC21='לוח בקרה טכנו-מבצעי'!$B$4),OR('לוח בקרה טכנו-מבצעי'!$B$5="הכל",מלאי!A21='לוח בקרה טכנו-מבצעי'!$B$5),OR('לוח בקרה טכנו-מבצעי'!$B$6="הכל",מלאי!B21='לוח בקרה טכנו-מבצעי'!$B$6),OR('לוח בקרה טכנו-מבצעי'!$B$7="הכל",מלאי!F21='לוח בקרה טכנו-מבצעי'!$B$7,מלאי!G21='לוח בקרה טכנו-מבצעי'!$B$7),OR('לוח בקרה טכנו-מבצעי'!$B$8="הכל",מלאי!T21='לוח בקרה טכנו-מבצעי'!$B$8),OR('לוח בקרה טכנו-מבצעי'!$B$9="הכל",מלאי!Q21='לוח בקרה טכנו-מבצעי'!$B$9),OR('לוח בקרה טכנו-מבצעי'!$E$4="הכל",מלאי!J21='לוח בקרה טכנו-מבצעי'!$E$4),OR('לוח בקרה טכנו-מבצעי'!$E$5="הכל",מלאי!L21='לוח בקרה טכנו-מבצעי'!$E$5),OR('לוח בקרה טכנו-מבצעי'!$E$6="הכל",מלאי!O21='לוח בקרה טכנו-מבצעי'!$E$6),OR('לוח בקרה טכנו-מבצעי'!$E$7="הכל",מלאי!R21='לוח בקרה טכנו-מבצעי'!$E$7),OR('לוח בקרה טכנו-מבצעי'!$E$8="הכל",'לוח בקרה טכנו-מבצעי'!$E$8="",מלאי!W21='לוח בקרה טכנו-מבצעי'!$E$8),OR('לוח בקרה טכנו-מבצעי'!$E$9="הכל",'לוח בקרה טכנו-מבצעי'!$E$9="",ISNUMBER(SEARCH('לוח בקרה טכנו-מבצעי'!$E$9,מלאי!C21))),OR('לוח בקרה טכנו-מבצעי'!$B$10="הכל",מלאי!#REF!='לוח בקרה טכנו-מבצעי'!$B$10)),1,0)</f>
        <v>#REF!</v>
      </c>
      <c r="AF21" t="str">
        <f>IF(AD21=1,COUNTIF($AD$3:$AD21,1),"")</f>
        <v/>
      </c>
      <c r="AG21" t="e">
        <f>IF(AE21=1,COUNTIF($AE$3:$AE21,1),"")</f>
        <v>#REF!</v>
      </c>
    </row>
    <row r="22" spans="1:33" ht="23.25" customHeight="1" x14ac:dyDescent="0.25">
      <c r="A22" s="19" t="s">
        <v>62</v>
      </c>
      <c r="B22" s="19" t="s">
        <v>78</v>
      </c>
      <c r="C22" s="19" t="s">
        <v>64</v>
      </c>
      <c r="D22" s="19" t="s">
        <v>294</v>
      </c>
      <c r="E22" s="19" t="str">
        <f>IFERROR(INDEX(הגדרות!$I$2:$I$47,MATCH(B22,הגדרות!$H$2:$H$47,0)),"")</f>
        <v>7040-01</v>
      </c>
      <c r="F22" s="19" t="s">
        <v>79</v>
      </c>
      <c r="G22" s="19"/>
      <c r="H22" s="19" t="s">
        <v>77</v>
      </c>
      <c r="I22" s="19" t="s">
        <v>77</v>
      </c>
      <c r="J22" s="19" t="s">
        <v>68</v>
      </c>
      <c r="K22" s="19" t="s">
        <v>68</v>
      </c>
      <c r="L22" s="19" t="s">
        <v>68</v>
      </c>
      <c r="M22" s="19" t="s">
        <v>68</v>
      </c>
      <c r="N22" s="19"/>
      <c r="O22" s="19" t="s">
        <v>68</v>
      </c>
      <c r="P22" s="19"/>
      <c r="Q22" s="19" t="s">
        <v>14</v>
      </c>
      <c r="R22" s="19"/>
      <c r="S22" s="19" t="s">
        <v>14</v>
      </c>
      <c r="T22" s="19" t="s">
        <v>69</v>
      </c>
      <c r="U22" s="19"/>
      <c r="V22" s="19"/>
      <c r="W22" s="19"/>
      <c r="X22" s="19"/>
      <c r="Y22" s="19"/>
      <c r="Z22" t="str">
        <f>IFERROR(INDEX(הגדרות!$B$2:$B$17,MATCH(H22,הגדרות!$A$2:$A$17,0)),"")</f>
        <v>מדברי</v>
      </c>
      <c r="AA22">
        <f>IFERROR(INDEX(הגדרות!$C$2:$C$17,MATCH(H22,הגדרות!$A$2:$A$17,0)),"")</f>
        <v>0</v>
      </c>
      <c r="AB22" t="str">
        <f>IFERROR(INDEX(הגדרות!$B$2:$B$17,MATCH(I22,הגדרות!$A$2:$A$17,0)),"")</f>
        <v>מדברי</v>
      </c>
      <c r="AC22">
        <f>IFERROR(INDEX(הגדרות!$C$2:$C$17,MATCH(I22,הגדרות!$A$2:$A$17,0)),"")</f>
        <v>0</v>
      </c>
      <c r="AD22">
        <f>IF(AND(מלאי!D22&lt;&gt;"",OR('לוח בקרה'!$B$4="הכל",מלאי!Z22='לוח בקרה'!$B$4,מלאי!AA22='לוח בקרה'!$B$4,מלאי!AB22='לוח בקרה'!$B$4,מלאי!AC22='לוח בקרה'!$B$4),OR('לוח בקרה'!$B$5="הכל",מלאי!A22='לוח בקרה'!$B$5),OR('לוח בקרה'!$B$6="הכל",מלאי!B22='לוח בקרה'!$B$6),OR('לוח בקרה'!$B$7="הכל",מלאי!F22='לוח בקרה'!$B$7,מלאי!G22='לוח בקרה'!$B$7),OR('לוח בקרה'!$B$8="הכל",מלאי!T22='לוח בקרה'!$B$8),OR('לוח בקרה'!$B$9="הכל",מלאי!Q22='לוח בקרה'!$B$9),OR('לוח בקרה'!$E$4="הכל",מלאי!J22='לוח בקרה'!$E$4),OR('לוח בקרה'!$E$5="הכל",מלאי!L22='לוח בקרה'!$E$5),OR('לוח בקרה'!$E$6="הכל",מלאי!O22='לוח בקרה'!$E$6),OR('לוח בקרה'!$E$7="הכל",מלאי!R22='לוח בקרה'!$E$7),OR('לוח בקרה'!$E$8="הכל",'לוח בקרה'!$E$8="",מלאי!W22='לוח בקרה'!$E$8),OR('לוח בקרה'!$E$9="הכל",'לוח בקרה'!$E$9="",ISNUMBER(SEARCH('לוח בקרה'!$E$9,מלאי!C22)))),1,0)</f>
        <v>0</v>
      </c>
      <c r="AE22" t="e">
        <f>IF(AND(מלאי!D22&lt;&gt;"",OR('לוח בקרה טכנו-מבצעי'!$B$4="הכל",מלאי!Z22='לוח בקרה טכנו-מבצעי'!$B$4,מלאי!AA22='לוח בקרה טכנו-מבצעי'!$B$4,מלאי!AB22='לוח בקרה טכנו-מבצעי'!$B$4,מלאי!AC22='לוח בקרה טכנו-מבצעי'!$B$4),OR('לוח בקרה טכנו-מבצעי'!$B$5="הכל",מלאי!A22='לוח בקרה טכנו-מבצעי'!$B$5),OR('לוח בקרה טכנו-מבצעי'!$B$6="הכל",מלאי!B22='לוח בקרה טכנו-מבצעי'!$B$6),OR('לוח בקרה טכנו-מבצעי'!$B$7="הכל",מלאי!F22='לוח בקרה טכנו-מבצעי'!$B$7,מלאי!G22='לוח בקרה טכנו-מבצעי'!$B$7),OR('לוח בקרה טכנו-מבצעי'!$B$8="הכל",מלאי!T22='לוח בקרה טכנו-מבצעי'!$B$8),OR('לוח בקרה טכנו-מבצעי'!$B$9="הכל",מלאי!Q22='לוח בקרה טכנו-מבצעי'!$B$9),OR('לוח בקרה טכנו-מבצעי'!$E$4="הכל",מלאי!J22='לוח בקרה טכנו-מבצעי'!$E$4),OR('לוח בקרה טכנו-מבצעי'!$E$5="הכל",מלאי!L22='לוח בקרה טכנו-מבצעי'!$E$5),OR('לוח בקרה טכנו-מבצעי'!$E$6="הכל",מלאי!O22='לוח בקרה טכנו-מבצעי'!$E$6),OR('לוח בקרה טכנו-מבצעי'!$E$7="הכל",מלאי!R22='לוח בקרה טכנו-מבצעי'!$E$7),OR('לוח בקרה טכנו-מבצעי'!$E$8="הכל",'לוח בקרה טכנו-מבצעי'!$E$8="",מלאי!W22='לוח בקרה טכנו-מבצעי'!$E$8),OR('לוח בקרה טכנו-מבצעי'!$E$9="הכל",'לוח בקרה טכנו-מבצעי'!$E$9="",ISNUMBER(SEARCH('לוח בקרה טכנו-מבצעי'!$E$9,מלאי!C22))),OR('לוח בקרה טכנו-מבצעי'!$B$10="הכל",מלאי!#REF!='לוח בקרה טכנו-מבצעי'!$B$10)),1,0)</f>
        <v>#REF!</v>
      </c>
      <c r="AF22" t="str">
        <f>IF(AD22=1,COUNTIF($AD$3:$AD22,1),"")</f>
        <v/>
      </c>
      <c r="AG22" t="e">
        <f>IF(AE22=1,COUNTIF($AE$3:$AE22,1),"")</f>
        <v>#REF!</v>
      </c>
    </row>
    <row r="23" spans="1:33" ht="23.25" customHeight="1" x14ac:dyDescent="0.25">
      <c r="A23" s="17" t="s">
        <v>62</v>
      </c>
      <c r="B23" s="17" t="s">
        <v>78</v>
      </c>
      <c r="C23" s="17" t="s">
        <v>64</v>
      </c>
      <c r="D23" s="17" t="s">
        <v>295</v>
      </c>
      <c r="E23" s="17" t="str">
        <f>IFERROR(INDEX(הגדרות!$I$2:$I$47,MATCH(B23,הגדרות!$H$2:$H$47,0)),"")</f>
        <v>7040-01</v>
      </c>
      <c r="F23" s="17" t="s">
        <v>79</v>
      </c>
      <c r="G23" s="17"/>
      <c r="H23" s="17" t="s">
        <v>77</v>
      </c>
      <c r="I23" s="17" t="s">
        <v>77</v>
      </c>
      <c r="J23" s="17" t="s">
        <v>68</v>
      </c>
      <c r="K23" s="17" t="s">
        <v>68</v>
      </c>
      <c r="L23" s="17" t="s">
        <v>68</v>
      </c>
      <c r="M23" s="17" t="s">
        <v>68</v>
      </c>
      <c r="N23" s="17"/>
      <c r="O23" s="17" t="s">
        <v>68</v>
      </c>
      <c r="P23" s="17"/>
      <c r="Q23" s="17" t="s">
        <v>14</v>
      </c>
      <c r="R23" s="17"/>
      <c r="S23" s="17" t="s">
        <v>14</v>
      </c>
      <c r="T23" s="17" t="s">
        <v>69</v>
      </c>
      <c r="U23" s="17"/>
      <c r="V23" s="17"/>
      <c r="W23" s="17"/>
      <c r="X23" s="17"/>
      <c r="Y23" s="17"/>
      <c r="Z23" t="str">
        <f>IFERROR(INDEX(הגדרות!$B$2:$B$17,MATCH(H23,הגדרות!$A$2:$A$17,0)),"")</f>
        <v>מדברי</v>
      </c>
      <c r="AA23">
        <f>IFERROR(INDEX(הגדרות!$C$2:$C$17,MATCH(H23,הגדרות!$A$2:$A$17,0)),"")</f>
        <v>0</v>
      </c>
      <c r="AB23" t="str">
        <f>IFERROR(INDEX(הגדרות!$B$2:$B$17,MATCH(I23,הגדרות!$A$2:$A$17,0)),"")</f>
        <v>מדברי</v>
      </c>
      <c r="AC23">
        <f>IFERROR(INDEX(הגדרות!$C$2:$C$17,MATCH(I23,הגדרות!$A$2:$A$17,0)),"")</f>
        <v>0</v>
      </c>
      <c r="AD23">
        <f>IF(AND(מלאי!D23&lt;&gt;"",OR('לוח בקרה'!$B$4="הכל",מלאי!Z23='לוח בקרה'!$B$4,מלאי!AA23='לוח בקרה'!$B$4,מלאי!AB23='לוח בקרה'!$B$4,מלאי!AC23='לוח בקרה'!$B$4),OR('לוח בקרה'!$B$5="הכל",מלאי!A23='לוח בקרה'!$B$5),OR('לוח בקרה'!$B$6="הכל",מלאי!B23='לוח בקרה'!$B$6),OR('לוח בקרה'!$B$7="הכל",מלאי!F23='לוח בקרה'!$B$7,מלאי!G23='לוח בקרה'!$B$7),OR('לוח בקרה'!$B$8="הכל",מלאי!T23='לוח בקרה'!$B$8),OR('לוח בקרה'!$B$9="הכל",מלאי!Q23='לוח בקרה'!$B$9),OR('לוח בקרה'!$E$4="הכל",מלאי!J23='לוח בקרה'!$E$4),OR('לוח בקרה'!$E$5="הכל",מלאי!L23='לוח בקרה'!$E$5),OR('לוח בקרה'!$E$6="הכל",מלאי!O23='לוח בקרה'!$E$6),OR('לוח בקרה'!$E$7="הכל",מלאי!R23='לוח בקרה'!$E$7),OR('לוח בקרה'!$E$8="הכל",'לוח בקרה'!$E$8="",מלאי!W23='לוח בקרה'!$E$8),OR('לוח בקרה'!$E$9="הכל",'לוח בקרה'!$E$9="",ISNUMBER(SEARCH('לוח בקרה'!$E$9,מלאי!C23)))),1,0)</f>
        <v>0</v>
      </c>
      <c r="AE23" t="e">
        <f>IF(AND(מלאי!D23&lt;&gt;"",OR('לוח בקרה טכנו-מבצעי'!$B$4="הכל",מלאי!Z23='לוח בקרה טכנו-מבצעי'!$B$4,מלאי!AA23='לוח בקרה טכנו-מבצעי'!$B$4,מלאי!AB23='לוח בקרה טכנו-מבצעי'!$B$4,מלאי!AC23='לוח בקרה טכנו-מבצעי'!$B$4),OR('לוח בקרה טכנו-מבצעי'!$B$5="הכל",מלאי!A23='לוח בקרה טכנו-מבצעי'!$B$5),OR('לוח בקרה טכנו-מבצעי'!$B$6="הכל",מלאי!B23='לוח בקרה טכנו-מבצעי'!$B$6),OR('לוח בקרה טכנו-מבצעי'!$B$7="הכל",מלאי!F23='לוח בקרה טכנו-מבצעי'!$B$7,מלאי!G23='לוח בקרה טכנו-מבצעי'!$B$7),OR('לוח בקרה טכנו-מבצעי'!$B$8="הכל",מלאי!T23='לוח בקרה טכנו-מבצעי'!$B$8),OR('לוח בקרה טכנו-מבצעי'!$B$9="הכל",מלאי!Q23='לוח בקרה טכנו-מבצעי'!$B$9),OR('לוח בקרה טכנו-מבצעי'!$E$4="הכל",מלאי!J23='לוח בקרה טכנו-מבצעי'!$E$4),OR('לוח בקרה טכנו-מבצעי'!$E$5="הכל",מלאי!L23='לוח בקרה טכנו-מבצעי'!$E$5),OR('לוח בקרה טכנו-מבצעי'!$E$6="הכל",מלאי!O23='לוח בקרה טכנו-מבצעי'!$E$6),OR('לוח בקרה טכנו-מבצעי'!$E$7="הכל",מלאי!R23='לוח בקרה טכנו-מבצעי'!$E$7),OR('לוח בקרה טכנו-מבצעי'!$E$8="הכל",'לוח בקרה טכנו-מבצעי'!$E$8="",מלאי!W23='לוח בקרה טכנו-מבצעי'!$E$8),OR('לוח בקרה טכנו-מבצעי'!$E$9="הכל",'לוח בקרה טכנו-מבצעי'!$E$9="",ISNUMBER(SEARCH('לוח בקרה טכנו-מבצעי'!$E$9,מלאי!C23))),OR('לוח בקרה טכנו-מבצעי'!$B$10="הכל",מלאי!#REF!='לוח בקרה טכנו-מבצעי'!$B$10)),1,0)</f>
        <v>#REF!</v>
      </c>
      <c r="AF23" t="str">
        <f>IF(AD23=1,COUNTIF($AD$3:$AD23,1),"")</f>
        <v/>
      </c>
      <c r="AG23" t="e">
        <f>IF(AE23=1,COUNTIF($AE$3:$AE23,1),"")</f>
        <v>#REF!</v>
      </c>
    </row>
    <row r="24" spans="1:33" ht="15" customHeight="1" x14ac:dyDescent="0.25">
      <c r="A24" s="19" t="s">
        <v>62</v>
      </c>
      <c r="B24" s="19" t="s">
        <v>83</v>
      </c>
      <c r="C24" s="19" t="s">
        <v>64</v>
      </c>
      <c r="D24" s="19" t="s">
        <v>84</v>
      </c>
      <c r="E24" s="19" t="str">
        <f>IFERROR(INDEX(הגדרות!$I$2:$I$47,MATCH(B24,הגדרות!$H$2:$H$47,0)),"")</f>
        <v>7004-01</v>
      </c>
      <c r="F24" s="19" t="s">
        <v>65</v>
      </c>
      <c r="G24" s="19"/>
      <c r="H24" s="19" t="s">
        <v>66</v>
      </c>
      <c r="I24" s="19" t="s">
        <v>67</v>
      </c>
      <c r="J24" s="19" t="s">
        <v>68</v>
      </c>
      <c r="K24" s="19" t="s">
        <v>68</v>
      </c>
      <c r="L24" s="19" t="s">
        <v>68</v>
      </c>
      <c r="M24" s="19" t="s">
        <v>68</v>
      </c>
      <c r="N24" s="19"/>
      <c r="O24" s="19" t="s">
        <v>68</v>
      </c>
      <c r="P24" s="19"/>
      <c r="Q24" s="19" t="s">
        <v>14</v>
      </c>
      <c r="R24" s="19"/>
      <c r="S24" s="19" t="s">
        <v>14</v>
      </c>
      <c r="T24" s="19" t="s">
        <v>69</v>
      </c>
      <c r="U24" s="19"/>
      <c r="V24" s="19"/>
      <c r="W24" s="19"/>
      <c r="X24" s="19"/>
      <c r="Y24" s="19"/>
      <c r="Z24" t="str">
        <f>IFERROR(INDEX(הגדרות!$B$2:$B$17,MATCH(H24,הגדרות!$A$2:$A$17,0)),"")</f>
        <v>מיוער</v>
      </c>
      <c r="AA24">
        <f>IFERROR(INDEX(הגדרות!$C$2:$C$17,MATCH(H24,הגדרות!$A$2:$A$17,0)),"")</f>
        <v>0</v>
      </c>
      <c r="AB24" t="str">
        <f>IFERROR(INDEX(הגדרות!$B$2:$B$17,MATCH(I24,הגדרות!$A$2:$A$17,0)),"")</f>
        <v>מדברי</v>
      </c>
      <c r="AC24">
        <f>IFERROR(INDEX(הגדרות!$C$2:$C$17,MATCH(I24,הגדרות!$A$2:$A$17,0)),"")</f>
        <v>0</v>
      </c>
      <c r="AD24">
        <f>IF(AND(מלאי!D24&lt;&gt;"",OR('לוח בקרה'!$B$4="הכל",מלאי!Z24='לוח בקרה'!$B$4,מלאי!AA24='לוח בקרה'!$B$4,מלאי!AB24='לוח בקרה'!$B$4,מלאי!AC24='לוח בקרה'!$B$4),OR('לוח בקרה'!$B$5="הכל",מלאי!A24='לוח בקרה'!$B$5),OR('לוח בקרה'!$B$6="הכל",מלאי!B24='לוח בקרה'!$B$6),OR('לוח בקרה'!$B$7="הכל",מלאי!F24='לוח בקרה'!$B$7,מלאי!G24='לוח בקרה'!$B$7),OR('לוח בקרה'!$B$8="הכל",מלאי!T24='לוח בקרה'!$B$8),OR('לוח בקרה'!$B$9="הכל",מלאי!Q24='לוח בקרה'!$B$9),OR('לוח בקרה'!$E$4="הכל",מלאי!J24='לוח בקרה'!$E$4),OR('לוח בקרה'!$E$5="הכל",מלאי!L24='לוח בקרה'!$E$5),OR('לוח בקרה'!$E$6="הכל",מלאי!O24='לוח בקרה'!$E$6),OR('לוח בקרה'!$E$7="הכל",מלאי!R24='לוח בקרה'!$E$7),OR('לוח בקרה'!$E$8="הכל",'לוח בקרה'!$E$8="",מלאי!W24='לוח בקרה'!$E$8),OR('לוח בקרה'!$E$9="הכל",'לוח בקרה'!$E$9="",ISNUMBER(SEARCH('לוח בקרה'!$E$9,מלאי!C24)))),1,0)</f>
        <v>1</v>
      </c>
      <c r="AE24" t="e">
        <f>IF(AND(מלאי!D24&lt;&gt;"",OR('לוח בקרה טכנו-מבצעי'!$B$4="הכל",מלאי!Z24='לוח בקרה טכנו-מבצעי'!$B$4,מלאי!AA24='לוח בקרה טכנו-מבצעי'!$B$4,מלאי!AB24='לוח בקרה טכנו-מבצעי'!$B$4,מלאי!AC24='לוח בקרה טכנו-מבצעי'!$B$4),OR('לוח בקרה טכנו-מבצעי'!$B$5="הכל",מלאי!A24='לוח בקרה טכנו-מבצעי'!$B$5),OR('לוח בקרה טכנו-מבצעי'!$B$6="הכל",מלאי!B24='לוח בקרה טכנו-מבצעי'!$B$6),OR('לוח בקרה טכנו-מבצעי'!$B$7="הכל",מלאי!F24='לוח בקרה טכנו-מבצעי'!$B$7,מלאי!G24='לוח בקרה טכנו-מבצעי'!$B$7),OR('לוח בקרה טכנו-מבצעי'!$B$8="הכל",מלאי!T24='לוח בקרה טכנו-מבצעי'!$B$8),OR('לוח בקרה טכנו-מבצעי'!$B$9="הכל",מלאי!Q24='לוח בקרה טכנו-מבצעי'!$B$9),OR('לוח בקרה טכנו-מבצעי'!$E$4="הכל",מלאי!J24='לוח בקרה טכנו-מבצעי'!$E$4),OR('לוח בקרה טכנו-מבצעי'!$E$5="הכל",מלאי!L24='לוח בקרה טכנו-מבצעי'!$E$5),OR('לוח בקרה טכנו-מבצעי'!$E$6="הכל",מלאי!O24='לוח בקרה טכנו-מבצעי'!$E$6),OR('לוח בקרה טכנו-מבצעי'!$E$7="הכל",מלאי!R24='לוח בקרה טכנו-מבצעי'!$E$7),OR('לוח בקרה טכנו-מבצעי'!$E$8="הכל",'לוח בקרה טכנו-מבצעי'!$E$8="",מלאי!W24='לוח בקרה טכנו-מבצעי'!$E$8),OR('לוח בקרה טכנו-מבצעי'!$E$9="הכל",'לוח בקרה טכנו-מבצעי'!$E$9="",ISNUMBER(SEARCH('לוח בקרה טכנו-מבצעי'!$E$9,מלאי!C24))),OR('לוח בקרה טכנו-מבצעי'!$B$10="הכל",מלאי!#REF!='לוח בקרה טכנו-מבצעי'!$B$10)),1,0)</f>
        <v>#REF!</v>
      </c>
      <c r="AF24">
        <f>IF(AD24=1,COUNTIF($AD$3:$AD24,1),"")</f>
        <v>5</v>
      </c>
      <c r="AG24" t="e">
        <f>IF(AE24=1,COUNTIF($AE$3:$AE24,1),"")</f>
        <v>#REF!</v>
      </c>
    </row>
    <row r="25" spans="1:33" ht="15" customHeight="1" x14ac:dyDescent="0.25">
      <c r="A25" s="17" t="s">
        <v>62</v>
      </c>
      <c r="B25" s="17" t="s">
        <v>83</v>
      </c>
      <c r="C25" s="17" t="s">
        <v>64</v>
      </c>
      <c r="D25" s="17" t="s">
        <v>85</v>
      </c>
      <c r="E25" s="17" t="str">
        <f>IFERROR(INDEX(הגדרות!$I$2:$I$47,MATCH(B25,הגדרות!$H$2:$H$47,0)),"")</f>
        <v>7004-01</v>
      </c>
      <c r="F25" s="17" t="s">
        <v>65</v>
      </c>
      <c r="G25" s="17"/>
      <c r="H25" s="17" t="s">
        <v>66</v>
      </c>
      <c r="I25" s="17" t="s">
        <v>67</v>
      </c>
      <c r="J25" s="17" t="s">
        <v>68</v>
      </c>
      <c r="K25" s="17" t="s">
        <v>68</v>
      </c>
      <c r="L25" s="17" t="s">
        <v>68</v>
      </c>
      <c r="M25" s="17" t="s">
        <v>68</v>
      </c>
      <c r="N25" s="17"/>
      <c r="O25" s="17" t="s">
        <v>68</v>
      </c>
      <c r="P25" s="17"/>
      <c r="Q25" s="17" t="s">
        <v>14</v>
      </c>
      <c r="R25" s="17"/>
      <c r="S25" s="17" t="s">
        <v>14</v>
      </c>
      <c r="T25" s="17" t="s">
        <v>70</v>
      </c>
      <c r="U25" s="17"/>
      <c r="V25" s="17"/>
      <c r="W25" s="17"/>
      <c r="X25" s="17"/>
      <c r="Y25" s="17"/>
      <c r="Z25" t="str">
        <f>IFERROR(INDEX(הגדרות!$B$2:$B$17,MATCH(H25,הגדרות!$A$2:$A$17,0)),"")</f>
        <v>מיוער</v>
      </c>
      <c r="AA25">
        <f>IFERROR(INDEX(הגדרות!$C$2:$C$17,MATCH(H25,הגדרות!$A$2:$A$17,0)),"")</f>
        <v>0</v>
      </c>
      <c r="AB25" t="str">
        <f>IFERROR(INDEX(הגדרות!$B$2:$B$17,MATCH(I25,הגדרות!$A$2:$A$17,0)),"")</f>
        <v>מדברי</v>
      </c>
      <c r="AC25">
        <f>IFERROR(INDEX(הגדרות!$C$2:$C$17,MATCH(I25,הגדרות!$A$2:$A$17,0)),"")</f>
        <v>0</v>
      </c>
      <c r="AD25">
        <f>IF(AND(מלאי!D25&lt;&gt;"",OR('לוח בקרה'!$B$4="הכל",מלאי!Z25='לוח בקרה'!$B$4,מלאי!AA25='לוח בקרה'!$B$4,מלאי!AB25='לוח בקרה'!$B$4,מלאי!AC25='לוח בקרה'!$B$4),OR('לוח בקרה'!$B$5="הכל",מלאי!A25='לוח בקרה'!$B$5),OR('לוח בקרה'!$B$6="הכל",מלאי!B25='לוח בקרה'!$B$6),OR('לוח בקרה'!$B$7="הכל",מלאי!F25='לוח בקרה'!$B$7,מלאי!G25='לוח בקרה'!$B$7),OR('לוח בקרה'!$B$8="הכל",מלאי!T25='לוח בקרה'!$B$8),OR('לוח בקרה'!$B$9="הכל",מלאי!Q25='לוח בקרה'!$B$9),OR('לוח בקרה'!$E$4="הכל",מלאי!J25='לוח בקרה'!$E$4),OR('לוח בקרה'!$E$5="הכל",מלאי!L25='לוח בקרה'!$E$5),OR('לוח בקרה'!$E$6="הכל",מלאי!O25='לוח בקרה'!$E$6),OR('לוח בקרה'!$E$7="הכל",מלאי!R25='לוח בקרה'!$E$7),OR('לוח בקרה'!$E$8="הכל",'לוח בקרה'!$E$8="",מלאי!W25='לוח בקרה'!$E$8),OR('לוח בקרה'!$E$9="הכל",'לוח בקרה'!$E$9="",ISNUMBER(SEARCH('לוח בקרה'!$E$9,מלאי!C25)))),1,0)</f>
        <v>1</v>
      </c>
      <c r="AE25" t="e">
        <f>IF(AND(מלאי!D25&lt;&gt;"",OR('לוח בקרה טכנו-מבצעי'!$B$4="הכל",מלאי!Z25='לוח בקרה טכנו-מבצעי'!$B$4,מלאי!AA25='לוח בקרה טכנו-מבצעי'!$B$4,מלאי!AB25='לוח בקרה טכנו-מבצעי'!$B$4,מלאי!AC25='לוח בקרה טכנו-מבצעי'!$B$4),OR('לוח בקרה טכנו-מבצעי'!$B$5="הכל",מלאי!A25='לוח בקרה טכנו-מבצעי'!$B$5),OR('לוח בקרה טכנו-מבצעי'!$B$6="הכל",מלאי!B25='לוח בקרה טכנו-מבצעי'!$B$6),OR('לוח בקרה טכנו-מבצעי'!$B$7="הכל",מלאי!F25='לוח בקרה טכנו-מבצעי'!$B$7,מלאי!G25='לוח בקרה טכנו-מבצעי'!$B$7),OR('לוח בקרה טכנו-מבצעי'!$B$8="הכל",מלאי!T25='לוח בקרה טכנו-מבצעי'!$B$8),OR('לוח בקרה טכנו-מבצעי'!$B$9="הכל",מלאי!Q25='לוח בקרה טכנו-מבצעי'!$B$9),OR('לוח בקרה טכנו-מבצעי'!$E$4="הכל",מלאי!J25='לוח בקרה טכנו-מבצעי'!$E$4),OR('לוח בקרה טכנו-מבצעי'!$E$5="הכל",מלאי!L25='לוח בקרה טכנו-מבצעי'!$E$5),OR('לוח בקרה טכנו-מבצעי'!$E$6="הכל",מלאי!O25='לוח בקרה טכנו-מבצעי'!$E$6),OR('לוח בקרה טכנו-מבצעי'!$E$7="הכל",מלאי!R25='לוח בקרה טכנו-מבצעי'!$E$7),OR('לוח בקרה טכנו-מבצעי'!$E$8="הכל",'לוח בקרה טכנו-מבצעי'!$E$8="",מלאי!W25='לוח בקרה טכנו-מבצעי'!$E$8),OR('לוח בקרה טכנו-מבצעי'!$E$9="הכל",'לוח בקרה טכנו-מבצעי'!$E$9="",ISNUMBER(SEARCH('לוח בקרה טכנו-מבצעי'!$E$9,מלאי!C25))),OR('לוח בקרה טכנו-מבצעי'!$B$10="הכל",מלאי!#REF!='לוח בקרה טכנו-מבצעי'!$B$10)),1,0)</f>
        <v>#REF!</v>
      </c>
      <c r="AF25">
        <f>IF(AD25=1,COUNTIF($AD$3:$AD25,1),"")</f>
        <v>6</v>
      </c>
      <c r="AG25" t="e">
        <f>IF(AE25=1,COUNTIF($AE$3:$AE25,1),"")</f>
        <v>#REF!</v>
      </c>
    </row>
    <row r="26" spans="1:33" ht="15" customHeight="1" x14ac:dyDescent="0.25">
      <c r="A26" s="19" t="s">
        <v>62</v>
      </c>
      <c r="B26" s="19" t="s">
        <v>86</v>
      </c>
      <c r="C26" s="19" t="s">
        <v>64</v>
      </c>
      <c r="D26" s="19" t="s">
        <v>87</v>
      </c>
      <c r="E26" s="19" t="str">
        <f>IFERROR(INDEX(הגדרות!$I$2:$I$47,MATCH(B26,הגדרות!$H$2:$H$47,0)),"")</f>
        <v>9097-00</v>
      </c>
      <c r="F26" s="19" t="s">
        <v>65</v>
      </c>
      <c r="G26" s="19"/>
      <c r="H26" s="19" t="s">
        <v>67</v>
      </c>
      <c r="I26" s="19" t="s">
        <v>88</v>
      </c>
      <c r="J26" s="19" t="s">
        <v>68</v>
      </c>
      <c r="K26" s="19" t="s">
        <v>68</v>
      </c>
      <c r="L26" s="19" t="s">
        <v>68</v>
      </c>
      <c r="M26" s="19" t="s">
        <v>68</v>
      </c>
      <c r="N26" s="19"/>
      <c r="O26" s="19" t="s">
        <v>68</v>
      </c>
      <c r="P26" s="19"/>
      <c r="Q26" s="19" t="s">
        <v>14</v>
      </c>
      <c r="R26" s="19"/>
      <c r="S26" s="19" t="s">
        <v>14</v>
      </c>
      <c r="T26" s="19" t="s">
        <v>69</v>
      </c>
      <c r="U26" s="19"/>
      <c r="V26" s="19"/>
      <c r="W26" s="19"/>
      <c r="X26" s="19"/>
      <c r="Y26" s="19"/>
      <c r="Z26" t="str">
        <f>IFERROR(INDEX(הגדרות!$B$2:$B$17,MATCH(H26,הגדרות!$A$2:$A$17,0)),"")</f>
        <v>מדברי</v>
      </c>
      <c r="AA26">
        <f>IFERROR(INDEX(הגדרות!$C$2:$C$17,MATCH(H26,הגדרות!$A$2:$A$17,0)),"")</f>
        <v>0</v>
      </c>
      <c r="AB26" t="str">
        <f>IFERROR(INDEX(הגדרות!$B$2:$B$17,MATCH(I26,הגדרות!$A$2:$A$17,0)),"")</f>
        <v>בולדר/שטח בנוי</v>
      </c>
      <c r="AC26">
        <f>IFERROR(INDEX(הגדרות!$C$2:$C$17,MATCH(I26,הגדרות!$A$2:$A$17,0)),"")</f>
        <v>0</v>
      </c>
      <c r="AD26">
        <f>IF(AND(מלאי!D26&lt;&gt;"",OR('לוח בקרה'!$B$4="הכל",מלאי!Z26='לוח בקרה'!$B$4,מלאי!AA26='לוח בקרה'!$B$4,מלאי!AB26='לוח בקרה'!$B$4,מלאי!AC26='לוח בקרה'!$B$4),OR('לוח בקרה'!$B$5="הכל",מלאי!A26='לוח בקרה'!$B$5),OR('לוח בקרה'!$B$6="הכל",מלאי!B26='לוח בקרה'!$B$6),OR('לוח בקרה'!$B$7="הכל",מלאי!F26='לוח בקרה'!$B$7,מלאי!G26='לוח בקרה'!$B$7),OR('לוח בקרה'!$B$8="הכל",מלאי!T26='לוח בקרה'!$B$8),OR('לוח בקרה'!$B$9="הכל",מלאי!Q26='לוח בקרה'!$B$9),OR('לוח בקרה'!$E$4="הכל",מלאי!J26='לוח בקרה'!$E$4),OR('לוח בקרה'!$E$5="הכל",מלאי!L26='לוח בקרה'!$E$5),OR('לוח בקרה'!$E$6="הכל",מלאי!O26='לוח בקרה'!$E$6),OR('לוח בקרה'!$E$7="הכל",מלאי!R26='לוח בקרה'!$E$7),OR('לוח בקרה'!$E$8="הכל",'לוח בקרה'!$E$8="",מלאי!W26='לוח בקרה'!$E$8),OR('לוח בקרה'!$E$9="הכל",'לוח בקרה'!$E$9="",ISNUMBER(SEARCH('לוח בקרה'!$E$9,מלאי!C26)))),1,0)</f>
        <v>0</v>
      </c>
      <c r="AE26" t="e">
        <f>IF(AND(מלאי!D26&lt;&gt;"",OR('לוח בקרה טכנו-מבצעי'!$B$4="הכל",מלאי!Z26='לוח בקרה טכנו-מבצעי'!$B$4,מלאי!AA26='לוח בקרה טכנו-מבצעי'!$B$4,מלאי!AB26='לוח בקרה טכנו-מבצעי'!$B$4,מלאי!AC26='לוח בקרה טכנו-מבצעי'!$B$4),OR('לוח בקרה טכנו-מבצעי'!$B$5="הכל",מלאי!A26='לוח בקרה טכנו-מבצעי'!$B$5),OR('לוח בקרה טכנו-מבצעי'!$B$6="הכל",מלאי!B26='לוח בקרה טכנו-מבצעי'!$B$6),OR('לוח בקרה טכנו-מבצעי'!$B$7="הכל",מלאי!F26='לוח בקרה טכנו-מבצעי'!$B$7,מלאי!G26='לוח בקרה טכנו-מבצעי'!$B$7),OR('לוח בקרה טכנו-מבצעי'!$B$8="הכל",מלאי!T26='לוח בקרה טכנו-מבצעי'!$B$8),OR('לוח בקרה טכנו-מבצעי'!$B$9="הכל",מלאי!Q26='לוח בקרה טכנו-מבצעי'!$B$9),OR('לוח בקרה טכנו-מבצעי'!$E$4="הכל",מלאי!J26='לוח בקרה טכנו-מבצעי'!$E$4),OR('לוח בקרה טכנו-מבצעי'!$E$5="הכל",מלאי!L26='לוח בקרה טכנו-מבצעי'!$E$5),OR('לוח בקרה טכנו-מבצעי'!$E$6="הכל",מלאי!O26='לוח בקרה טכנו-מבצעי'!$E$6),OR('לוח בקרה טכנו-מבצעי'!$E$7="הכל",מלאי!R26='לוח בקרה טכנו-מבצעי'!$E$7),OR('לוח בקרה טכנו-מבצעי'!$E$8="הכל",'לוח בקרה טכנו-מבצעי'!$E$8="",מלאי!W26='לוח בקרה טכנו-מבצעי'!$E$8),OR('לוח בקרה טכנו-מבצעי'!$E$9="הכל",'לוח בקרה טכנו-מבצעי'!$E$9="",ISNUMBER(SEARCH('לוח בקרה טכנו-מבצעי'!$E$9,מלאי!C26))),OR('לוח בקרה טכנו-מבצעי'!$B$10="הכל",מלאי!#REF!='לוח בקרה טכנו-מבצעי'!$B$10)),1,0)</f>
        <v>#REF!</v>
      </c>
      <c r="AF26" t="str">
        <f>IF(AD26=1,COUNTIF($AD$3:$AD26,1),"")</f>
        <v/>
      </c>
      <c r="AG26" t="e">
        <f>IF(AE26=1,COUNTIF($AE$3:$AE26,1),"")</f>
        <v>#REF!</v>
      </c>
    </row>
    <row r="27" spans="1:33" ht="15" customHeight="1" x14ac:dyDescent="0.25">
      <c r="A27" s="17" t="s">
        <v>62</v>
      </c>
      <c r="B27" s="17" t="s">
        <v>86</v>
      </c>
      <c r="C27" s="17" t="s">
        <v>64</v>
      </c>
      <c r="D27" s="17" t="s">
        <v>89</v>
      </c>
      <c r="E27" s="17" t="str">
        <f>IFERROR(INDEX(הגדרות!$I$2:$I$47,MATCH(B27,הגדרות!$H$2:$H$47,0)),"")</f>
        <v>9097-00</v>
      </c>
      <c r="F27" s="17" t="s">
        <v>65</v>
      </c>
      <c r="G27" s="17"/>
      <c r="H27" s="17" t="s">
        <v>67</v>
      </c>
      <c r="I27" s="17" t="s">
        <v>88</v>
      </c>
      <c r="J27" s="17" t="s">
        <v>68</v>
      </c>
      <c r="K27" s="17" t="s">
        <v>68</v>
      </c>
      <c r="L27" s="17" t="s">
        <v>68</v>
      </c>
      <c r="M27" s="17" t="s">
        <v>68</v>
      </c>
      <c r="N27" s="17"/>
      <c r="O27" s="17" t="s">
        <v>68</v>
      </c>
      <c r="P27" s="17"/>
      <c r="Q27" s="17" t="s">
        <v>14</v>
      </c>
      <c r="R27" s="17"/>
      <c r="S27" s="17" t="s">
        <v>14</v>
      </c>
      <c r="T27" s="17" t="s">
        <v>70</v>
      </c>
      <c r="U27" s="17"/>
      <c r="V27" s="17"/>
      <c r="W27" s="17"/>
      <c r="X27" s="17"/>
      <c r="Y27" s="17"/>
      <c r="Z27" t="str">
        <f>IFERROR(INDEX(הגדרות!$B$2:$B$17,MATCH(H27,הגדרות!$A$2:$A$17,0)),"")</f>
        <v>מדברי</v>
      </c>
      <c r="AA27">
        <f>IFERROR(INDEX(הגדרות!$C$2:$C$17,MATCH(H27,הגדרות!$A$2:$A$17,0)),"")</f>
        <v>0</v>
      </c>
      <c r="AB27" t="str">
        <f>IFERROR(INDEX(הגדרות!$B$2:$B$17,MATCH(I27,הגדרות!$A$2:$A$17,0)),"")</f>
        <v>בולדר/שטח בנוי</v>
      </c>
      <c r="AC27">
        <f>IFERROR(INDEX(הגדרות!$C$2:$C$17,MATCH(I27,הגדרות!$A$2:$A$17,0)),"")</f>
        <v>0</v>
      </c>
      <c r="AD27">
        <f>IF(AND(מלאי!D27&lt;&gt;"",OR('לוח בקרה'!$B$4="הכל",מלאי!Z27='לוח בקרה'!$B$4,מלאי!AA27='לוח בקרה'!$B$4,מלאי!AB27='לוח בקרה'!$B$4,מלאי!AC27='לוח בקרה'!$B$4),OR('לוח בקרה'!$B$5="הכל",מלאי!A27='לוח בקרה'!$B$5),OR('לוח בקרה'!$B$6="הכל",מלאי!B27='לוח בקרה'!$B$6),OR('לוח בקרה'!$B$7="הכל",מלאי!F27='לוח בקרה'!$B$7,מלאי!G27='לוח בקרה'!$B$7),OR('לוח בקרה'!$B$8="הכל",מלאי!T27='לוח בקרה'!$B$8),OR('לוח בקרה'!$B$9="הכל",מלאי!Q27='לוח בקרה'!$B$9),OR('לוח בקרה'!$E$4="הכל",מלאי!J27='לוח בקרה'!$E$4),OR('לוח בקרה'!$E$5="הכל",מלאי!L27='לוח בקרה'!$E$5),OR('לוח בקרה'!$E$6="הכל",מלאי!O27='לוח בקרה'!$E$6),OR('לוח בקרה'!$E$7="הכל",מלאי!R27='לוח בקרה'!$E$7),OR('לוח בקרה'!$E$8="הכל",'לוח בקרה'!$E$8="",מלאי!W27='לוח בקרה'!$E$8),OR('לוח בקרה'!$E$9="הכל",'לוח בקרה'!$E$9="",ISNUMBER(SEARCH('לוח בקרה'!$E$9,מלאי!C27)))),1,0)</f>
        <v>0</v>
      </c>
      <c r="AE27" t="e">
        <f>IF(AND(מלאי!D27&lt;&gt;"",OR('לוח בקרה טכנו-מבצעי'!$B$4="הכל",מלאי!Z27='לוח בקרה טכנו-מבצעי'!$B$4,מלאי!AA27='לוח בקרה טכנו-מבצעי'!$B$4,מלאי!AB27='לוח בקרה טכנו-מבצעי'!$B$4,מלאי!AC27='לוח בקרה טכנו-מבצעי'!$B$4),OR('לוח בקרה טכנו-מבצעי'!$B$5="הכל",מלאי!A27='לוח בקרה טכנו-מבצעי'!$B$5),OR('לוח בקרה טכנו-מבצעי'!$B$6="הכל",מלאי!B27='לוח בקרה טכנו-מבצעי'!$B$6),OR('לוח בקרה טכנו-מבצעי'!$B$7="הכל",מלאי!F27='לוח בקרה טכנו-מבצעי'!$B$7,מלאי!G27='לוח בקרה טכנו-מבצעי'!$B$7),OR('לוח בקרה טכנו-מבצעי'!$B$8="הכל",מלאי!T27='לוח בקרה טכנו-מבצעי'!$B$8),OR('לוח בקרה טכנו-מבצעי'!$B$9="הכל",מלאי!Q27='לוח בקרה טכנו-מבצעי'!$B$9),OR('לוח בקרה טכנו-מבצעי'!$E$4="הכל",מלאי!J27='לוח בקרה טכנו-מבצעי'!$E$4),OR('לוח בקרה טכנו-מבצעי'!$E$5="הכל",מלאי!L27='לוח בקרה טכנו-מבצעי'!$E$5),OR('לוח בקרה טכנו-מבצעי'!$E$6="הכל",מלאי!O27='לוח בקרה טכנו-מבצעי'!$E$6),OR('לוח בקרה טכנו-מבצעי'!$E$7="הכל",מלאי!R27='לוח בקרה טכנו-מבצעי'!$E$7),OR('לוח בקרה טכנו-מבצעי'!$E$8="הכל",'לוח בקרה טכנו-מבצעי'!$E$8="",מלאי!W27='לוח בקרה טכנו-מבצעי'!$E$8),OR('לוח בקרה טכנו-מבצעי'!$E$9="הכל",'לוח בקרה טכנו-מבצעי'!$E$9="",ISNUMBER(SEARCH('לוח בקרה טכנו-מבצעי'!$E$9,מלאי!C27))),OR('לוח בקרה טכנו-מבצעי'!$B$10="הכל",מלאי!#REF!='לוח בקרה טכנו-מבצעי'!$B$10)),1,0)</f>
        <v>#REF!</v>
      </c>
      <c r="AF27" t="str">
        <f>IF(AD27=1,COUNTIF($AD$3:$AD27,1),"")</f>
        <v/>
      </c>
      <c r="AG27" t="e">
        <f>IF(AE27=1,COUNTIF($AE$3:$AE27,1),"")</f>
        <v>#REF!</v>
      </c>
    </row>
    <row r="28" spans="1:33" ht="15" customHeight="1" x14ac:dyDescent="0.25">
      <c r="A28" s="19" t="s">
        <v>62</v>
      </c>
      <c r="B28" s="19" t="s">
        <v>90</v>
      </c>
      <c r="C28" s="19" t="s">
        <v>64</v>
      </c>
      <c r="D28" s="19" t="s">
        <v>307</v>
      </c>
      <c r="E28" s="19" t="str">
        <f>IFERROR(INDEX(הגדרות!$I$2:$I$47,MATCH(B28,הגדרות!$H$2:$H$47,0)),"")</f>
        <v>7018-00</v>
      </c>
      <c r="F28" s="19" t="s">
        <v>73</v>
      </c>
      <c r="G28" s="19"/>
      <c r="H28" s="19" t="s">
        <v>100</v>
      </c>
      <c r="I28" s="19"/>
      <c r="J28" s="19" t="s">
        <v>68</v>
      </c>
      <c r="K28" s="19"/>
      <c r="L28" s="19" t="s">
        <v>68</v>
      </c>
      <c r="M28" s="19"/>
      <c r="N28" s="19"/>
      <c r="O28" s="19" t="s">
        <v>68</v>
      </c>
      <c r="P28" s="19"/>
      <c r="Q28" s="19" t="s">
        <v>14</v>
      </c>
      <c r="R28" s="19"/>
      <c r="S28" s="19" t="s">
        <v>14</v>
      </c>
      <c r="T28" s="19" t="s">
        <v>69</v>
      </c>
      <c r="U28" s="19"/>
      <c r="V28" s="19"/>
      <c r="W28" s="19"/>
      <c r="X28" s="19"/>
      <c r="Y28" s="19"/>
      <c r="Z28" t="str">
        <f>IFERROR(INDEX(הגדרות!$B$2:$B$17,MATCH(H28,הגדרות!$A$2:$A$17,0)),"")</f>
        <v>מיוער</v>
      </c>
      <c r="AA28">
        <f>IFERROR(INDEX(הגדרות!$C$2:$C$17,MATCH(H28,הגדרות!$A$2:$A$17,0)),"")</f>
        <v>0</v>
      </c>
      <c r="AB28" t="str">
        <f>IFERROR(INDEX(הגדרות!$B$2:$B$17,MATCH(I28,הגדרות!$A$2:$A$17,0)),"")</f>
        <v/>
      </c>
      <c r="AC28" t="str">
        <f>IFERROR(INDEX(הגדרות!$C$2:$C$17,MATCH(I28,הגדרות!$A$2:$A$17,0)),"")</f>
        <v/>
      </c>
      <c r="AD28">
        <f>IF(AND(מלאי!D37&lt;&gt;"",OR('לוח בקרה'!$B$4="הכל",מלאי!Z37='לוח בקרה'!$B$4,מלאי!AA37='לוח בקרה'!$B$4,מלאי!AB37='לוח בקרה'!$B$4,מלאי!AC37='לוח בקרה'!$B$4),OR('לוח בקרה'!$B$5="הכל",מלאי!A37='לוח בקרה'!$B$5),OR('לוח בקרה'!$B$6="הכל",מלאי!B37='לוח בקרה'!$B$6),OR('לוח בקרה'!$B$7="הכל",מלאי!F37='לוח בקרה'!$B$7,מלאי!G37='לוח בקרה'!$B$7),OR('לוח בקרה'!$B$8="הכל",מלאי!T37='לוח בקרה'!$B$8),OR('לוח בקרה'!$B$9="הכל",מלאי!Q37='לוח בקרה'!$B$9),OR('לוח בקרה'!$E$4="הכל",מלאי!J37='לוח בקרה'!$E$4),OR('לוח בקרה'!$E$5="הכל",מלאי!L37='לוח בקרה'!$E$5),OR('לוח בקרה'!$E$6="הכל",מלאי!O37='לוח בקרה'!$E$6),OR('לוח בקרה'!$E$7="הכל",מלאי!R37='לוח בקרה'!$E$7),OR('לוח בקרה'!$E$8="הכל",'לוח בקרה'!$E$8="",מלאי!W37='לוח בקרה'!$E$8),OR('לוח בקרה'!$E$9="הכל",'לוח בקרה'!$E$9="",ISNUMBER(SEARCH('לוח בקרה'!$E$9,מלאי!C37)))),1,0)</f>
        <v>0</v>
      </c>
      <c r="AE28" t="e">
        <f>IF(AND(מלאי!D37&lt;&gt;"",OR('לוח בקרה טכנו-מבצעי'!$B$4="הכל",מלאי!Z37='לוח בקרה טכנו-מבצעי'!$B$4,מלאי!AA37='לוח בקרה טכנו-מבצעי'!$B$4,מלאי!AB37='לוח בקרה טכנו-מבצעי'!$B$4,מלאי!AC37='לוח בקרה טכנו-מבצעי'!$B$4),OR('לוח בקרה טכנו-מבצעי'!$B$5="הכל",מלאי!A37='לוח בקרה טכנו-מבצעי'!$B$5),OR('לוח בקרה טכנו-מבצעי'!$B$6="הכל",מלאי!B37='לוח בקרה טכנו-מבצעי'!$B$6),OR('לוח בקרה טכנו-מבצעי'!$B$7="הכל",מלאי!F37='לוח בקרה טכנו-מבצעי'!$B$7,מלאי!G37='לוח בקרה טכנו-מבצעי'!$B$7),OR('לוח בקרה טכנו-מבצעי'!$B$8="הכל",מלאי!T37='לוח בקרה טכנו-מבצעי'!$B$8),OR('לוח בקרה טכנו-מבצעי'!$B$9="הכל",מלאי!Q37='לוח בקרה טכנו-מבצעי'!$B$9),OR('לוח בקרה טכנו-מבצעי'!$E$4="הכל",מלאי!J37='לוח בקרה טכנו-מבצעי'!$E$4),OR('לוח בקרה טכנו-מבצעי'!$E$5="הכל",מלאי!L37='לוח בקרה טכנו-מבצעי'!$E$5),OR('לוח בקרה טכנו-מבצעי'!$E$6="הכל",מלאי!O37='לוח בקרה טכנו-מבצעי'!$E$6),OR('לוח בקרה טכנו-מבצעי'!$E$7="הכל",מלאי!R37='לוח בקרה טכנו-מבצעי'!$E$7),OR('לוח בקרה טכנו-מבצעי'!$E$8="הכל",'לוח בקרה טכנו-מבצעי'!$E$8="",מלאי!W37='לוח בקרה טכנו-מבצעי'!$E$8),OR('לוח בקרה טכנו-מבצעי'!$E$9="הכל",'לוח בקרה טכנו-מבצעי'!$E$9="",ISNUMBER(SEARCH('לוח בקרה טכנו-מבצעי'!$E$9,מלאי!C37))),OR('לוח בקרה טכנו-מבצעי'!$B$10="הכל",מלאי!#REF!='לוח בקרה טכנו-מבצעי'!$B$10)),1,0)</f>
        <v>#REF!</v>
      </c>
      <c r="AF28" t="str">
        <f>IF(AD28=1,COUNTIF($AD$3:$AD28,1),"")</f>
        <v/>
      </c>
      <c r="AG28" t="e">
        <f>IF(AE28=1,COUNTIF($AE$3:$AE28,1),"")</f>
        <v>#REF!</v>
      </c>
    </row>
    <row r="29" spans="1:33" ht="15" customHeight="1" x14ac:dyDescent="0.25">
      <c r="A29" s="19" t="s">
        <v>62</v>
      </c>
      <c r="B29" s="19" t="s">
        <v>90</v>
      </c>
      <c r="C29" s="17" t="s">
        <v>91</v>
      </c>
      <c r="D29" s="19" t="s">
        <v>308</v>
      </c>
      <c r="E29" s="19" t="str">
        <f>IFERROR(INDEX(הגדרות!$I$2:$I$47,MATCH(B29,הגדרות!$H$2:$H$47,0)),"")</f>
        <v>7018-00</v>
      </c>
      <c r="F29" s="19" t="s">
        <v>73</v>
      </c>
      <c r="G29" s="19"/>
      <c r="H29" s="19" t="s">
        <v>92</v>
      </c>
      <c r="I29" s="19"/>
      <c r="J29" s="19" t="s">
        <v>68</v>
      </c>
      <c r="K29" s="19"/>
      <c r="L29" s="19" t="s">
        <v>68</v>
      </c>
      <c r="M29" s="19"/>
      <c r="N29" s="19"/>
      <c r="O29" s="19" t="s">
        <v>68</v>
      </c>
      <c r="P29" s="19"/>
      <c r="Q29" s="19" t="s">
        <v>14</v>
      </c>
      <c r="R29" s="19"/>
      <c r="S29" s="19" t="s">
        <v>14</v>
      </c>
      <c r="T29" s="19" t="s">
        <v>69</v>
      </c>
      <c r="U29" s="19"/>
      <c r="V29" s="19"/>
      <c r="W29" s="19"/>
      <c r="X29" s="19"/>
      <c r="Y29" s="19"/>
      <c r="Z29" t="str">
        <f>IFERROR(INDEX(הגדרות!$B$2:$B$17,MATCH(H29,הגדרות!$A$2:$A$17,0)),"")</f>
        <v>ימי</v>
      </c>
      <c r="AA29">
        <f>IFERROR(INDEX(הגדרות!$C$2:$C$17,MATCH(H29,הגדרות!$A$2:$A$17,0)),"")</f>
        <v>0</v>
      </c>
      <c r="AB29" t="str">
        <f>IFERROR(INDEX(הגדרות!$B$2:$B$17,MATCH(I29,הגדרות!$A$2:$A$17,0)),"")</f>
        <v/>
      </c>
      <c r="AC29" t="str">
        <f>IFERROR(INDEX(הגדרות!$C$2:$C$17,MATCH(I29,הגדרות!$A$2:$A$17,0)),"")</f>
        <v/>
      </c>
      <c r="AD29">
        <f>IF(AND(מלאי!D43&lt;&gt;"",OR('לוח בקרה'!$B$4="הכל",מלאי!Z43='לוח בקרה'!$B$4,מלאי!AA43='לוח בקרה'!$B$4,מלאי!AB43='לוח בקרה'!$B$4,מלאי!AC43='לוח בקרה'!$B$4),OR('לוח בקרה'!$B$5="הכל",מלאי!A43='לוח בקרה'!$B$5),OR('לוח בקרה'!$B$6="הכל",מלאי!B43='לוח בקרה'!$B$6),OR('לוח בקרה'!$B$7="הכל",מלאי!F43='לוח בקרה'!$B$7,מלאי!G43='לוח בקרה'!$B$7),OR('לוח בקרה'!$B$8="הכל",מלאי!T43='לוח בקרה'!$B$8),OR('לוח בקרה'!$B$9="הכל",מלאי!Q43='לוח בקרה'!$B$9),OR('לוח בקרה'!$E$4="הכל",מלאי!J43='לוח בקרה'!$E$4),OR('לוח בקרה'!$E$5="הכל",מלאי!L43='לוח בקרה'!$E$5),OR('לוח בקרה'!$E$6="הכל",מלאי!O43='לוח בקרה'!$E$6),OR('לוח בקרה'!$E$7="הכל",מלאי!R43='לוח בקרה'!$E$7),OR('לוח בקרה'!$E$8="הכל",'לוח בקרה'!$E$8="",מלאי!W43='לוח בקרה'!$E$8),OR('לוח בקרה'!$E$9="הכל",'לוח בקרה'!$E$9="",ISNUMBER(SEARCH('לוח בקרה'!$E$9,מלאי!C43)))),1,0)</f>
        <v>1</v>
      </c>
      <c r="AE29" t="e">
        <f>IF(AND(מלאי!D43&lt;&gt;"",OR('לוח בקרה טכנו-מבצעי'!$B$4="הכל",מלאי!Z43='לוח בקרה טכנו-מבצעי'!$B$4,מלאי!AA43='לוח בקרה טכנו-מבצעי'!$B$4,מלאי!AB43='לוח בקרה טכנו-מבצעי'!$B$4,מלאי!AC43='לוח בקרה טכנו-מבצעי'!$B$4),OR('לוח בקרה טכנו-מבצעי'!$B$5="הכל",מלאי!A43='לוח בקרה טכנו-מבצעי'!$B$5),OR('לוח בקרה טכנו-מבצעי'!$B$6="הכל",מלאי!B43='לוח בקרה טכנו-מבצעי'!$B$6),OR('לוח בקרה טכנו-מבצעי'!$B$7="הכל",מלאי!F43='לוח בקרה טכנו-מבצעי'!$B$7,מלאי!G43='לוח בקרה טכנו-מבצעי'!$B$7),OR('לוח בקרה טכנו-מבצעי'!$B$8="הכל",מלאי!T43='לוח בקרה טכנו-מבצעי'!$B$8),OR('לוח בקרה טכנו-מבצעי'!$B$9="הכל",מלאי!Q43='לוח בקרה טכנו-מבצעי'!$B$9),OR('לוח בקרה טכנו-מבצעי'!$E$4="הכל",מלאי!J43='לוח בקרה טכנו-מבצעי'!$E$4),OR('לוח בקרה טכנו-מבצעי'!$E$5="הכל",מלאי!L43='לוח בקרה טכנו-מבצעי'!$E$5),OR('לוח בקרה טכנו-מבצעי'!$E$6="הכל",מלאי!O43='לוח בקרה טכנו-מבצעי'!$E$6),OR('לוח בקרה טכנו-מבצעי'!$E$7="הכל",מלאי!R43='לוח בקרה טכנו-מבצעי'!$E$7),OR('לוח בקרה טכנו-מבצעי'!$E$8="הכל",'לוח בקרה טכנו-מבצעי'!$E$8="",מלאי!W43='לוח בקרה טכנו-מבצעי'!$E$8),OR('לוח בקרה טכנו-מבצעי'!$E$9="הכל",'לוח בקרה טכנו-מבצעי'!$E$9="",ISNUMBER(SEARCH('לוח בקרה טכנו-מבצעי'!$E$9,מלאי!C43))),OR('לוח בקרה טכנו-מבצעי'!$B$10="הכל",מלאי!#REF!='לוח בקרה טכנו-מבצעי'!$B$10)),1,0)</f>
        <v>#REF!</v>
      </c>
      <c r="AF29">
        <f>IF(AD29=1,COUNTIF($AD$3:$AD29,1),"")</f>
        <v>7</v>
      </c>
      <c r="AG29" t="e">
        <f>IF(AE29=1,COUNTIF($AE$3:$AE29,1),"")</f>
        <v>#REF!</v>
      </c>
    </row>
    <row r="30" spans="1:33" ht="15" customHeight="1" x14ac:dyDescent="0.25">
      <c r="A30" s="19" t="s">
        <v>62</v>
      </c>
      <c r="B30" s="19" t="s">
        <v>90</v>
      </c>
      <c r="C30" s="19" t="s">
        <v>64</v>
      </c>
      <c r="D30" s="19" t="s">
        <v>309</v>
      </c>
      <c r="E30" s="19" t="str">
        <f>IFERROR(INDEX(הגדרות!$I$2:$I$47,MATCH(B30,הגדרות!$H$2:$H$47,0)),"")</f>
        <v>7018-00</v>
      </c>
      <c r="F30" s="19" t="s">
        <v>73</v>
      </c>
      <c r="G30" s="19"/>
      <c r="H30" s="19" t="s">
        <v>100</v>
      </c>
      <c r="I30" s="19"/>
      <c r="J30" s="19" t="s">
        <v>68</v>
      </c>
      <c r="K30" s="19"/>
      <c r="L30" s="19" t="s">
        <v>68</v>
      </c>
      <c r="M30" s="19"/>
      <c r="N30" s="19"/>
      <c r="O30" s="19" t="s">
        <v>68</v>
      </c>
      <c r="P30" s="29" t="s">
        <v>265</v>
      </c>
      <c r="Q30" s="19" t="s">
        <v>14</v>
      </c>
      <c r="R30" s="19"/>
      <c r="S30" s="19" t="s">
        <v>14</v>
      </c>
      <c r="T30" s="19" t="s">
        <v>69</v>
      </c>
      <c r="U30" s="19"/>
      <c r="V30" s="19"/>
      <c r="W30" s="19"/>
      <c r="X30" s="19"/>
      <c r="Y30" s="19"/>
      <c r="Z30" t="str">
        <f>IFERROR(INDEX(הגדרות!$B$2:$B$17,MATCH(H30,הגדרות!$A$2:$A$17,0)),"")</f>
        <v>מיוער</v>
      </c>
      <c r="AA30">
        <f>IFERROR(INDEX(הגדרות!$C$2:$C$17,MATCH(H30,הגדרות!$A$2:$A$17,0)),"")</f>
        <v>0</v>
      </c>
      <c r="AB30" t="str">
        <f>IFERROR(INDEX(הגדרות!$B$2:$B$17,MATCH(I30,הגדרות!$A$2:$A$17,0)),"")</f>
        <v/>
      </c>
      <c r="AC30" t="str">
        <f>IFERROR(INDEX(הגדרות!$C$2:$C$17,MATCH(I30,הגדרות!$A$2:$A$17,0)),"")</f>
        <v/>
      </c>
      <c r="AD30">
        <f>IF(AND(מלאי!D39&lt;&gt;"",OR('לוח בקרה'!$B$4="הכל",מלאי!Z39='לוח בקרה'!$B$4,מלאי!AA39='לוח בקרה'!$B$4,מלאי!AB39='לוח בקרה'!$B$4,מלאי!AC39='לוח בקרה'!$B$4),OR('לוח בקרה'!$B$5="הכל",מלאי!A39='לוח בקרה'!$B$5),OR('לוח בקרה'!$B$6="הכל",מלאי!B39='לוח בקרה'!$B$6),OR('לוח בקרה'!$B$7="הכל",מלאי!F39='לוח בקרה'!$B$7,מלאי!G39='לוח בקרה'!$B$7),OR('לוח בקרה'!$B$8="הכל",מלאי!T39='לוח בקרה'!$B$8),OR('לוח בקרה'!$B$9="הכל",מלאי!Q39='לוח בקרה'!$B$9),OR('לוח בקרה'!$E$4="הכל",מלאי!J39='לוח בקרה'!$E$4),OR('לוח בקרה'!$E$5="הכל",מלאי!L39='לוח בקרה'!$E$5),OR('לוח בקרה'!$E$6="הכל",מלאי!O39='לוח בקרה'!$E$6),OR('לוח בקרה'!$E$7="הכל",מלאי!R39='לוח בקרה'!$E$7),OR('לוח בקרה'!$E$8="הכל",'לוח בקרה'!$E$8="",מלאי!W39='לוח בקרה'!$E$8),OR('לוח בקרה'!$E$9="הכל",'לוח בקרה'!$E$9="",ISNUMBER(SEARCH('לוח בקרה'!$E$9,מלאי!C39)))),1,0)</f>
        <v>0</v>
      </c>
      <c r="AE30" t="e">
        <f>IF(AND(מלאי!D39&lt;&gt;"",OR('לוח בקרה טכנו-מבצעי'!$B$4="הכל",מלאי!Z39='לוח בקרה טכנו-מבצעי'!$B$4,מלאי!AA39='לוח בקרה טכנו-מבצעי'!$B$4,מלאי!AB39='לוח בקרה טכנו-מבצעי'!$B$4,מלאי!AC39='לוח בקרה טכנו-מבצעי'!$B$4),OR('לוח בקרה טכנו-מבצעי'!$B$5="הכל",מלאי!A39='לוח בקרה טכנו-מבצעי'!$B$5),OR('לוח בקרה טכנו-מבצעי'!$B$6="הכל",מלאי!B39='לוח בקרה טכנו-מבצעי'!$B$6),OR('לוח בקרה טכנו-מבצעי'!$B$7="הכל",מלאי!F39='לוח בקרה טכנו-מבצעי'!$B$7,מלאי!G39='לוח בקרה טכנו-מבצעי'!$B$7),OR('לוח בקרה טכנו-מבצעי'!$B$8="הכל",מלאי!T39='לוח בקרה טכנו-מבצעי'!$B$8),OR('לוח בקרה טכנו-מבצעי'!$B$9="הכל",מלאי!Q39='לוח בקרה טכנו-מבצעי'!$B$9),OR('לוח בקרה טכנו-מבצעי'!$E$4="הכל",מלאי!J39='לוח בקרה טכנו-מבצעי'!$E$4),OR('לוח בקרה טכנו-מבצעי'!$E$5="הכל",מלאי!L39='לוח בקרה טכנו-מבצעי'!$E$5),OR('לוח בקרה טכנו-מבצעי'!$E$6="הכל",מלאי!O39='לוח בקרה טכנו-מבצעי'!$E$6),OR('לוח בקרה טכנו-מבצעי'!$E$7="הכל",מלאי!R39='לוח בקרה טכנו-מבצעי'!$E$7),OR('לוח בקרה טכנו-מבצעי'!$E$8="הכל",'לוח בקרה טכנו-מבצעי'!$E$8="",מלאי!W39='לוח בקרה טכנו-מבצעי'!$E$8),OR('לוח בקרה טכנו-מבצעי'!$E$9="הכל",'לוח בקרה טכנו-מבצעי'!$E$9="",ISNUMBER(SEARCH('לוח בקרה טכנו-מבצעי'!$E$9,מלאי!C39))),OR('לוח בקרה טכנו-מבצעי'!$B$10="הכל",מלאי!#REF!='לוח בקרה טכנו-מבצעי'!$B$10)),1,0)</f>
        <v>#REF!</v>
      </c>
      <c r="AF30" t="str">
        <f>IF(AD30=1,COUNTIF($AD$3:$AD30,1),"")</f>
        <v/>
      </c>
      <c r="AG30" t="e">
        <f>IF(AE30=1,COUNTIF($AE$3:$AE30,1),"")</f>
        <v>#REF!</v>
      </c>
    </row>
    <row r="31" spans="1:33" ht="15" customHeight="1" x14ac:dyDescent="0.25">
      <c r="A31" s="19" t="s">
        <v>62</v>
      </c>
      <c r="B31" s="19" t="s">
        <v>90</v>
      </c>
      <c r="C31" s="19" t="s">
        <v>64</v>
      </c>
      <c r="D31" s="19" t="s">
        <v>310</v>
      </c>
      <c r="E31" s="19" t="str">
        <f>IFERROR(INDEX(הגדרות!$I$2:$I$47,MATCH(B31,הגדרות!$H$2:$H$47,0)),"")</f>
        <v>7018-00</v>
      </c>
      <c r="F31" s="19" t="s">
        <v>73</v>
      </c>
      <c r="G31" s="19"/>
      <c r="H31" s="19" t="s">
        <v>100</v>
      </c>
      <c r="I31" s="19"/>
      <c r="J31" s="19" t="s">
        <v>68</v>
      </c>
      <c r="K31" s="19"/>
      <c r="L31" s="19" t="s">
        <v>68</v>
      </c>
      <c r="M31" s="19"/>
      <c r="N31" s="19"/>
      <c r="O31" s="19" t="s">
        <v>68</v>
      </c>
      <c r="P31" s="19"/>
      <c r="Q31" s="19" t="s">
        <v>14</v>
      </c>
      <c r="R31" s="19"/>
      <c r="S31" s="19" t="s">
        <v>14</v>
      </c>
      <c r="T31" s="19" t="s">
        <v>69</v>
      </c>
      <c r="U31" s="19"/>
      <c r="V31" s="19"/>
      <c r="W31" s="19"/>
      <c r="X31" s="19"/>
      <c r="Y31" s="19"/>
      <c r="Z31" t="str">
        <f>IFERROR(INDEX(הגדרות!$B$2:$B$17,MATCH(H31,הגדרות!$A$2:$A$17,0)),"")</f>
        <v>מיוער</v>
      </c>
      <c r="AA31">
        <f>IFERROR(INDEX(הגדרות!$C$2:$C$17,MATCH(H31,הגדרות!$A$2:$A$17,0)),"")</f>
        <v>0</v>
      </c>
      <c r="AB31" t="str">
        <f>IFERROR(INDEX(הגדרות!$B$2:$B$17,MATCH(I31,הגדרות!$A$2:$A$17,0)),"")</f>
        <v/>
      </c>
      <c r="AC31" t="str">
        <f>IFERROR(INDEX(הגדרות!$C$2:$C$17,MATCH(I31,הגדרות!$A$2:$A$17,0)),"")</f>
        <v/>
      </c>
      <c r="AD31">
        <f>IF(AND(מלאי!D38&lt;&gt;"",OR('לוח בקרה'!$B$4="הכל",מלאי!Z38='לוח בקרה'!$B$4,מלאי!AA38='לוח בקרה'!$B$4,מלאי!AB38='לוח בקרה'!$B$4,מלאי!AC38='לוח בקרה'!$B$4),OR('לוח בקרה'!$B$5="הכל",מלאי!A38='לוח בקרה'!$B$5),OR('לוח בקרה'!$B$6="הכל",מלאי!B38='לוח בקרה'!$B$6),OR('לוח בקרה'!$B$7="הכל",מלאי!F38='לוח בקרה'!$B$7,מלאי!G38='לוח בקרה'!$B$7),OR('לוח בקרה'!$B$8="הכל",מלאי!T38='לוח בקרה'!$B$8),OR('לוח בקרה'!$B$9="הכל",מלאי!Q38='לוח בקרה'!$B$9),OR('לוח בקרה'!$E$4="הכל",מלאי!J38='לוח בקרה'!$E$4),OR('לוח בקרה'!$E$5="הכל",מלאי!L38='לוח בקרה'!$E$5),OR('לוח בקרה'!$E$6="הכל",מלאי!O38='לוח בקרה'!$E$6),OR('לוח בקרה'!$E$7="הכל",מלאי!R38='לוח בקרה'!$E$7),OR('לוח בקרה'!$E$8="הכל",'לוח בקרה'!$E$8="",מלאי!W38='לוח בקרה'!$E$8),OR('לוח בקרה'!$E$9="הכל",'לוח בקרה'!$E$9="",ISNUMBER(SEARCH('לוח בקרה'!$E$9,מלאי!C38)))),1,0)</f>
        <v>0</v>
      </c>
      <c r="AE31" t="e">
        <f>IF(AND(מלאי!D38&lt;&gt;"",OR('לוח בקרה טכנו-מבצעי'!$B$4="הכל",מלאי!Z38='לוח בקרה טכנו-מבצעי'!$B$4,מלאי!AA38='לוח בקרה טכנו-מבצעי'!$B$4,מלאי!AB38='לוח בקרה טכנו-מבצעי'!$B$4,מלאי!AC38='לוח בקרה טכנו-מבצעי'!$B$4),OR('לוח בקרה טכנו-מבצעי'!$B$5="הכל",מלאי!A38='לוח בקרה טכנו-מבצעי'!$B$5),OR('לוח בקרה טכנו-מבצעי'!$B$6="הכל",מלאי!B38='לוח בקרה טכנו-מבצעי'!$B$6),OR('לוח בקרה טכנו-מבצעי'!$B$7="הכל",מלאי!F38='לוח בקרה טכנו-מבצעי'!$B$7,מלאי!G38='לוח בקרה טכנו-מבצעי'!$B$7),OR('לוח בקרה טכנו-מבצעי'!$B$8="הכל",מלאי!T38='לוח בקרה טכנו-מבצעי'!$B$8),OR('לוח בקרה טכנו-מבצעי'!$B$9="הכל",מלאי!Q38='לוח בקרה טכנו-מבצעי'!$B$9),OR('לוח בקרה טכנו-מבצעי'!$E$4="הכל",מלאי!J38='לוח בקרה טכנו-מבצעי'!$E$4),OR('לוח בקרה טכנו-מבצעי'!$E$5="הכל",מלאי!L38='לוח בקרה טכנו-מבצעי'!$E$5),OR('לוח בקרה טכנו-מבצעי'!$E$6="הכל",מלאי!O38='לוח בקרה טכנו-מבצעי'!$E$6),OR('לוח בקרה טכנו-מבצעי'!$E$7="הכל",מלאי!R38='לוח בקרה טכנו-מבצעי'!$E$7),OR('לוח בקרה טכנו-מבצעי'!$E$8="הכל",'לוח בקרה טכנו-מבצעי'!$E$8="",מלאי!W38='לוח בקרה טכנו-מבצעי'!$E$8),OR('לוח בקרה טכנו-מבצעי'!$E$9="הכל",'לוח בקרה טכנו-מבצעי'!$E$9="",ISNUMBER(SEARCH('לוח בקרה טכנו-מבצעי'!$E$9,מלאי!C38))),OR('לוח בקרה טכנו-מבצעי'!$B$10="הכל",מלאי!#REF!='לוח בקרה טכנו-מבצעי'!$B$10)),1,0)</f>
        <v>#REF!</v>
      </c>
      <c r="AF31" t="str">
        <f>IF(AD31=1,COUNTIF($AD$3:$AD31,1),"")</f>
        <v/>
      </c>
      <c r="AG31" t="e">
        <f>IF(AE31=1,COUNTIF($AE$3:$AE31,1),"")</f>
        <v>#REF!</v>
      </c>
    </row>
    <row r="32" spans="1:33" ht="23.25" customHeight="1" x14ac:dyDescent="0.25">
      <c r="A32" s="19" t="s">
        <v>62</v>
      </c>
      <c r="B32" s="19" t="s">
        <v>90</v>
      </c>
      <c r="C32" s="19" t="s">
        <v>91</v>
      </c>
      <c r="D32" s="19" t="s">
        <v>297</v>
      </c>
      <c r="E32" s="19" t="str">
        <f>IFERROR(INDEX(הגדרות!$I$2:$I$47,MATCH(B32,הגדרות!$H$2:$H$47,0)),"")</f>
        <v>7018-00</v>
      </c>
      <c r="F32" s="19" t="s">
        <v>73</v>
      </c>
      <c r="G32" s="19"/>
      <c r="H32" s="19" t="s">
        <v>92</v>
      </c>
      <c r="I32" s="19"/>
      <c r="J32" s="19" t="s">
        <v>68</v>
      </c>
      <c r="K32" s="19"/>
      <c r="L32" s="19" t="s">
        <v>68</v>
      </c>
      <c r="M32" s="19"/>
      <c r="N32" s="19"/>
      <c r="O32" s="19" t="s">
        <v>68</v>
      </c>
      <c r="P32" s="19"/>
      <c r="Q32" s="19" t="s">
        <v>14</v>
      </c>
      <c r="R32" s="19"/>
      <c r="S32" s="19" t="s">
        <v>14</v>
      </c>
      <c r="T32" s="19" t="s">
        <v>69</v>
      </c>
      <c r="U32" s="19"/>
      <c r="V32" s="19"/>
      <c r="W32" s="19"/>
      <c r="X32" s="19"/>
      <c r="Y32" s="19"/>
      <c r="Z32" t="str">
        <f>IFERROR(INDEX(הגדרות!$B$2:$B$17,MATCH(H32,הגדרות!$A$2:$A$17,0)),"")</f>
        <v>ימי</v>
      </c>
      <c r="AA32">
        <f>IFERROR(INDEX(הגדרות!$C$2:$C$17,MATCH(H32,הגדרות!$A$2:$A$17,0)),"")</f>
        <v>0</v>
      </c>
      <c r="AB32" t="str">
        <f>IFERROR(INDEX(הגדרות!$B$2:$B$17,MATCH(I32,הגדרות!$A$2:$A$17,0)),"")</f>
        <v/>
      </c>
      <c r="AC32" t="str">
        <f>IFERROR(INDEX(הגדרות!$C$2:$C$17,MATCH(I32,הגדרות!$A$2:$A$17,0)),"")</f>
        <v/>
      </c>
      <c r="AD32">
        <f>IF(AND(מלאי!D36&lt;&gt;"",OR('לוח בקרה'!$B$4="הכל",מלאי!Z36='לוח בקרה'!$B$4,מלאי!AA36='לוח בקרה'!$B$4,מלאי!AB36='לוח בקרה'!$B$4,מלאי!AC36='לוח בקרה'!$B$4),OR('לוח בקרה'!$B$5="הכל",מלאי!A36='לוח בקרה'!$B$5),OR('לוח בקרה'!$B$6="הכל",מלאי!B36='לוח בקרה'!$B$6),OR('לוח בקרה'!$B$7="הכל",מלאי!F36='לוח בקרה'!$B$7,מלאי!G36='לוח בקרה'!$B$7),OR('לוח בקרה'!$B$8="הכל",מלאי!T36='לוח בקרה'!$B$8),OR('לוח בקרה'!$B$9="הכל",מלאי!Q36='לוח בקרה'!$B$9),OR('לוח בקרה'!$E$4="הכל",מלאי!J36='לוח בקרה'!$E$4),OR('לוח בקרה'!$E$5="הכל",מלאי!L36='לוח בקרה'!$E$5),OR('לוח בקרה'!$E$6="הכל",מלאי!O36='לוח בקרה'!$E$6),OR('לוח בקרה'!$E$7="הכל",מלאי!R36='לוח בקרה'!$E$7),OR('לוח בקרה'!$E$8="הכל",'לוח בקרה'!$E$8="",מלאי!W36='לוח בקרה'!$E$8),OR('לוח בקרה'!$E$9="הכל",'לוח בקרה'!$E$9="",ISNUMBER(SEARCH('לוח בקרה'!$E$9,מלאי!C36)))),1,0)</f>
        <v>0</v>
      </c>
      <c r="AE32" t="e">
        <f>IF(AND(מלאי!D36&lt;&gt;"",OR('לוח בקרה טכנו-מבצעי'!$B$4="הכל",מלאי!Z36='לוח בקרה טכנו-מבצעי'!$B$4,מלאי!AA36='לוח בקרה טכנו-מבצעי'!$B$4,מלאי!AB36='לוח בקרה טכנו-מבצעי'!$B$4,מלאי!AC36='לוח בקרה טכנו-מבצעי'!$B$4),OR('לוח בקרה טכנו-מבצעי'!$B$5="הכל",מלאי!A36='לוח בקרה טכנו-מבצעי'!$B$5),OR('לוח בקרה טכנו-מבצעי'!$B$6="הכל",מלאי!B36='לוח בקרה טכנו-מבצעי'!$B$6),OR('לוח בקרה טכנו-מבצעי'!$B$7="הכל",מלאי!F36='לוח בקרה טכנו-מבצעי'!$B$7,מלאי!G36='לוח בקרה טכנו-מבצעי'!$B$7),OR('לוח בקרה טכנו-מבצעי'!$B$8="הכל",מלאי!T36='לוח בקרה טכנו-מבצעי'!$B$8),OR('לוח בקרה טכנו-מבצעי'!$B$9="הכל",מלאי!Q36='לוח בקרה טכנו-מבצעי'!$B$9),OR('לוח בקרה טכנו-מבצעי'!$E$4="הכל",מלאי!J36='לוח בקרה טכנו-מבצעי'!$E$4),OR('לוח בקרה טכנו-מבצעי'!$E$5="הכל",מלאי!L36='לוח בקרה טכנו-מבצעי'!$E$5),OR('לוח בקרה טכנו-מבצעי'!$E$6="הכל",מלאי!O36='לוח בקרה טכנו-מבצעי'!$E$6),OR('לוח בקרה טכנו-מבצעי'!$E$7="הכל",מלאי!R36='לוח בקרה טכנו-מבצעי'!$E$7),OR('לוח בקרה טכנו-מבצעי'!$E$8="הכל",'לוח בקרה טכנו-מבצעי'!$E$8="",מלאי!W36='לוח בקרה טכנו-מבצעי'!$E$8),OR('לוח בקרה טכנו-מבצעי'!$E$9="הכל",'לוח בקרה טכנו-מבצעי'!$E$9="",ISNUMBER(SEARCH('לוח בקרה טכנו-מבצעי'!$E$9,מלאי!C36))),OR('לוח בקרה טכנו-מבצעי'!$B$10="הכל",מלאי!#REF!='לוח בקרה טכנו-מבצעי'!$B$10)),1,0)</f>
        <v>#REF!</v>
      </c>
      <c r="AF32" t="str">
        <f>IF(AD32=1,COUNTIF($AD$3:$AD32,1),"")</f>
        <v/>
      </c>
      <c r="AG32" t="e">
        <f>IF(AE32=1,COUNTIF($AE$3:$AE32,1),"")</f>
        <v>#REF!</v>
      </c>
    </row>
    <row r="33" spans="1:33" ht="15" customHeight="1" x14ac:dyDescent="0.25">
      <c r="A33" s="17" t="s">
        <v>62</v>
      </c>
      <c r="B33" s="17" t="s">
        <v>90</v>
      </c>
      <c r="C33" s="17" t="s">
        <v>91</v>
      </c>
      <c r="D33" s="17" t="s">
        <v>298</v>
      </c>
      <c r="E33" s="17" t="str">
        <f>IFERROR(INDEX(הגדרות!$I$2:$I$47,MATCH(B33,הגדרות!$H$2:$H$47,0)),"")</f>
        <v>7018-00</v>
      </c>
      <c r="F33" s="17" t="s">
        <v>73</v>
      </c>
      <c r="G33" s="17"/>
      <c r="H33" s="17" t="s">
        <v>66</v>
      </c>
      <c r="I33" s="17"/>
      <c r="J33" s="17" t="s">
        <v>68</v>
      </c>
      <c r="K33" s="17"/>
      <c r="L33" s="17" t="s">
        <v>68</v>
      </c>
      <c r="M33" s="17"/>
      <c r="N33" s="17"/>
      <c r="O33" s="17" t="s">
        <v>68</v>
      </c>
      <c r="P33" s="17"/>
      <c r="Q33" s="17" t="s">
        <v>14</v>
      </c>
      <c r="R33" s="17"/>
      <c r="S33" s="17" t="s">
        <v>14</v>
      </c>
      <c r="T33" s="17" t="s">
        <v>69</v>
      </c>
      <c r="U33" s="17"/>
      <c r="V33" s="17"/>
      <c r="W33" s="17"/>
      <c r="X33" s="17"/>
      <c r="Y33" s="17"/>
      <c r="Z33" t="str">
        <f>IFERROR(INDEX(הגדרות!$B$2:$B$17,MATCH(H33,הגדרות!$A$2:$A$17,0)),"")</f>
        <v>מיוער</v>
      </c>
      <c r="AA33">
        <f>IFERROR(INDEX(הגדרות!$C$2:$C$17,MATCH(H33,הגדרות!$A$2:$A$17,0)),"")</f>
        <v>0</v>
      </c>
      <c r="AB33" t="str">
        <f>IFERROR(INDEX(הגדרות!$B$2:$B$17,MATCH(I33,הגדרות!$A$2:$A$17,0)),"")</f>
        <v/>
      </c>
      <c r="AC33" t="str">
        <f>IFERROR(INDEX(הגדרות!$C$2:$C$17,MATCH(I33,הגדרות!$A$2:$A$17,0)),"")</f>
        <v/>
      </c>
      <c r="AD33">
        <f>IF(AND(מלאי!D35&lt;&gt;"",OR('לוח בקרה'!$B$4="הכל",מלאי!Z35='לוח בקרה'!$B$4,מלאי!AA35='לוח בקרה'!$B$4,מלאי!AB35='לוח בקרה'!$B$4,מלאי!AC35='לוח בקרה'!$B$4),OR('לוח בקרה'!$B$5="הכל",מלאי!A35='לוח בקרה'!$B$5),OR('לוח בקרה'!$B$6="הכל",מלאי!B35='לוח בקרה'!$B$6),OR('לוח בקרה'!$B$7="הכל",מלאי!F35='לוח בקרה'!$B$7,מלאי!G35='לוח בקרה'!$B$7),OR('לוח בקרה'!$B$8="הכל",מלאי!T35='לוח בקרה'!$B$8),OR('לוח בקרה'!$B$9="הכל",מלאי!Q35='לוח בקרה'!$B$9),OR('לוח בקרה'!$E$4="הכל",מלאי!J35='לוח בקרה'!$E$4),OR('לוח בקרה'!$E$5="הכל",מלאי!L35='לוח בקרה'!$E$5),OR('לוח בקרה'!$E$6="הכל",מלאי!O35='לוח בקרה'!$E$6),OR('לוח בקרה'!$E$7="הכל",מלאי!R35='לוח בקרה'!$E$7),OR('לוח בקרה'!$E$8="הכל",'לוח בקרה'!$E$8="",מלאי!W35='לוח בקרה'!$E$8),OR('לוח בקרה'!$E$9="הכל",'לוח בקרה'!$E$9="",ISNUMBER(SEARCH('לוח בקרה'!$E$9,מלאי!C35)))),1,0)</f>
        <v>0</v>
      </c>
      <c r="AE33" t="e">
        <f>IF(AND(מלאי!D35&lt;&gt;"",OR('לוח בקרה טכנו-מבצעי'!$B$4="הכל",מלאי!Z35='לוח בקרה טכנו-מבצעי'!$B$4,מלאי!AA35='לוח בקרה טכנו-מבצעי'!$B$4,מלאי!AB35='לוח בקרה טכנו-מבצעי'!$B$4,מלאי!AC35='לוח בקרה טכנו-מבצעי'!$B$4),OR('לוח בקרה טכנו-מבצעי'!$B$5="הכל",מלאי!A35='לוח בקרה טכנו-מבצעי'!$B$5),OR('לוח בקרה טכנו-מבצעי'!$B$6="הכל",מלאי!B35='לוח בקרה טכנו-מבצעי'!$B$6),OR('לוח בקרה טכנו-מבצעי'!$B$7="הכל",מלאי!F35='לוח בקרה טכנו-מבצעי'!$B$7,מלאי!G35='לוח בקרה טכנו-מבצעי'!$B$7),OR('לוח בקרה טכנו-מבצעי'!$B$8="הכל",מלאי!T35='לוח בקרה טכנו-מבצעי'!$B$8),OR('לוח בקרה טכנו-מבצעי'!$B$9="הכל",מלאי!Q35='לוח בקרה טכנו-מבצעי'!$B$9),OR('לוח בקרה טכנו-מבצעי'!$E$4="הכל",מלאי!J35='לוח בקרה טכנו-מבצעי'!$E$4),OR('לוח בקרה טכנו-מבצעי'!$E$5="הכל",מלאי!L35='לוח בקרה טכנו-מבצעי'!$E$5),OR('לוח בקרה טכנו-מבצעי'!$E$6="הכל",מלאי!O35='לוח בקרה טכנו-מבצעי'!$E$6),OR('לוח בקרה טכנו-מבצעי'!$E$7="הכל",מלאי!R35='לוח בקרה טכנו-מבצעי'!$E$7),OR('לוח בקרה טכנו-מבצעי'!$E$8="הכל",'לוח בקרה טכנו-מבצעי'!$E$8="",מלאי!W35='לוח בקרה טכנו-מבצעי'!$E$8),OR('לוח בקרה טכנו-מבצעי'!$E$9="הכל",'לוח בקרה טכנו-מבצעי'!$E$9="",ISNUMBER(SEARCH('לוח בקרה טכנו-מבצעי'!$E$9,מלאי!C35))),OR('לוח בקרה טכנו-מבצעי'!$B$10="הכל",מלאי!#REF!='לוח בקרה טכנו-מבצעי'!$B$10)),1,0)</f>
        <v>#REF!</v>
      </c>
      <c r="AF33" t="str">
        <f>IF(AD33=1,COUNTIF($AD$3:$AD33,1),"")</f>
        <v/>
      </c>
      <c r="AG33" t="e">
        <f>IF(AE33=1,COUNTIF($AE$3:$AE33,1),"")</f>
        <v>#REF!</v>
      </c>
    </row>
    <row r="34" spans="1:33" ht="23.25" customHeight="1" x14ac:dyDescent="0.25">
      <c r="A34" s="17" t="s">
        <v>62</v>
      </c>
      <c r="B34" s="17" t="s">
        <v>90</v>
      </c>
      <c r="C34" s="17" t="s">
        <v>91</v>
      </c>
      <c r="D34" s="17" t="s">
        <v>299</v>
      </c>
      <c r="E34" s="17" t="str">
        <f>IFERROR(INDEX(הגדרות!$I$2:$I$47,MATCH(B34,הגדרות!$H$2:$H$47,0)),"")</f>
        <v>7018-00</v>
      </c>
      <c r="F34" s="17" t="s">
        <v>73</v>
      </c>
      <c r="G34" s="17"/>
      <c r="H34" s="17" t="s">
        <v>95</v>
      </c>
      <c r="I34" s="17" t="s">
        <v>96</v>
      </c>
      <c r="J34" s="17" t="s">
        <v>68</v>
      </c>
      <c r="K34" s="17" t="s">
        <v>68</v>
      </c>
      <c r="L34" s="17" t="s">
        <v>68</v>
      </c>
      <c r="M34" s="17" t="s">
        <v>68</v>
      </c>
      <c r="N34" s="17"/>
      <c r="O34" s="17" t="s">
        <v>68</v>
      </c>
      <c r="P34" s="17"/>
      <c r="Q34" s="17" t="s">
        <v>14</v>
      </c>
      <c r="R34" s="17"/>
      <c r="S34" s="17" t="s">
        <v>14</v>
      </c>
      <c r="T34" s="17" t="s">
        <v>69</v>
      </c>
      <c r="U34" s="17"/>
      <c r="V34" s="17"/>
      <c r="W34" s="17"/>
      <c r="X34" s="17"/>
      <c r="Y34" s="17"/>
      <c r="Z34" t="str">
        <f>IFERROR(INDEX(הגדרות!$B$2:$B$17,MATCH(H34,הגדרות!$A$2:$A$17,0)),"")</f>
        <v>מיוער</v>
      </c>
      <c r="AA34">
        <f>IFERROR(INDEX(הגדרות!$C$2:$C$17,MATCH(H34,הגדרות!$A$2:$A$17,0)),"")</f>
        <v>0</v>
      </c>
      <c r="AB34" t="str">
        <f>IFERROR(INDEX(הגדרות!$B$2:$B$17,MATCH(I34,הגדרות!$A$2:$A$17,0)),"")</f>
        <v>מדברי</v>
      </c>
      <c r="AC34">
        <f>IFERROR(INDEX(הגדרות!$C$2:$C$17,MATCH(I34,הגדרות!$A$2:$A$17,0)),"")</f>
        <v>0</v>
      </c>
      <c r="AD34">
        <f>IF(AND(מלאי!D33&lt;&gt;"",OR('לוח בקרה'!$B$4="הכל",מלאי!Z33='לוח בקרה'!$B$4,מלאי!AA33='לוח בקרה'!$B$4,מלאי!AB33='לוח בקרה'!$B$4,מלאי!AC33='לוח בקרה'!$B$4),OR('לוח בקרה'!$B$5="הכל",מלאי!A33='לוח בקרה'!$B$5),OR('לוח בקרה'!$B$6="הכל",מלאי!B33='לוח בקרה'!$B$6),OR('לוח בקרה'!$B$7="הכל",מלאי!F33='לוח בקרה'!$B$7,מלאי!G33='לוח בקרה'!$B$7),OR('לוח בקרה'!$B$8="הכל",מלאי!T33='לוח בקרה'!$B$8),OR('לוח בקרה'!$B$9="הכל",מלאי!Q33='לוח בקרה'!$B$9),OR('לוח בקרה'!$E$4="הכל",מלאי!J33='לוח בקרה'!$E$4),OR('לוח בקרה'!$E$5="הכל",מלאי!L33='לוח בקרה'!$E$5),OR('לוח בקרה'!$E$6="הכל",מלאי!O33='לוח בקרה'!$E$6),OR('לוח בקרה'!$E$7="הכל",מלאי!R33='לוח בקרה'!$E$7),OR('לוח בקרה'!$E$8="הכל",'לוח בקרה'!$E$8="",מלאי!W33='לוח בקרה'!$E$8),OR('לוח בקרה'!$E$9="הכל",'לוח בקרה'!$E$9="",ISNUMBER(SEARCH('לוח בקרה'!$E$9,מלאי!C33)))),1,0)</f>
        <v>1</v>
      </c>
      <c r="AE34" t="e">
        <f>IF(AND(מלאי!D33&lt;&gt;"",OR('לוח בקרה טכנו-מבצעי'!$B$4="הכל",מלאי!Z33='לוח בקרה טכנו-מבצעי'!$B$4,מלאי!AA33='לוח בקרה טכנו-מבצעי'!$B$4,מלאי!AB33='לוח בקרה טכנו-מבצעי'!$B$4,מלאי!AC33='לוח בקרה טכנו-מבצעי'!$B$4),OR('לוח בקרה טכנו-מבצעי'!$B$5="הכל",מלאי!A33='לוח בקרה טכנו-מבצעי'!$B$5),OR('לוח בקרה טכנו-מבצעי'!$B$6="הכל",מלאי!B33='לוח בקרה טכנו-מבצעי'!$B$6),OR('לוח בקרה טכנו-מבצעי'!$B$7="הכל",מלאי!F33='לוח בקרה טכנו-מבצעי'!$B$7,מלאי!G33='לוח בקרה טכנו-מבצעי'!$B$7),OR('לוח בקרה טכנו-מבצעי'!$B$8="הכל",מלאי!T33='לוח בקרה טכנו-מבצעי'!$B$8),OR('לוח בקרה טכנו-מבצעי'!$B$9="הכל",מלאי!Q33='לוח בקרה טכנו-מבצעי'!$B$9),OR('לוח בקרה טכנו-מבצעי'!$E$4="הכל",מלאי!J33='לוח בקרה טכנו-מבצעי'!$E$4),OR('לוח בקרה טכנו-מבצעי'!$E$5="הכל",מלאי!L33='לוח בקרה טכנו-מבצעי'!$E$5),OR('לוח בקרה טכנו-מבצעי'!$E$6="הכל",מלאי!O33='לוח בקרה טכנו-מבצעי'!$E$6),OR('לוח בקרה טכנו-מבצעי'!$E$7="הכל",מלאי!R33='לוח בקרה טכנו-מבצעי'!$E$7),OR('לוח בקרה טכנו-מבצעי'!$E$8="הכל",'לוח בקרה טכנו-מבצעי'!$E$8="",מלאי!W33='לוח בקרה טכנו-מבצעי'!$E$8),OR('לוח בקרה טכנו-מבצעי'!$E$9="הכל",'לוח בקרה טכנו-מבצעי'!$E$9="",ISNUMBER(SEARCH('לוח בקרה טכנו-מבצעי'!$E$9,מלאי!C33))),OR('לוח בקרה טכנו-מבצעי'!$B$10="הכל",מלאי!#REF!='לוח בקרה טכנו-מבצעי'!$B$10)),1,0)</f>
        <v>#REF!</v>
      </c>
      <c r="AF34">
        <f>IF(AD34=1,COUNTIF($AD$3:$AD34,1),"")</f>
        <v>8</v>
      </c>
      <c r="AG34" t="e">
        <f>IF(AE34=1,COUNTIF($AE$3:$AE34,1),"")</f>
        <v>#REF!</v>
      </c>
    </row>
    <row r="35" spans="1:33" ht="15" customHeight="1" x14ac:dyDescent="0.25">
      <c r="A35" s="19" t="s">
        <v>62</v>
      </c>
      <c r="B35" s="19" t="s">
        <v>90</v>
      </c>
      <c r="C35" s="19" t="s">
        <v>91</v>
      </c>
      <c r="D35" s="19" t="s">
        <v>300</v>
      </c>
      <c r="E35" s="19" t="str">
        <f>IFERROR(INDEX(הגדרות!$I$2:$I$47,MATCH(B35,הגדרות!$H$2:$H$47,0)),"")</f>
        <v>7018-00</v>
      </c>
      <c r="F35" s="19" t="s">
        <v>73</v>
      </c>
      <c r="G35" s="19"/>
      <c r="H35" s="19" t="s">
        <v>92</v>
      </c>
      <c r="I35" s="19"/>
      <c r="J35" s="19" t="s">
        <v>68</v>
      </c>
      <c r="K35" s="19"/>
      <c r="L35" s="19" t="s">
        <v>68</v>
      </c>
      <c r="M35" s="19"/>
      <c r="N35" s="19"/>
      <c r="O35" s="19" t="s">
        <v>68</v>
      </c>
      <c r="P35" s="19"/>
      <c r="Q35" s="19" t="s">
        <v>14</v>
      </c>
      <c r="R35" s="19"/>
      <c r="S35" s="19" t="s">
        <v>14</v>
      </c>
      <c r="T35" s="19" t="s">
        <v>69</v>
      </c>
      <c r="U35" s="19"/>
      <c r="V35" s="19"/>
      <c r="W35" s="19"/>
      <c r="X35" s="19"/>
      <c r="Y35" s="19"/>
      <c r="Z35" t="str">
        <f>IFERROR(INDEX(הגדרות!$B$2:$B$17,MATCH(H35,הגדרות!$A$2:$A$17,0)),"")</f>
        <v>ימי</v>
      </c>
      <c r="AA35">
        <f>IFERROR(INDEX(הגדרות!$C$2:$C$17,MATCH(H35,הגדרות!$A$2:$A$17,0)),"")</f>
        <v>0</v>
      </c>
      <c r="AB35" t="str">
        <f>IFERROR(INDEX(הגדרות!$B$2:$B$17,MATCH(I35,הגדרות!$A$2:$A$17,0)),"")</f>
        <v/>
      </c>
      <c r="AC35" t="str">
        <f>IFERROR(INDEX(הגדרות!$C$2:$C$17,MATCH(I35,הגדרות!$A$2:$A$17,0)),"")</f>
        <v/>
      </c>
      <c r="AD35">
        <f>IF(AND(מלאי!D28&lt;&gt;"",OR('לוח בקרה'!$B$4="הכל",מלאי!Z28='לוח בקרה'!$B$4,מלאי!AA28='לוח בקרה'!$B$4,מלאי!AB28='לוח בקרה'!$B$4,מלאי!AC28='לוח בקרה'!$B$4),OR('לוח בקרה'!$B$5="הכל",מלאי!A28='לוח בקרה'!$B$5),OR('לוח בקרה'!$B$6="הכל",מלאי!B28='לוח בקרה'!$B$6),OR('לוח בקרה'!$B$7="הכל",מלאי!F28='לוח בקרה'!$B$7,מלאי!G28='לוח בקרה'!$B$7),OR('לוח בקרה'!$B$8="הכל",מלאי!T28='לוח בקרה'!$B$8),OR('לוח בקרה'!$B$9="הכל",מלאי!Q28='לוח בקרה'!$B$9),OR('לוח בקרה'!$E$4="הכל",מלאי!J28='לוח בקרה'!$E$4),OR('לוח בקרה'!$E$5="הכל",מלאי!L28='לוח בקרה'!$E$5),OR('לוח בקרה'!$E$6="הכל",מלאי!O28='לוח בקרה'!$E$6),OR('לוח בקרה'!$E$7="הכל",מלאי!R28='לוח בקרה'!$E$7),OR('לוח בקרה'!$E$8="הכל",'לוח בקרה'!$E$8="",מלאי!W28='לוח בקרה'!$E$8),OR('לוח בקרה'!$E$9="הכל",'לוח בקרה'!$E$9="",ISNUMBER(SEARCH('לוח בקרה'!$E$9,מלאי!C28)))),1,0)</f>
        <v>1</v>
      </c>
      <c r="AE35" t="e">
        <f>IF(AND(מלאי!D28&lt;&gt;"",OR('לוח בקרה טכנו-מבצעי'!$B$4="הכל",מלאי!Z28='לוח בקרה טכנו-מבצעי'!$B$4,מלאי!AA28='לוח בקרה טכנו-מבצעי'!$B$4,מלאי!AB28='לוח בקרה טכנו-מבצעי'!$B$4,מלאי!AC28='לוח בקרה טכנו-מבצעי'!$B$4),OR('לוח בקרה טכנו-מבצעי'!$B$5="הכל",מלאי!A28='לוח בקרה טכנו-מבצעי'!$B$5),OR('לוח בקרה טכנו-מבצעי'!$B$6="הכל",מלאי!B28='לוח בקרה טכנו-מבצעי'!$B$6),OR('לוח בקרה טכנו-מבצעי'!$B$7="הכל",מלאי!F28='לוח בקרה טכנו-מבצעי'!$B$7,מלאי!G28='לוח בקרה טכנו-מבצעי'!$B$7),OR('לוח בקרה טכנו-מבצעי'!$B$8="הכל",מלאי!T28='לוח בקרה טכנו-מבצעי'!$B$8),OR('לוח בקרה טכנו-מבצעי'!$B$9="הכל",מלאי!Q28='לוח בקרה טכנו-מבצעי'!$B$9),OR('לוח בקרה טכנו-מבצעי'!$E$4="הכל",מלאי!J28='לוח בקרה טכנו-מבצעי'!$E$4),OR('לוח בקרה טכנו-מבצעי'!$E$5="הכל",מלאי!L28='לוח בקרה טכנו-מבצעי'!$E$5),OR('לוח בקרה טכנו-מבצעי'!$E$6="הכל",מלאי!O28='לוח בקרה טכנו-מבצעי'!$E$6),OR('לוח בקרה טכנו-מבצעי'!$E$7="הכל",מלאי!R28='לוח בקרה טכנו-מבצעי'!$E$7),OR('לוח בקרה טכנו-מבצעי'!$E$8="הכל",'לוח בקרה טכנו-מבצעי'!$E$8="",מלאי!W28='לוח בקרה טכנו-מבצעי'!$E$8),OR('לוח בקרה טכנו-מבצעי'!$E$9="הכל",'לוח בקרה טכנו-מבצעי'!$E$9="",ISNUMBER(SEARCH('לוח בקרה טכנו-מבצעי'!$E$9,מלאי!C28))),OR('לוח בקרה טכנו-מבצעי'!$B$10="הכל",מלאי!#REF!='לוח בקרה טכנו-מבצעי'!$B$10)),1,0)</f>
        <v>#REF!</v>
      </c>
      <c r="AF35">
        <f>IF(AD35=1,COUNTIF($AD$3:$AD35,1),"")</f>
        <v>9</v>
      </c>
      <c r="AG35" t="e">
        <f>IF(AE35=1,COUNTIF($AE$3:$AE35,1),"")</f>
        <v>#REF!</v>
      </c>
    </row>
    <row r="36" spans="1:33" ht="15" customHeight="1" x14ac:dyDescent="0.25">
      <c r="A36" s="17" t="s">
        <v>62</v>
      </c>
      <c r="B36" s="17" t="s">
        <v>90</v>
      </c>
      <c r="C36" s="17" t="s">
        <v>91</v>
      </c>
      <c r="D36" s="17" t="s">
        <v>301</v>
      </c>
      <c r="E36" s="17" t="str">
        <f>IFERROR(INDEX(הגדרות!$I$2:$I$47,MATCH(B36,הגדרות!$H$2:$H$47,0)),"")</f>
        <v>7018-00</v>
      </c>
      <c r="F36" s="17" t="s">
        <v>73</v>
      </c>
      <c r="G36" s="17"/>
      <c r="H36" s="17" t="s">
        <v>92</v>
      </c>
      <c r="I36" s="17"/>
      <c r="J36" s="17" t="s">
        <v>68</v>
      </c>
      <c r="K36" s="17"/>
      <c r="L36" s="17" t="s">
        <v>68</v>
      </c>
      <c r="M36" s="17"/>
      <c r="N36" s="17"/>
      <c r="O36" s="17" t="s">
        <v>68</v>
      </c>
      <c r="P36" s="17"/>
      <c r="Q36" s="17" t="s">
        <v>14</v>
      </c>
      <c r="R36" s="17"/>
      <c r="S36" s="17" t="s">
        <v>14</v>
      </c>
      <c r="T36" s="17" t="s">
        <v>69</v>
      </c>
      <c r="U36" s="17"/>
      <c r="V36" s="17"/>
      <c r="W36" s="17"/>
      <c r="X36" s="17"/>
      <c r="Y36" s="17"/>
      <c r="Z36" t="str">
        <f>IFERROR(INDEX(הגדרות!$B$2:$B$17,MATCH(H36,הגדרות!$A$2:$A$17,0)),"")</f>
        <v>ימי</v>
      </c>
      <c r="AA36">
        <f>IFERROR(INDEX(הגדרות!$C$2:$C$17,MATCH(H36,הגדרות!$A$2:$A$17,0)),"")</f>
        <v>0</v>
      </c>
      <c r="AB36" t="str">
        <f>IFERROR(INDEX(הגדרות!$B$2:$B$17,MATCH(I36,הגדרות!$A$2:$A$17,0)),"")</f>
        <v/>
      </c>
      <c r="AC36" t="str">
        <f>IFERROR(INDEX(הגדרות!$C$2:$C$17,MATCH(I36,הגדרות!$A$2:$A$17,0)),"")</f>
        <v/>
      </c>
      <c r="AD36">
        <f>IF(AND(מלאי!D31&lt;&gt;"",OR('לוח בקרה'!$B$4="הכל",מלאי!Z31='לוח בקרה'!$B$4,מלאי!AA31='לוח בקרה'!$B$4,מלאי!AB31='לוח בקרה'!$B$4,מלאי!AC31='לוח בקרה'!$B$4),OR('לוח בקרה'!$B$5="הכל",מלאי!A31='לוח בקרה'!$B$5),OR('לוח בקרה'!$B$6="הכל",מלאי!B31='לוח בקרה'!$B$6),OR('לוח בקרה'!$B$7="הכל",מלאי!F31='לוח בקרה'!$B$7,מלאי!G31='לוח בקרה'!$B$7),OR('לוח בקרה'!$B$8="הכל",מלאי!T31='לוח בקרה'!$B$8),OR('לוח בקרה'!$B$9="הכל",מלאי!Q31='לוח בקרה'!$B$9),OR('לוח בקרה'!$E$4="הכל",מלאי!J31='לוח בקרה'!$E$4),OR('לוח בקרה'!$E$5="הכל",מלאי!L31='לוח בקרה'!$E$5),OR('לוח בקרה'!$E$6="הכל",מלאי!O31='לוח בקרה'!$E$6),OR('לוח בקרה'!$E$7="הכל",מלאי!R31='לוח בקרה'!$E$7),OR('לוח בקרה'!$E$8="הכל",'לוח בקרה'!$E$8="",מלאי!W31='לוח בקרה'!$E$8),OR('לוח בקרה'!$E$9="הכל",'לוח בקרה'!$E$9="",ISNUMBER(SEARCH('לוח בקרה'!$E$9,מלאי!C31)))),1,0)</f>
        <v>1</v>
      </c>
      <c r="AE36" t="e">
        <f>IF(AND(מלאי!D31&lt;&gt;"",OR('לוח בקרה טכנו-מבצעי'!$B$4="הכל",מלאי!Z31='לוח בקרה טכנו-מבצעי'!$B$4,מלאי!AA31='לוח בקרה טכנו-מבצעי'!$B$4,מלאי!AB31='לוח בקרה טכנו-מבצעי'!$B$4,מלאי!AC31='לוח בקרה טכנו-מבצעי'!$B$4),OR('לוח בקרה טכנו-מבצעי'!$B$5="הכל",מלאי!A31='לוח בקרה טכנו-מבצעי'!$B$5),OR('לוח בקרה טכנו-מבצעי'!$B$6="הכל",מלאי!B31='לוח בקרה טכנו-מבצעי'!$B$6),OR('לוח בקרה טכנו-מבצעי'!$B$7="הכל",מלאי!F31='לוח בקרה טכנו-מבצעי'!$B$7,מלאי!G31='לוח בקרה טכנו-מבצעי'!$B$7),OR('לוח בקרה טכנו-מבצעי'!$B$8="הכל",מלאי!T31='לוח בקרה טכנו-מבצעי'!$B$8),OR('לוח בקרה טכנו-מבצעי'!$B$9="הכל",מלאי!Q31='לוח בקרה טכנו-מבצעי'!$B$9),OR('לוח בקרה טכנו-מבצעי'!$E$4="הכל",מלאי!J31='לוח בקרה טכנו-מבצעי'!$E$4),OR('לוח בקרה טכנו-מבצעי'!$E$5="הכל",מלאי!L31='לוח בקרה טכנו-מבצעי'!$E$5),OR('לוח בקרה טכנו-מבצעי'!$E$6="הכל",מלאי!O31='לוח בקרה טכנו-מבצעי'!$E$6),OR('לוח בקרה טכנו-מבצעי'!$E$7="הכל",מלאי!R31='לוח בקרה טכנו-מבצעי'!$E$7),OR('לוח בקרה טכנו-מבצעי'!$E$8="הכל",'לוח בקרה טכנו-מבצעי'!$E$8="",מלאי!W31='לוח בקרה טכנו-מבצעי'!$E$8),OR('לוח בקרה טכנו-מבצעי'!$E$9="הכל",'לוח בקרה טכנו-מבצעי'!$E$9="",ISNUMBER(SEARCH('לוח בקרה טכנו-מבצעי'!$E$9,מלאי!C31))),OR('לוח בקרה טכנו-מבצעי'!$B$10="הכל",מלאי!#REF!='לוח בקרה טכנו-מבצעי'!$B$10)),1,0)</f>
        <v>#REF!</v>
      </c>
      <c r="AF36">
        <f>IF(AD36=1,COUNTIF($AD$3:$AD36,1),"")</f>
        <v>10</v>
      </c>
      <c r="AG36" t="e">
        <f>IF(AE36=1,COUNTIF($AE$3:$AE36,1),"")</f>
        <v>#REF!</v>
      </c>
    </row>
    <row r="37" spans="1:33" ht="15" customHeight="1" x14ac:dyDescent="0.25">
      <c r="A37" s="19" t="s">
        <v>62</v>
      </c>
      <c r="B37" s="19" t="s">
        <v>90</v>
      </c>
      <c r="C37" s="19" t="s">
        <v>91</v>
      </c>
      <c r="D37" s="19" t="s">
        <v>302</v>
      </c>
      <c r="E37" s="19" t="str">
        <f>IFERROR(INDEX(הגדרות!$I$2:$I$47,MATCH(B37,הגדרות!$H$2:$H$47,0)),"")</f>
        <v>7018-00</v>
      </c>
      <c r="F37" s="19" t="s">
        <v>73</v>
      </c>
      <c r="G37" s="19"/>
      <c r="H37" s="19" t="s">
        <v>92</v>
      </c>
      <c r="I37" s="19"/>
      <c r="J37" s="19" t="s">
        <v>68</v>
      </c>
      <c r="K37" s="19"/>
      <c r="L37" s="19" t="s">
        <v>68</v>
      </c>
      <c r="M37" s="19"/>
      <c r="N37" s="19"/>
      <c r="O37" s="19" t="s">
        <v>68</v>
      </c>
      <c r="P37" s="19"/>
      <c r="Q37" s="19" t="s">
        <v>14</v>
      </c>
      <c r="R37" s="19"/>
      <c r="S37" s="19" t="s">
        <v>14</v>
      </c>
      <c r="T37" s="19" t="s">
        <v>69</v>
      </c>
      <c r="U37" s="19"/>
      <c r="V37" s="19"/>
      <c r="W37" s="19"/>
      <c r="X37" s="19"/>
      <c r="Y37" s="19"/>
      <c r="Z37" t="str">
        <f>IFERROR(INDEX(הגדרות!$B$2:$B$17,MATCH(H37,הגדרות!$A$2:$A$17,0)),"")</f>
        <v>ימי</v>
      </c>
      <c r="AA37">
        <f>IFERROR(INDEX(הגדרות!$C$2:$C$17,MATCH(H37,הגדרות!$A$2:$A$17,0)),"")</f>
        <v>0</v>
      </c>
      <c r="AB37" t="str">
        <f>IFERROR(INDEX(הגדרות!$B$2:$B$17,MATCH(I37,הגדרות!$A$2:$A$17,0)),"")</f>
        <v/>
      </c>
      <c r="AC37" t="str">
        <f>IFERROR(INDEX(הגדרות!$C$2:$C$17,MATCH(I37,הגדרות!$A$2:$A$17,0)),"")</f>
        <v/>
      </c>
      <c r="AD37">
        <f>IF(AND(מלאי!D30&lt;&gt;"",OR('לוח בקרה'!$B$4="הכל",מלאי!Z30='לוח בקרה'!$B$4,מלאי!AA30='לוח בקרה'!$B$4,מלאי!AB30='לוח בקרה'!$B$4,מלאי!AC30='לוח בקרה'!$B$4),OR('לוח בקרה'!$B$5="הכל",מלאי!A30='לוח בקרה'!$B$5),OR('לוח בקרה'!$B$6="הכל",מלאי!B30='לוח בקרה'!$B$6),OR('לוח בקרה'!$B$7="הכל",מלאי!F30='לוח בקרה'!$B$7,מלאי!G30='לוח בקרה'!$B$7),OR('לוח בקרה'!$B$8="הכל",מלאי!T30='לוח בקרה'!$B$8),OR('לוח בקרה'!$B$9="הכל",מלאי!Q30='לוח בקרה'!$B$9),OR('לוח בקרה'!$E$4="הכל",מלאי!J30='לוח בקרה'!$E$4),OR('לוח בקרה'!$E$5="הכל",מלאי!L30='לוח בקרה'!$E$5),OR('לוח בקרה'!$E$6="הכל",מלאי!O30='לוח בקרה'!$E$6),OR('לוח בקרה'!$E$7="הכל",מלאי!R30='לוח בקרה'!$E$7),OR('לוח בקרה'!$E$8="הכל",'לוח בקרה'!$E$8="",מלאי!W30='לוח בקרה'!$E$8),OR('לוח בקרה'!$E$9="הכל",'לוח בקרה'!$E$9="",ISNUMBER(SEARCH('לוח בקרה'!$E$9,מלאי!C30)))),1,0)</f>
        <v>1</v>
      </c>
      <c r="AE37" t="e">
        <f>IF(AND(מלאי!D30&lt;&gt;"",OR('לוח בקרה טכנו-מבצעי'!$B$4="הכל",מלאי!Z30='לוח בקרה טכנו-מבצעי'!$B$4,מלאי!AA30='לוח בקרה טכנו-מבצעי'!$B$4,מלאי!AB30='לוח בקרה טכנו-מבצעי'!$B$4,מלאי!AC30='לוח בקרה טכנו-מבצעי'!$B$4),OR('לוח בקרה טכנו-מבצעי'!$B$5="הכל",מלאי!A30='לוח בקרה טכנו-מבצעי'!$B$5),OR('לוח בקרה טכנו-מבצעי'!$B$6="הכל",מלאי!B30='לוח בקרה טכנו-מבצעי'!$B$6),OR('לוח בקרה טכנו-מבצעי'!$B$7="הכל",מלאי!F30='לוח בקרה טכנו-מבצעי'!$B$7,מלאי!G30='לוח בקרה טכנו-מבצעי'!$B$7),OR('לוח בקרה טכנו-מבצעי'!$B$8="הכל",מלאי!T30='לוח בקרה טכנו-מבצעי'!$B$8),OR('לוח בקרה טכנו-מבצעי'!$B$9="הכל",מלאי!Q30='לוח בקרה טכנו-מבצעי'!$B$9),OR('לוח בקרה טכנו-מבצעי'!$E$4="הכל",מלאי!J30='לוח בקרה טכנו-מבצעי'!$E$4),OR('לוח בקרה טכנו-מבצעי'!$E$5="הכל",מלאי!L30='לוח בקרה טכנו-מבצעי'!$E$5),OR('לוח בקרה טכנו-מבצעי'!$E$6="הכל",מלאי!O30='לוח בקרה טכנו-מבצעי'!$E$6),OR('לוח בקרה טכנו-מבצעי'!$E$7="הכל",מלאי!R30='לוח בקרה טכנו-מבצעי'!$E$7),OR('לוח בקרה טכנו-מבצעי'!$E$8="הכל",'לוח בקרה טכנו-מבצעי'!$E$8="",מלאי!W30='לוח בקרה טכנו-מבצעי'!$E$8),OR('לוח בקרה טכנו-מבצעי'!$E$9="הכל",'לוח בקרה טכנו-מבצעי'!$E$9="",ISNUMBER(SEARCH('לוח בקרה טכנו-מבצעי'!$E$9,מלאי!C30))),OR('לוח בקרה טכנו-מבצעי'!$B$10="הכל",מלאי!#REF!='לוח בקרה טכנו-מבצעי'!$B$10)),1,0)</f>
        <v>#REF!</v>
      </c>
      <c r="AF37">
        <f>IF(AD37=1,COUNTIF($AD$3:$AD37,1),"")</f>
        <v>11</v>
      </c>
      <c r="AG37" t="e">
        <f>IF(AE37=1,COUNTIF($AE$3:$AE37,1),"")</f>
        <v>#REF!</v>
      </c>
    </row>
    <row r="38" spans="1:33" ht="15" customHeight="1" x14ac:dyDescent="0.25">
      <c r="A38" s="17" t="s">
        <v>62</v>
      </c>
      <c r="B38" s="17" t="s">
        <v>90</v>
      </c>
      <c r="C38" s="17" t="s">
        <v>91</v>
      </c>
      <c r="D38" s="17" t="s">
        <v>303</v>
      </c>
      <c r="E38" s="17" t="str">
        <f>IFERROR(INDEX(הגדרות!$I$2:$I$47,MATCH(B38,הגדרות!$H$2:$H$47,0)),"")</f>
        <v>7018-00</v>
      </c>
      <c r="F38" s="17" t="s">
        <v>73</v>
      </c>
      <c r="G38" s="17"/>
      <c r="H38" s="17" t="s">
        <v>92</v>
      </c>
      <c r="I38" s="17"/>
      <c r="J38" s="17" t="s">
        <v>68</v>
      </c>
      <c r="K38" s="17"/>
      <c r="L38" s="17" t="s">
        <v>68</v>
      </c>
      <c r="M38" s="17"/>
      <c r="N38" s="17"/>
      <c r="O38" s="17" t="s">
        <v>68</v>
      </c>
      <c r="P38" s="17"/>
      <c r="Q38" s="17" t="s">
        <v>14</v>
      </c>
      <c r="R38" s="17"/>
      <c r="S38" s="17" t="s">
        <v>14</v>
      </c>
      <c r="T38" s="17" t="s">
        <v>69</v>
      </c>
      <c r="U38" s="17"/>
      <c r="V38" s="17"/>
      <c r="W38" s="17"/>
      <c r="X38" s="17"/>
      <c r="Y38" s="17"/>
      <c r="Z38" t="str">
        <f>IFERROR(INDEX(הגדרות!$B$2:$B$17,MATCH(H38,הגדרות!$A$2:$A$17,0)),"")</f>
        <v>ימי</v>
      </c>
      <c r="AA38">
        <f>IFERROR(INDEX(הגדרות!$C$2:$C$17,MATCH(H38,הגדרות!$A$2:$A$17,0)),"")</f>
        <v>0</v>
      </c>
      <c r="AB38" t="str">
        <f>IFERROR(INDEX(הגדרות!$B$2:$B$17,MATCH(I38,הגדרות!$A$2:$A$17,0)),"")</f>
        <v/>
      </c>
      <c r="AC38" t="str">
        <f>IFERROR(INDEX(הגדרות!$C$2:$C$17,MATCH(I38,הגדרות!$A$2:$A$17,0)),"")</f>
        <v/>
      </c>
      <c r="AD38">
        <f>IF(AND(מלאי!D41&lt;&gt;"",OR('לוח בקרה'!$B$4="הכל",מלאי!Z41='לוח בקרה'!$B$4,מלאי!AA41='לוח בקרה'!$B$4,מלאי!AB41='לוח בקרה'!$B$4,מלאי!AC41='לוח בקרה'!$B$4),OR('לוח בקרה'!$B$5="הכל",מלאי!A41='לוח בקרה'!$B$5),OR('לוח בקרה'!$B$6="הכל",מלאי!B41='לוח בקרה'!$B$6),OR('לוח בקרה'!$B$7="הכל",מלאי!F41='לוח בקרה'!$B$7,מלאי!G41='לוח בקרה'!$B$7),OR('לוח בקרה'!$B$8="הכל",מלאי!T41='לוח בקרה'!$B$8),OR('לוח בקרה'!$B$9="הכל",מלאי!Q41='לוח בקרה'!$B$9),OR('לוח בקרה'!$E$4="הכל",מלאי!J41='לוח בקרה'!$E$4),OR('לוח בקרה'!$E$5="הכל",מלאי!L41='לוח בקרה'!$E$5),OR('לוח בקרה'!$E$6="הכל",מלאי!O41='לוח בקרה'!$E$6),OR('לוח בקרה'!$E$7="הכל",מלאי!R41='לוח בקרה'!$E$7),OR('לוח בקרה'!$E$8="הכל",'לוח בקרה'!$E$8="",מלאי!W41='לוח בקרה'!$E$8),OR('לוח בקרה'!$E$9="הכל",'לוח בקרה'!$E$9="",ISNUMBER(SEARCH('לוח בקרה'!$E$9,מלאי!C41)))),1,0)</f>
        <v>0</v>
      </c>
      <c r="AE38" t="e">
        <f>IF(AND(מלאי!D41&lt;&gt;"",OR('לוח בקרה טכנו-מבצעי'!$B$4="הכל",מלאי!Z41='לוח בקרה טכנו-מבצעי'!$B$4,מלאי!AA41='לוח בקרה טכנו-מבצעי'!$B$4,מלאי!AB41='לוח בקרה טכנו-מבצעי'!$B$4,מלאי!AC41='לוח בקרה טכנו-מבצעי'!$B$4),OR('לוח בקרה טכנו-מבצעי'!$B$5="הכל",מלאי!A41='לוח בקרה טכנו-מבצעי'!$B$5),OR('לוח בקרה טכנו-מבצעי'!$B$6="הכל",מלאי!B41='לוח בקרה טכנו-מבצעי'!$B$6),OR('לוח בקרה טכנו-מבצעי'!$B$7="הכל",מלאי!F41='לוח בקרה טכנו-מבצעי'!$B$7,מלאי!G41='לוח בקרה טכנו-מבצעי'!$B$7),OR('לוח בקרה טכנו-מבצעי'!$B$8="הכל",מלאי!T41='לוח בקרה טכנו-מבצעי'!$B$8),OR('לוח בקרה טכנו-מבצעי'!$B$9="הכל",מלאי!Q41='לוח בקרה טכנו-מבצעי'!$B$9),OR('לוח בקרה טכנו-מבצעי'!$E$4="הכל",מלאי!J41='לוח בקרה טכנו-מבצעי'!$E$4),OR('לוח בקרה טכנו-מבצעי'!$E$5="הכל",מלאי!L41='לוח בקרה טכנו-מבצעי'!$E$5),OR('לוח בקרה טכנו-מבצעי'!$E$6="הכל",מלאי!O41='לוח בקרה טכנו-מבצעי'!$E$6),OR('לוח בקרה טכנו-מבצעי'!$E$7="הכל",מלאי!R41='לוח בקרה טכנו-מבצעי'!$E$7),OR('לוח בקרה טכנו-מבצעי'!$E$8="הכל",'לוח בקרה טכנו-מבצעי'!$E$8="",מלאי!W41='לוח בקרה טכנו-מבצעי'!$E$8),OR('לוח בקרה טכנו-מבצעי'!$E$9="הכל",'לוח בקרה טכנו-מבצעי'!$E$9="",ISNUMBER(SEARCH('לוח בקרה טכנו-מבצעי'!$E$9,מלאי!C41))),OR('לוח בקרה טכנו-מבצעי'!$B$10="הכל",מלאי!#REF!='לוח בקרה טכנו-מבצעי'!$B$10)),1,0)</f>
        <v>#REF!</v>
      </c>
      <c r="AF38" t="str">
        <f>IF(AD38=1,COUNTIF($AD$3:$AD38,1),"")</f>
        <v/>
      </c>
      <c r="AG38" t="e">
        <f>IF(AE38=1,COUNTIF($AE$3:$AE38,1),"")</f>
        <v>#REF!</v>
      </c>
    </row>
    <row r="39" spans="1:33" ht="15" customHeight="1" x14ac:dyDescent="0.25">
      <c r="A39" s="17" t="s">
        <v>62</v>
      </c>
      <c r="B39" s="17" t="s">
        <v>90</v>
      </c>
      <c r="C39" s="17" t="s">
        <v>91</v>
      </c>
      <c r="D39" s="17" t="s">
        <v>304</v>
      </c>
      <c r="E39" s="17" t="str">
        <f>IFERROR(INDEX(הגדרות!$I$2:$I$47,MATCH(B39,הגדרות!$H$2:$H$47,0)),"")</f>
        <v>7018-00</v>
      </c>
      <c r="F39" s="17" t="s">
        <v>73</v>
      </c>
      <c r="G39" s="17"/>
      <c r="H39" s="17" t="s">
        <v>92</v>
      </c>
      <c r="I39" s="17"/>
      <c r="J39" s="17" t="s">
        <v>68</v>
      </c>
      <c r="K39" s="17"/>
      <c r="L39" s="17" t="s">
        <v>68</v>
      </c>
      <c r="M39" s="17"/>
      <c r="N39" s="17"/>
      <c r="O39" s="17" t="s">
        <v>68</v>
      </c>
      <c r="P39" s="17"/>
      <c r="Q39" s="17" t="s">
        <v>14</v>
      </c>
      <c r="R39" s="17"/>
      <c r="S39" s="17" t="s">
        <v>14</v>
      </c>
      <c r="T39" s="17" t="s">
        <v>69</v>
      </c>
      <c r="U39" s="17"/>
      <c r="V39" s="17"/>
      <c r="W39" s="17"/>
      <c r="X39" s="17"/>
      <c r="Y39" s="17"/>
      <c r="Z39" t="str">
        <f>IFERROR(INDEX(הגדרות!$B$2:$B$17,MATCH(H39,הגדרות!$A$2:$A$17,0)),"")</f>
        <v>ימי</v>
      </c>
      <c r="AA39">
        <f>IFERROR(INDEX(הגדרות!$C$2:$C$17,MATCH(H39,הגדרות!$A$2:$A$17,0)),"")</f>
        <v>0</v>
      </c>
      <c r="AB39" t="str">
        <f>IFERROR(INDEX(הגדרות!$B$2:$B$17,MATCH(I39,הגדרות!$A$2:$A$17,0)),"")</f>
        <v/>
      </c>
      <c r="AC39" t="str">
        <f>IFERROR(INDEX(הגדרות!$C$2:$C$17,MATCH(I39,הגדרות!$A$2:$A$17,0)),"")</f>
        <v/>
      </c>
      <c r="AD39">
        <f>IF(AND(מלאי!D42&lt;&gt;"",OR('לוח בקרה'!$B$4="הכל",מלאי!Z42='לוח בקרה'!$B$4,מלאי!AA42='לוח בקרה'!$B$4,מלאי!AB42='לוח בקרה'!$B$4,מלאי!AC42='לוח בקרה'!$B$4),OR('לוח בקרה'!$B$5="הכל",מלאי!A42='לוח בקרה'!$B$5),OR('לוח בקרה'!$B$6="הכל",מלאי!B42='לוח בקרה'!$B$6),OR('לוח בקרה'!$B$7="הכל",מלאי!F42='לוח בקרה'!$B$7,מלאי!G42='לוח בקרה'!$B$7),OR('לוח בקרה'!$B$8="הכל",מלאי!T42='לוח בקרה'!$B$8),OR('לוח בקרה'!$B$9="הכל",מלאי!Q42='לוח בקרה'!$B$9),OR('לוח בקרה'!$E$4="הכל",מלאי!J42='לוח בקרה'!$E$4),OR('לוח בקרה'!$E$5="הכל",מלאי!L42='לוח בקרה'!$E$5),OR('לוח בקרה'!$E$6="הכל",מלאי!O42='לוח בקרה'!$E$6),OR('לוח בקרה'!$E$7="הכל",מלאי!R42='לוח בקרה'!$E$7),OR('לוח בקרה'!$E$8="הכל",'לוח בקרה'!$E$8="",מלאי!W42='לוח בקרה'!$E$8),OR('לוח בקרה'!$E$9="הכל",'לוח בקרה'!$E$9="",ISNUMBER(SEARCH('לוח בקרה'!$E$9,מלאי!C42)))),1,0)</f>
        <v>1</v>
      </c>
      <c r="AE39" t="e">
        <f>IF(AND(מלאי!D42&lt;&gt;"",OR('לוח בקרה טכנו-מבצעי'!$B$4="הכל",מלאי!Z42='לוח בקרה טכנו-מבצעי'!$B$4,מלאי!AA42='לוח בקרה טכנו-מבצעי'!$B$4,מלאי!AB42='לוח בקרה טכנו-מבצעי'!$B$4,מלאי!AC42='לוח בקרה טכנו-מבצעי'!$B$4),OR('לוח בקרה טכנו-מבצעי'!$B$5="הכל",מלאי!A42='לוח בקרה טכנו-מבצעי'!$B$5),OR('לוח בקרה טכנו-מבצעי'!$B$6="הכל",מלאי!B42='לוח בקרה טכנו-מבצעי'!$B$6),OR('לוח בקרה טכנו-מבצעי'!$B$7="הכל",מלאי!F42='לוח בקרה טכנו-מבצעי'!$B$7,מלאי!G42='לוח בקרה טכנו-מבצעי'!$B$7),OR('לוח בקרה טכנו-מבצעי'!$B$8="הכל",מלאי!T42='לוח בקרה טכנו-מבצעי'!$B$8),OR('לוח בקרה טכנו-מבצעי'!$B$9="הכל",מלאי!Q42='לוח בקרה טכנו-מבצעי'!$B$9),OR('לוח בקרה טכנו-מבצעי'!$E$4="הכל",מלאי!J42='לוח בקרה טכנו-מבצעי'!$E$4),OR('לוח בקרה טכנו-מבצעי'!$E$5="הכל",מלאי!L42='לוח בקרה טכנו-מבצעי'!$E$5),OR('לוח בקרה טכנו-מבצעי'!$E$6="הכל",מלאי!O42='לוח בקרה טכנו-מבצעי'!$E$6),OR('לוח בקרה טכנו-מבצעי'!$E$7="הכל",מלאי!R42='לוח בקרה טכנו-מבצעי'!$E$7),OR('לוח בקרה טכנו-מבצעי'!$E$8="הכל",'לוח בקרה טכנו-מבצעי'!$E$8="",מלאי!W42='לוח בקרה טכנו-מבצעי'!$E$8),OR('לוח בקרה טכנו-מבצעי'!$E$9="הכל",'לוח בקרה טכנו-מבצעי'!$E$9="",ISNUMBER(SEARCH('לוח בקרה טכנו-מבצעי'!$E$9,מלאי!C42))),OR('לוח בקרה טכנו-מבצעי'!$B$10="הכל",מלאי!#REF!='לוח בקרה טכנו-מבצעי'!$B$10)),1,0)</f>
        <v>#REF!</v>
      </c>
      <c r="AF39">
        <f>IF(AD39=1,COUNTIF($AD$3:$AD39,1),"")</f>
        <v>12</v>
      </c>
      <c r="AG39" t="e">
        <f>IF(AE39=1,COUNTIF($AE$3:$AE39,1),"")</f>
        <v>#REF!</v>
      </c>
    </row>
    <row r="40" spans="1:33" ht="15" customHeight="1" x14ac:dyDescent="0.25">
      <c r="A40" s="17" t="s">
        <v>62</v>
      </c>
      <c r="B40" s="17" t="s">
        <v>90</v>
      </c>
      <c r="C40" s="17" t="s">
        <v>91</v>
      </c>
      <c r="D40" s="17" t="s">
        <v>305</v>
      </c>
      <c r="E40" s="17" t="str">
        <f>IFERROR(INDEX(הגדרות!$I$2:$I$47,MATCH(B40,הגדרות!$H$2:$H$47,0)),"")</f>
        <v>7018-00</v>
      </c>
      <c r="F40" s="17" t="s">
        <v>73</v>
      </c>
      <c r="G40" s="17"/>
      <c r="H40" s="17" t="s">
        <v>92</v>
      </c>
      <c r="I40" s="17"/>
      <c r="J40" s="17" t="s">
        <v>68</v>
      </c>
      <c r="K40" s="17"/>
      <c r="L40" s="17" t="s">
        <v>68</v>
      </c>
      <c r="M40" s="17"/>
      <c r="N40" s="17"/>
      <c r="O40" s="17" t="s">
        <v>68</v>
      </c>
      <c r="P40" s="17"/>
      <c r="Q40" s="17" t="s">
        <v>14</v>
      </c>
      <c r="R40" s="17"/>
      <c r="S40" s="17" t="s">
        <v>14</v>
      </c>
      <c r="T40" s="17" t="s">
        <v>69</v>
      </c>
      <c r="U40" s="17"/>
      <c r="V40" s="17"/>
      <c r="W40" s="17"/>
      <c r="X40" s="17"/>
      <c r="Y40" s="17"/>
      <c r="Z40" t="str">
        <f>IFERROR(INDEX(הגדרות!$B$2:$B$17,MATCH(H40,הגדרות!$A$2:$A$17,0)),"")</f>
        <v>ימי</v>
      </c>
      <c r="AA40">
        <f>IFERROR(INDEX(הגדרות!$C$2:$C$17,MATCH(H40,הגדרות!$A$2:$A$17,0)),"")</f>
        <v>0</v>
      </c>
      <c r="AB40" t="str">
        <f>IFERROR(INDEX(הגדרות!$B$2:$B$17,MATCH(I40,הגדרות!$A$2:$A$17,0)),"")</f>
        <v/>
      </c>
      <c r="AC40" t="str">
        <f>IFERROR(INDEX(הגדרות!$C$2:$C$17,MATCH(I40,הגדרות!$A$2:$A$17,0)),"")</f>
        <v/>
      </c>
      <c r="AD40">
        <f>IF(AND(מלאי!D28&lt;&gt;"",OR('לוח בקרה'!$B$4="הכל",מלאי!Z28='לוח בקרה'!$B$4,מלאי!AA28='לוח בקרה'!$B$4,מלאי!AB28='לוח בקרה'!$B$4,מלאי!AC28='לוח בקרה'!$B$4),OR('לוח בקרה'!$B$5="הכל",מלאי!A28='לוח בקרה'!$B$5),OR('לוח בקרה'!$B$6="הכל",מלאי!B28='לוח בקרה'!$B$6),OR('לוח בקרה'!$B$7="הכל",מלאי!F28='לוח בקרה'!$B$7,מלאי!G28='לוח בקרה'!$B$7),OR('לוח בקרה'!$B$8="הכל",מלאי!T28='לוח בקרה'!$B$8),OR('לוח בקרה'!$B$9="הכל",מלאי!Q28='לוח בקרה'!$B$9),OR('לוח בקרה'!$E$4="הכל",מלאי!J28='לוח בקרה'!$E$4),OR('לוח בקרה'!$E$5="הכל",מלאי!L28='לוח בקרה'!$E$5),OR('לוח בקרה'!$E$6="הכל",מלאי!O28='לוח בקרה'!$E$6),OR('לוח בקרה'!$E$7="הכל",מלאי!R28='לוח בקרה'!$E$7),OR('לוח בקרה'!$E$8="הכל",'לוח בקרה'!$E$8="",מלאי!W28='לוח בקרה'!$E$8),OR('לוח בקרה'!$E$9="הכל",'לוח בקרה'!$E$9="",ISNUMBER(SEARCH('לוח בקרה'!$E$9,מלאי!C28)))),1,0)</f>
        <v>1</v>
      </c>
      <c r="AE40" t="e">
        <f>IF(AND(מלאי!D28&lt;&gt;"",OR('לוח בקרה טכנו-מבצעי'!$B$4="הכל",מלאי!Z28='לוח בקרה טכנו-מבצעי'!$B$4,מלאי!AA28='לוח בקרה טכנו-מבצעי'!$B$4,מלאי!AB28='לוח בקרה טכנו-מבצעי'!$B$4,מלאי!AC28='לוח בקרה טכנו-מבצעי'!$B$4),OR('לוח בקרה טכנו-מבצעי'!$B$5="הכל",מלאי!A28='לוח בקרה טכנו-מבצעי'!$B$5),OR('לוח בקרה טכנו-מבצעי'!$B$6="הכל",מלאי!B28='לוח בקרה טכנו-מבצעי'!$B$6),OR('לוח בקרה טכנו-מבצעי'!$B$7="הכל",מלאי!F28='לוח בקרה טכנו-מבצעי'!$B$7,מלאי!G28='לוח בקרה טכנו-מבצעי'!$B$7),OR('לוח בקרה טכנו-מבצעי'!$B$8="הכל",מלאי!T28='לוח בקרה טכנו-מבצעי'!$B$8),OR('לוח בקרה טכנו-מבצעי'!$B$9="הכל",מלאי!Q28='לוח בקרה טכנו-מבצעי'!$B$9),OR('לוח בקרה טכנו-מבצעי'!$E$4="הכל",מלאי!J28='לוח בקרה טכנו-מבצעי'!$E$4),OR('לוח בקרה טכנו-מבצעי'!$E$5="הכל",מלאי!L28='לוח בקרה טכנו-מבצעי'!$E$5),OR('לוח בקרה טכנו-מבצעי'!$E$6="הכל",מלאי!O28='לוח בקרה טכנו-מבצעי'!$E$6),OR('לוח בקרה טכנו-מבצעי'!$E$7="הכל",מלאי!R28='לוח בקרה טכנו-מבצעי'!$E$7),OR('לוח בקרה טכנו-מבצעי'!$E$8="הכל",'לוח בקרה טכנו-מבצעי'!$E$8="",מלאי!W28='לוח בקרה טכנו-מבצעי'!$E$8),OR('לוח בקרה טכנו-מבצעי'!$E$9="הכל",'לוח בקרה טכנו-מבצעי'!$E$9="",ISNUMBER(SEARCH('לוח בקרה טכנו-מבצעי'!$E$9,מלאי!C28))),OR('לוח בקרה טכנו-מבצעי'!$B$10="הכל",מלאי!#REF!='לוח בקרה טכנו-מבצעי'!$B$10)),1,0)</f>
        <v>#REF!</v>
      </c>
      <c r="AF40">
        <f>IF(AD40=1,COUNTIF($AD$3:$AD40,1),"")</f>
        <v>13</v>
      </c>
      <c r="AG40" t="e">
        <f>IF(AE40=1,COUNTIF($AE$3:$AE40,1),"")</f>
        <v>#REF!</v>
      </c>
    </row>
    <row r="41" spans="1:33" ht="15" customHeight="1" x14ac:dyDescent="0.25">
      <c r="A41" s="17" t="s">
        <v>62</v>
      </c>
      <c r="B41" s="17" t="s">
        <v>90</v>
      </c>
      <c r="C41" s="17" t="s">
        <v>91</v>
      </c>
      <c r="D41" s="30" t="s">
        <v>306</v>
      </c>
      <c r="E41" s="17" t="str">
        <f>IFERROR(INDEX(הגדרות!$I$2:$I$47,MATCH(B41,הגדרות!$H$2:$H$47,0)),"")</f>
        <v>7018-00</v>
      </c>
      <c r="F41" s="17" t="s">
        <v>73</v>
      </c>
      <c r="G41" s="17"/>
      <c r="H41" s="17" t="s">
        <v>92</v>
      </c>
      <c r="I41" s="17"/>
      <c r="J41" s="17" t="s">
        <v>68</v>
      </c>
      <c r="K41" s="17"/>
      <c r="L41" s="17" t="s">
        <v>68</v>
      </c>
      <c r="M41" s="17"/>
      <c r="N41" s="17"/>
      <c r="O41" s="17" t="s">
        <v>68</v>
      </c>
      <c r="P41" s="17"/>
      <c r="Q41" s="17" t="s">
        <v>14</v>
      </c>
      <c r="R41" s="17"/>
      <c r="S41" s="17" t="s">
        <v>14</v>
      </c>
      <c r="T41" s="17" t="s">
        <v>69</v>
      </c>
      <c r="U41" s="17"/>
      <c r="V41" s="17"/>
      <c r="W41" s="17"/>
      <c r="X41" s="17"/>
      <c r="Y41" s="17"/>
      <c r="Z41" t="str">
        <f>IFERROR(INDEX(הגדרות!$B$2:$B$17,MATCH(H41,הגדרות!$A$2:$A$17,0)),"")</f>
        <v>ימי</v>
      </c>
      <c r="AA41">
        <f>IFERROR(INDEX(הגדרות!$C$2:$C$17,MATCH(H41,הגדרות!$A$2:$A$17,0)),"")</f>
        <v>0</v>
      </c>
      <c r="AB41" t="str">
        <f>IFERROR(INDEX(הגדרות!$B$2:$B$17,MATCH(I41,הגדרות!$A$2:$A$17,0)),"")</f>
        <v/>
      </c>
      <c r="AC41" t="str">
        <f>IFERROR(INDEX(הגדרות!$C$2:$C$17,MATCH(I41,הגדרות!$A$2:$A$17,0)),"")</f>
        <v/>
      </c>
      <c r="AD41">
        <f>IF(AND(מלאי!D29&lt;&gt;"",OR('לוח בקרה'!$B$4="הכל",מלאי!Z29='לוח בקרה'!$B$4,מלאי!AA29='לוח בקרה'!$B$4,מלאי!AB29='לוח בקרה'!$B$4,מלאי!AC29='לוח בקרה'!$B$4),OR('לוח בקרה'!$B$5="הכל",מלאי!A29='לוח בקרה'!$B$5),OR('לוח בקרה'!$B$6="הכל",מלאי!B29='לוח בקרה'!$B$6),OR('לוח בקרה'!$B$7="הכל",מלאי!F29='לוח בקרה'!$B$7,מלאי!G29='לוח בקרה'!$B$7),OR('לוח בקרה'!$B$8="הכל",מלאי!T29='לוח בקרה'!$B$8),OR('לוח בקרה'!$B$9="הכל",מלאי!Q29='לוח בקרה'!$B$9),OR('לוח בקרה'!$E$4="הכל",מלאי!J29='לוח בקרה'!$E$4),OR('לוח בקרה'!$E$5="הכל",מלאי!L29='לוח בקרה'!$E$5),OR('לוח בקרה'!$E$6="הכל",מלאי!O29='לוח בקרה'!$E$6),OR('לוח בקרה'!$E$7="הכל",מלאי!R29='לוח בקרה'!$E$7),OR('לוח בקרה'!$E$8="הכל",'לוח בקרה'!$E$8="",מלאי!W29='לוח בקרה'!$E$8),OR('לוח בקרה'!$E$9="הכל",'לוח בקרה'!$E$9="",ISNUMBER(SEARCH('לוח בקרה'!$E$9,מלאי!C29)))),1,0)</f>
        <v>0</v>
      </c>
      <c r="AE41" t="e">
        <f>IF(AND(מלאי!D29&lt;&gt;"",OR('לוח בקרה טכנו-מבצעי'!$B$4="הכל",מלאי!Z29='לוח בקרה טכנו-מבצעי'!$B$4,מלאי!AA29='לוח בקרה טכנו-מבצעי'!$B$4,מלאי!AB29='לוח בקרה טכנו-מבצעי'!$B$4,מלאי!AC29='לוח בקרה טכנו-מבצעי'!$B$4),OR('לוח בקרה טכנו-מבצעי'!$B$5="הכל",מלאי!A29='לוח בקרה טכנו-מבצעי'!$B$5),OR('לוח בקרה טכנו-מבצעי'!$B$6="הכל",מלאי!B29='לוח בקרה טכנו-מבצעי'!$B$6),OR('לוח בקרה טכנו-מבצעי'!$B$7="הכל",מלאי!F29='לוח בקרה טכנו-מבצעי'!$B$7,מלאי!G29='לוח בקרה טכנו-מבצעי'!$B$7),OR('לוח בקרה טכנו-מבצעי'!$B$8="הכל",מלאי!T29='לוח בקרה טכנו-מבצעי'!$B$8),OR('לוח בקרה טכנו-מבצעי'!$B$9="הכל",מלאי!Q29='לוח בקרה טכנו-מבצעי'!$B$9),OR('לוח בקרה טכנו-מבצעי'!$E$4="הכל",מלאי!J29='לוח בקרה טכנו-מבצעי'!$E$4),OR('לוח בקרה טכנו-מבצעי'!$E$5="הכל",מלאי!L29='לוח בקרה טכנו-מבצעי'!$E$5),OR('לוח בקרה טכנו-מבצעי'!$E$6="הכל",מלאי!O29='לוח בקרה טכנו-מבצעי'!$E$6),OR('לוח בקרה טכנו-מבצעי'!$E$7="הכל",מלאי!R29='לוח בקרה טכנו-מבצעי'!$E$7),OR('לוח בקרה טכנו-מבצעי'!$E$8="הכל",'לוח בקרה טכנו-מבצעי'!$E$8="",מלאי!W29='לוח בקרה טכנו-מבצעי'!$E$8),OR('לוח בקרה טכנו-מבצעי'!$E$9="הכל",'לוח בקרה טכנו-מבצעי'!$E$9="",ISNUMBER(SEARCH('לוח בקרה טכנו-מבצעי'!$E$9,מלאי!C29))),OR('לוח בקרה טכנו-מבצעי'!$B$10="הכל",מלאי!#REF!='לוח בקרה טכנו-מבצעי'!$B$10)),1,0)</f>
        <v>#REF!</v>
      </c>
      <c r="AF41" t="str">
        <f>IF(AD41=1,COUNTIF($AD$3:$AD41,1),"")</f>
        <v/>
      </c>
      <c r="AG41" t="e">
        <f>IF(AE41=1,COUNTIF($AE$3:$AE41,1),"")</f>
        <v>#REF!</v>
      </c>
    </row>
    <row r="42" spans="1:33" ht="15" customHeight="1" x14ac:dyDescent="0.25">
      <c r="A42" s="19" t="s">
        <v>62</v>
      </c>
      <c r="B42" s="19" t="s">
        <v>90</v>
      </c>
      <c r="C42" s="19" t="s">
        <v>93</v>
      </c>
      <c r="D42" s="19" t="s">
        <v>94</v>
      </c>
      <c r="E42" s="19" t="str">
        <f>IFERROR(INDEX(הגדרות!$I$2:$I$47,MATCH(B42,הגדרות!$H$2:$H$47,0)),"")</f>
        <v>7018-00</v>
      </c>
      <c r="F42" s="19" t="s">
        <v>79</v>
      </c>
      <c r="G42" s="19"/>
      <c r="H42" s="19" t="s">
        <v>95</v>
      </c>
      <c r="I42" s="19" t="s">
        <v>80</v>
      </c>
      <c r="J42" s="19" t="s">
        <v>68</v>
      </c>
      <c r="K42" s="19" t="s">
        <v>68</v>
      </c>
      <c r="L42" s="19" t="s">
        <v>68</v>
      </c>
      <c r="M42" s="19" t="s">
        <v>68</v>
      </c>
      <c r="N42" s="19"/>
      <c r="O42" s="19" t="s">
        <v>68</v>
      </c>
      <c r="P42" s="19"/>
      <c r="Q42" s="19" t="s">
        <v>14</v>
      </c>
      <c r="R42" s="19"/>
      <c r="S42" s="19" t="s">
        <v>14</v>
      </c>
      <c r="T42" s="19" t="s">
        <v>69</v>
      </c>
      <c r="U42" s="19"/>
      <c r="V42" s="19"/>
      <c r="W42" s="19"/>
      <c r="X42" s="19"/>
      <c r="Y42" s="19"/>
      <c r="Z42" t="str">
        <f>IFERROR(INDEX(הגדרות!$B$2:$B$17,MATCH(H42,הגדרות!$A$2:$A$17,0)),"")</f>
        <v>מיוער</v>
      </c>
      <c r="AA42">
        <f>IFERROR(INDEX(הגדרות!$C$2:$C$17,MATCH(H42,הגדרות!$A$2:$A$17,0)),"")</f>
        <v>0</v>
      </c>
      <c r="AB42" t="str">
        <f>IFERROR(INDEX(הגדרות!$B$2:$B$17,MATCH(I42,הגדרות!$A$2:$A$17,0)),"")</f>
        <v>מיוער</v>
      </c>
      <c r="AC42">
        <f>IFERROR(INDEX(הגדרות!$C$2:$C$17,MATCH(I42,הגדרות!$A$2:$A$17,0)),"")</f>
        <v>0</v>
      </c>
      <c r="AD42">
        <f>IF(AND(מלאי!D32&lt;&gt;"",OR('לוח בקרה'!$B$4="הכל",מלאי!Z32='לוח בקרה'!$B$4,מלאי!AA32='לוח בקרה'!$B$4,מלאי!AB32='לוח בקרה'!$B$4,מלאי!AC32='לוח בקרה'!$B$4),OR('לוח בקרה'!$B$5="הכל",מלאי!A32='לוח בקרה'!$B$5),OR('לוח בקרה'!$B$6="הכל",מלאי!B32='לוח בקרה'!$B$6),OR('לוח בקרה'!$B$7="הכל",מלאי!F32='לוח בקרה'!$B$7,מלאי!G32='לוח בקרה'!$B$7),OR('לוח בקרה'!$B$8="הכל",מלאי!T32='לוח בקרה'!$B$8),OR('לוח בקרה'!$B$9="הכל",מלאי!Q32='לוח בקרה'!$B$9),OR('לוח בקרה'!$E$4="הכל",מלאי!J32='לוח בקרה'!$E$4),OR('לוח בקרה'!$E$5="הכל",מלאי!L32='לוח בקרה'!$E$5),OR('לוח בקרה'!$E$6="הכל",מלאי!O32='לוח בקרה'!$E$6),OR('לוח בקרה'!$E$7="הכל",מלאי!R32='לוח בקרה'!$E$7),OR('לוח בקרה'!$E$8="הכל",'לוח בקרה'!$E$8="",מלאי!W32='לוח בקרה'!$E$8),OR('לוח בקרה'!$E$9="הכל",'לוח בקרה'!$E$9="",ISNUMBER(SEARCH('לוח בקרה'!$E$9,מלאי!C32)))),1,0)</f>
        <v>0</v>
      </c>
      <c r="AE42" t="e">
        <f>IF(AND(מלאי!D32&lt;&gt;"",OR('לוח בקרה טכנו-מבצעי'!$B$4="הכל",מלאי!Z32='לוח בקרה טכנו-מבצעי'!$B$4,מלאי!AA32='לוח בקרה טכנו-מבצעי'!$B$4,מלאי!AB32='לוח בקרה טכנו-מבצעי'!$B$4,מלאי!AC32='לוח בקרה טכנו-מבצעי'!$B$4),OR('לוח בקרה טכנו-מבצעי'!$B$5="הכל",מלאי!A32='לוח בקרה טכנו-מבצעי'!$B$5),OR('לוח בקרה טכנו-מבצעי'!$B$6="הכל",מלאי!B32='לוח בקרה טכנו-מבצעי'!$B$6),OR('לוח בקרה טכנו-מבצעי'!$B$7="הכל",מלאי!F32='לוח בקרה טכנו-מבצעי'!$B$7,מלאי!G32='לוח בקרה טכנו-מבצעי'!$B$7),OR('לוח בקרה טכנו-מבצעי'!$B$8="הכל",מלאי!T32='לוח בקרה טכנו-מבצעי'!$B$8),OR('לוח בקרה טכנו-מבצעי'!$B$9="הכל",מלאי!Q32='לוח בקרה טכנו-מבצעי'!$B$9),OR('לוח בקרה טכנו-מבצעי'!$E$4="הכל",מלאי!J32='לוח בקרה טכנו-מבצעי'!$E$4),OR('לוח בקרה טכנו-מבצעי'!$E$5="הכל",מלאי!L32='לוח בקרה טכנו-מבצעי'!$E$5),OR('לוח בקרה טכנו-מבצעי'!$E$6="הכל",מלאי!O32='לוח בקרה טכנו-מבצעי'!$E$6),OR('לוח בקרה טכנו-מבצעי'!$E$7="הכל",מלאי!R32='לוח בקרה טכנו-מבצעי'!$E$7),OR('לוח בקרה טכנו-מבצעי'!$E$8="הכל",'לוח בקרה טכנו-מבצעי'!$E$8="",מלאי!W32='לוח בקרה טכנו-מבצעי'!$E$8),OR('לוח בקרה טכנו-מבצעי'!$E$9="הכל",'לוח בקרה טכנו-מבצעי'!$E$9="",ISNUMBER(SEARCH('לוח בקרה טכנו-מבצעי'!$E$9,מלאי!C32))),OR('לוח בקרה טכנו-מבצעי'!$B$10="הכל",מלאי!#REF!='לוח בקרה טכנו-מבצעי'!$B$10)),1,0)</f>
        <v>#REF!</v>
      </c>
      <c r="AF42" t="str">
        <f>IF(AD42=1,COUNTIF($AD$3:$AD42,1),"")</f>
        <v/>
      </c>
      <c r="AG42" t="e">
        <f>IF(AE42=1,COUNTIF($AE$3:$AE42,1),"")</f>
        <v>#REF!</v>
      </c>
    </row>
    <row r="43" spans="1:33" ht="15" customHeight="1" x14ac:dyDescent="0.25">
      <c r="A43" s="19" t="s">
        <v>62</v>
      </c>
      <c r="B43" s="19" t="s">
        <v>90</v>
      </c>
      <c r="C43" s="19" t="s">
        <v>93</v>
      </c>
      <c r="D43" s="19" t="s">
        <v>311</v>
      </c>
      <c r="E43" s="19" t="str">
        <f>IFERROR(INDEX(הגדרות!$I$2:$I$47,MATCH(B43,הגדרות!$H$2:$H$47,0)),"")</f>
        <v>7018-00</v>
      </c>
      <c r="F43" s="19" t="s">
        <v>79</v>
      </c>
      <c r="G43" s="19"/>
      <c r="H43" s="19" t="s">
        <v>92</v>
      </c>
      <c r="I43" s="19" t="s">
        <v>80</v>
      </c>
      <c r="J43" s="19" t="s">
        <v>68</v>
      </c>
      <c r="K43" s="19" t="s">
        <v>68</v>
      </c>
      <c r="L43" s="19" t="s">
        <v>68</v>
      </c>
      <c r="M43" s="19" t="s">
        <v>68</v>
      </c>
      <c r="N43" s="19"/>
      <c r="O43" s="19" t="s">
        <v>68</v>
      </c>
      <c r="P43" s="19"/>
      <c r="Q43" s="19" t="s">
        <v>14</v>
      </c>
      <c r="R43" s="19"/>
      <c r="S43" s="19" t="s">
        <v>14</v>
      </c>
      <c r="T43" s="19" t="s">
        <v>69</v>
      </c>
      <c r="U43" s="19"/>
      <c r="V43" s="19"/>
      <c r="W43" s="19"/>
      <c r="X43" s="19"/>
      <c r="Y43" s="19"/>
      <c r="Z43" t="str">
        <f>IFERROR(INDEX(הגדרות!$B$2:$B$17,MATCH(H43,הגדרות!$A$2:$A$17,0)),"")</f>
        <v>ימי</v>
      </c>
      <c r="AA43">
        <f>IFERROR(INDEX(הגדרות!$C$2:$C$17,MATCH(H43,הגדרות!$A$2:$A$17,0)),"")</f>
        <v>0</v>
      </c>
      <c r="AB43" t="str">
        <f>IFERROR(INDEX(הגדרות!$B$2:$B$17,MATCH(I43,הגדרות!$A$2:$A$17,0)),"")</f>
        <v>מיוער</v>
      </c>
      <c r="AC43">
        <f>IFERROR(INDEX(הגדרות!$C$2:$C$17,MATCH(I43,הגדרות!$A$2:$A$17,0)),"")</f>
        <v>0</v>
      </c>
      <c r="AD43">
        <f>IF(AND(מלאי!D34&lt;&gt;"",OR('לוח בקרה'!$B$4="הכל",מלאי!Z34='לוח בקרה'!$B$4,מלאי!AA34='לוח בקרה'!$B$4,מלאי!AB34='לוח בקרה'!$B$4,מלאי!AC34='לוח בקרה'!$B$4),OR('לוח בקרה'!$B$5="הכל",מלאי!A34='לוח בקרה'!$B$5),OR('לוח בקרה'!$B$6="הכל",מלאי!B34='לוח בקרה'!$B$6),OR('לוח בקרה'!$B$7="הכל",מלאי!F34='לוח בקרה'!$B$7,מלאי!G34='לוח בקרה'!$B$7),OR('לוח בקרה'!$B$8="הכל",מלאי!T34='לוח בקרה'!$B$8),OR('לוח בקרה'!$B$9="הכל",מלאי!Q34='לוח בקרה'!$B$9),OR('לוח בקרה'!$E$4="הכל",מלאי!J34='לוח בקרה'!$E$4),OR('לוח בקרה'!$E$5="הכל",מלאי!L34='לוח בקרה'!$E$5),OR('לוח בקרה'!$E$6="הכל",מלאי!O34='לוח בקרה'!$E$6),OR('לוח בקרה'!$E$7="הכל",מלאי!R34='לוח בקרה'!$E$7),OR('לוח בקרה'!$E$8="הכל",'לוח בקרה'!$E$8="",מלאי!W34='לוח בקרה'!$E$8),OR('לוח בקרה'!$E$9="הכל",'לוח בקרה'!$E$9="",ISNUMBER(SEARCH('לוח בקרה'!$E$9,מלאי!C34)))),1,0)</f>
        <v>1</v>
      </c>
      <c r="AE43" t="e">
        <f>IF(AND(מלאי!D34&lt;&gt;"",OR('לוח בקרה טכנו-מבצעי'!$B$4="הכל",מלאי!Z34='לוח בקרה טכנו-מבצעי'!$B$4,מלאי!AA34='לוח בקרה טכנו-מבצעי'!$B$4,מלאי!AB34='לוח בקרה טכנו-מבצעי'!$B$4,מלאי!AC34='לוח בקרה טכנו-מבצעי'!$B$4),OR('לוח בקרה טכנו-מבצעי'!$B$5="הכל",מלאי!A34='לוח בקרה טכנו-מבצעי'!$B$5),OR('לוח בקרה טכנו-מבצעי'!$B$6="הכל",מלאי!B34='לוח בקרה טכנו-מבצעי'!$B$6),OR('לוח בקרה טכנו-מבצעי'!$B$7="הכל",מלאי!F34='לוח בקרה טכנו-מבצעי'!$B$7,מלאי!G34='לוח בקרה טכנו-מבצעי'!$B$7),OR('לוח בקרה טכנו-מבצעי'!$B$8="הכל",מלאי!T34='לוח בקרה טכנו-מבצעי'!$B$8),OR('לוח בקרה טכנו-מבצעי'!$B$9="הכל",מלאי!Q34='לוח בקרה טכנו-מבצעי'!$B$9),OR('לוח בקרה טכנו-מבצעי'!$E$4="הכל",מלאי!J34='לוח בקרה טכנו-מבצעי'!$E$4),OR('לוח בקרה טכנו-מבצעי'!$E$5="הכל",מלאי!L34='לוח בקרה טכנו-מבצעי'!$E$5),OR('לוח בקרה טכנו-מבצעי'!$E$6="הכל",מלאי!O34='לוח בקרה טכנו-מבצעי'!$E$6),OR('לוח בקרה טכנו-מבצעי'!$E$7="הכל",מלאי!R34='לוח בקרה טכנו-מבצעי'!$E$7),OR('לוח בקרה טכנו-מבצעי'!$E$8="הכל",'לוח בקרה טכנו-מבצעי'!$E$8="",מלאי!W34='לוח בקרה טכנו-מבצעי'!$E$8),OR('לוח בקרה טכנו-מבצעי'!$E$9="הכל",'לוח בקרה טכנו-מבצעי'!$E$9="",ISNUMBER(SEARCH('לוח בקרה טכנו-מבצעי'!$E$9,מלאי!C34))),OR('לוח בקרה טכנו-מבצעי'!$B$10="הכל",מלאי!#REF!='לוח בקרה טכנו-מבצעי'!$B$10)),1,0)</f>
        <v>#REF!</v>
      </c>
      <c r="AF43">
        <f>IF(AD43=1,COUNTIF($AD$3:$AD43,1),"")</f>
        <v>14</v>
      </c>
      <c r="AG43" t="e">
        <f>IF(AE43=1,COUNTIF($AE$3:$AE43,1),"")</f>
        <v>#REF!</v>
      </c>
    </row>
    <row r="44" spans="1:33" ht="15" customHeight="1" x14ac:dyDescent="0.25">
      <c r="A44" s="17" t="s">
        <v>62</v>
      </c>
      <c r="B44" s="17" t="s">
        <v>72</v>
      </c>
      <c r="C44" s="17" t="s">
        <v>64</v>
      </c>
      <c r="D44" s="17" t="s">
        <v>388</v>
      </c>
      <c r="E44" s="17" t="str">
        <f>IFERROR(INDEX(הגדרות!$I$2:$I$47,MATCH(B44,הגדרות!$H$2:$H$47,0)),"")</f>
        <v>7030-01</v>
      </c>
      <c r="F44" s="17" t="s">
        <v>73</v>
      </c>
      <c r="G44" s="17"/>
      <c r="H44" s="17" t="s">
        <v>74</v>
      </c>
      <c r="I44" s="17" t="s">
        <v>77</v>
      </c>
      <c r="J44" s="17" t="s">
        <v>68</v>
      </c>
      <c r="K44" s="17" t="s">
        <v>68</v>
      </c>
      <c r="L44" s="17" t="s">
        <v>68</v>
      </c>
      <c r="M44" s="17" t="s">
        <v>68</v>
      </c>
      <c r="N44" s="17" t="s">
        <v>14</v>
      </c>
      <c r="O44" s="17" t="s">
        <v>14</v>
      </c>
      <c r="P44" s="17" t="s">
        <v>97</v>
      </c>
      <c r="Q44" s="17" t="s">
        <v>14</v>
      </c>
      <c r="R44" s="17"/>
      <c r="S44" s="17" t="s">
        <v>14</v>
      </c>
      <c r="T44" s="17" t="s">
        <v>69</v>
      </c>
      <c r="U44" s="17"/>
      <c r="V44" s="17"/>
      <c r="W44" s="17"/>
      <c r="X44" s="17"/>
      <c r="Y44" s="17"/>
      <c r="Z44" t="str">
        <f>IFERROR(INDEX(הגדרות!$B$2:$B$17,MATCH(H44,הגדרות!$A$2:$A$17,0)),"")</f>
        <v>מיוער</v>
      </c>
      <c r="AA44">
        <f>IFERROR(INDEX(הגדרות!$C$2:$C$17,MATCH(H44,הגדרות!$A$2:$A$17,0)),"")</f>
        <v>0</v>
      </c>
      <c r="AB44" t="str">
        <f>IFERROR(INDEX(הגדרות!$B$2:$B$17,MATCH(I44,הגדרות!$A$2:$A$17,0)),"")</f>
        <v>מדברי</v>
      </c>
      <c r="AC44">
        <f>IFERROR(INDEX(הגדרות!$C$2:$C$17,MATCH(I44,הגדרות!$A$2:$A$17,0)),"")</f>
        <v>0</v>
      </c>
      <c r="AD44">
        <f>IF(AND(מלאי!D44&lt;&gt;"",OR('לוח בקרה'!$B$4="הכל",מלאי!Z44='לוח בקרה'!$B$4,מלאי!AA44='לוח בקרה'!$B$4,מלאי!AB44='לוח בקרה'!$B$4,מלאי!AC44='לוח בקרה'!$B$4),OR('לוח בקרה'!$B$5="הכל",מלאי!A44='לוח בקרה'!$B$5),OR('לוח בקרה'!$B$6="הכל",מלאי!B44='לוח בקרה'!$B$6),OR('לוח בקרה'!$B$7="הכל",מלאי!F44='לוח בקרה'!$B$7,מלאי!G44='לוח בקרה'!$B$7),OR('לוח בקרה'!$B$8="הכל",מלאי!T44='לוח בקרה'!$B$8),OR('לוח בקרה'!$B$9="הכל",מלאי!Q44='לוח בקרה'!$B$9),OR('לוח בקרה'!$E$4="הכל",מלאי!J44='לוח בקרה'!$E$4),OR('לוח בקרה'!$E$5="הכל",מלאי!L44='לוח בקרה'!$E$5),OR('לוח בקרה'!$E$6="הכל",מלאי!O44='לוח בקרה'!$E$6),OR('לוח בקרה'!$E$7="הכל",מלאי!R44='לוח בקרה'!$E$7),OR('לוח בקרה'!$E$8="הכל",'לוח בקרה'!$E$8="",מלאי!W44='לוח בקרה'!$E$8),OR('לוח בקרה'!$E$9="הכל",'לוח בקרה'!$E$9="",ISNUMBER(SEARCH('לוח בקרה'!$E$9,מלאי!C44)))),1,0)</f>
        <v>0</v>
      </c>
      <c r="AE44" t="e">
        <f>IF(AND(מלאי!D44&lt;&gt;"",OR('לוח בקרה טכנו-מבצעי'!$B$4="הכל",מלאי!Z44='לוח בקרה טכנו-מבצעי'!$B$4,מלאי!AA44='לוח בקרה טכנו-מבצעי'!$B$4,מלאי!AB44='לוח בקרה טכנו-מבצעי'!$B$4,מלאי!AC44='לוח בקרה טכנו-מבצעי'!$B$4),OR('לוח בקרה טכנו-מבצעי'!$B$5="הכל",מלאי!A44='לוח בקרה טכנו-מבצעי'!$B$5),OR('לוח בקרה טכנו-מבצעי'!$B$6="הכל",מלאי!B44='לוח בקרה טכנו-מבצעי'!$B$6),OR('לוח בקרה טכנו-מבצעי'!$B$7="הכל",מלאי!F44='לוח בקרה טכנו-מבצעי'!$B$7,מלאי!G44='לוח בקרה טכנו-מבצעי'!$B$7),OR('לוח בקרה טכנו-מבצעי'!$B$8="הכל",מלאי!T44='לוח בקרה טכנו-מבצעי'!$B$8),OR('לוח בקרה טכנו-מבצעי'!$B$9="הכל",מלאי!Q44='לוח בקרה טכנו-מבצעי'!$B$9),OR('לוח בקרה טכנו-מבצעי'!$E$4="הכל",מלאי!J44='לוח בקרה טכנו-מבצעי'!$E$4),OR('לוח בקרה טכנו-מבצעי'!$E$5="הכל",מלאי!L44='לוח בקרה טכנו-מבצעי'!$E$5),OR('לוח בקרה טכנו-מבצעי'!$E$6="הכל",מלאי!O44='לוח בקרה טכנו-מבצעי'!$E$6),OR('לוח בקרה טכנו-מבצעי'!$E$7="הכל",מלאי!R44='לוח בקרה טכנו-מבצעי'!$E$7),OR('לוח בקרה טכנו-מבצעי'!$E$8="הכל",'לוח בקרה טכנו-מבצעי'!$E$8="",מלאי!W44='לוח בקרה טכנו-מבצעי'!$E$8),OR('לוח בקרה טכנו-מבצעי'!$E$9="הכל",'לוח בקרה טכנו-מבצעי'!$E$9="",ISNUMBER(SEARCH('לוח בקרה טכנו-מבצעי'!$E$9,מלאי!C44))),OR('לוח בקרה טכנו-מבצעי'!$B$10="הכל",מלאי!#REF!='לוח בקרה טכנו-מבצעי'!$B$10)),1,0)</f>
        <v>#REF!</v>
      </c>
      <c r="AF44" t="str">
        <f>IF(AD44=1,COUNTIF($AD$3:$AD44,1),"")</f>
        <v/>
      </c>
      <c r="AG44" t="e">
        <f>IF(AE44=1,COUNTIF($AE$3:$AE44,1),"")</f>
        <v>#REF!</v>
      </c>
    </row>
    <row r="45" spans="1:33" ht="15" customHeight="1" x14ac:dyDescent="0.25">
      <c r="A45" s="19" t="s">
        <v>62</v>
      </c>
      <c r="B45" s="19" t="s">
        <v>72</v>
      </c>
      <c r="C45" s="19" t="s">
        <v>64</v>
      </c>
      <c r="D45" s="19" t="s">
        <v>389</v>
      </c>
      <c r="E45" s="19" t="str">
        <f>IFERROR(INDEX(הגדרות!$I$2:$I$47,MATCH(B45,הגדרות!$H$2:$H$47,0)),"")</f>
        <v>7030-01</v>
      </c>
      <c r="F45" s="19" t="s">
        <v>73</v>
      </c>
      <c r="G45" s="19"/>
      <c r="H45" s="19" t="s">
        <v>74</v>
      </c>
      <c r="I45" s="19" t="s">
        <v>67</v>
      </c>
      <c r="J45" s="19" t="s">
        <v>68</v>
      </c>
      <c r="K45" s="19" t="s">
        <v>68</v>
      </c>
      <c r="L45" s="19" t="s">
        <v>68</v>
      </c>
      <c r="M45" s="19" t="s">
        <v>68</v>
      </c>
      <c r="N45" s="19" t="s">
        <v>14</v>
      </c>
      <c r="O45" s="19" t="s">
        <v>14</v>
      </c>
      <c r="P45" s="19" t="s">
        <v>75</v>
      </c>
      <c r="Q45" s="19" t="s">
        <v>14</v>
      </c>
      <c r="R45" s="19"/>
      <c r="S45" s="19" t="s">
        <v>14</v>
      </c>
      <c r="T45" s="19" t="s">
        <v>69</v>
      </c>
      <c r="U45" s="19" t="s">
        <v>76</v>
      </c>
      <c r="V45" s="19"/>
      <c r="W45" s="19"/>
      <c r="X45" s="19"/>
      <c r="Y45" s="19"/>
      <c r="Z45" t="str">
        <f>IFERROR(INDEX(הגדרות!$B$2:$B$17,MATCH(H45,הגדרות!$A$2:$A$17,0)),"")</f>
        <v>מיוער</v>
      </c>
      <c r="AA45">
        <f>IFERROR(INDEX(הגדרות!$C$2:$C$17,MATCH(H45,הגדרות!$A$2:$A$17,0)),"")</f>
        <v>0</v>
      </c>
      <c r="AB45" t="str">
        <f>IFERROR(INDEX(הגדרות!$B$2:$B$17,MATCH(I45,הגדרות!$A$2:$A$17,0)),"")</f>
        <v>מדברי</v>
      </c>
      <c r="AC45">
        <f>IFERROR(INDEX(הגדרות!$C$2:$C$17,MATCH(I45,הגדרות!$A$2:$A$17,0)),"")</f>
        <v>0</v>
      </c>
      <c r="AD45">
        <f>IF(AND(מלאי!D45&lt;&gt;"",OR('לוח בקרה'!$B$4="הכל",מלאי!Z45='לוח בקרה'!$B$4,מלאי!AA45='לוח בקרה'!$B$4,מלאי!AB45='לוח בקרה'!$B$4,מלאי!AC45='לוח בקרה'!$B$4),OR('לוח בקרה'!$B$5="הכל",מלאי!A45='לוח בקרה'!$B$5),OR('לוח בקרה'!$B$6="הכל",מלאי!B45='לוח בקרה'!$B$6),OR('לוח בקרה'!$B$7="הכל",מלאי!F45='לוח בקרה'!$B$7,מלאי!G45='לוח בקרה'!$B$7),OR('לוח בקרה'!$B$8="הכל",מלאי!T45='לוח בקרה'!$B$8),OR('לוח בקרה'!$B$9="הכל",מלאי!Q45='לוח בקרה'!$B$9),OR('לוח בקרה'!$E$4="הכל",מלאי!J45='לוח בקרה'!$E$4),OR('לוח בקרה'!$E$5="הכל",מלאי!L45='לוח בקרה'!$E$5),OR('לוח בקרה'!$E$6="הכל",מלאי!O45='לוח בקרה'!$E$6),OR('לוח בקרה'!$E$7="הכל",מלאי!R45='לוח בקרה'!$E$7),OR('לוח בקרה'!$E$8="הכל",'לוח בקרה'!$E$8="",מלאי!W45='לוח בקרה'!$E$8),OR('לוח בקרה'!$E$9="הכל",'לוח בקרה'!$E$9="",ISNUMBER(SEARCH('לוח בקרה'!$E$9,מלאי!C45)))),1,0)</f>
        <v>0</v>
      </c>
      <c r="AE45" t="e">
        <f>IF(AND(מלאי!D45&lt;&gt;"",OR('לוח בקרה טכנו-מבצעי'!$B$4="הכל",מלאי!Z45='לוח בקרה טכנו-מבצעי'!$B$4,מלאי!AA45='לוח בקרה טכנו-מבצעי'!$B$4,מלאי!AB45='לוח בקרה טכנו-מבצעי'!$B$4,מלאי!AC45='לוח בקרה טכנו-מבצעי'!$B$4),OR('לוח בקרה טכנו-מבצעי'!$B$5="הכל",מלאי!A45='לוח בקרה טכנו-מבצעי'!$B$5),OR('לוח בקרה טכנו-מבצעי'!$B$6="הכל",מלאי!B45='לוח בקרה טכנו-מבצעי'!$B$6),OR('לוח בקרה טכנו-מבצעי'!$B$7="הכל",מלאי!F45='לוח בקרה טכנו-מבצעי'!$B$7,מלאי!G45='לוח בקרה טכנו-מבצעי'!$B$7),OR('לוח בקרה טכנו-מבצעי'!$B$8="הכל",מלאי!T45='לוח בקרה טכנו-מבצעי'!$B$8),OR('לוח בקרה טכנו-מבצעי'!$B$9="הכל",מלאי!Q45='לוח בקרה טכנו-מבצעי'!$B$9),OR('לוח בקרה טכנו-מבצעי'!$E$4="הכל",מלאי!J45='לוח בקרה טכנו-מבצעי'!$E$4),OR('לוח בקרה טכנו-מבצעי'!$E$5="הכל",מלאי!L45='לוח בקרה טכנו-מבצעי'!$E$5),OR('לוח בקרה טכנו-מבצעי'!$E$6="הכל",מלאי!O45='לוח בקרה טכנו-מבצעי'!$E$6),OR('לוח בקרה טכנו-מבצעי'!$E$7="הכל",מלאי!R45='לוח בקרה טכנו-מבצעי'!$E$7),OR('לוח בקרה טכנו-מבצעי'!$E$8="הכל",'לוח בקרה טכנו-מבצעי'!$E$8="",מלאי!W45='לוח בקרה טכנו-מבצעי'!$E$8),OR('לוח בקרה טכנו-מבצעי'!$E$9="הכל",'לוח בקרה טכנו-מבצעי'!$E$9="",ISNUMBER(SEARCH('לוח בקרה טכנו-מבצעי'!$E$9,מלאי!C45))),OR('לוח בקרה טכנו-מבצעי'!$B$10="הכל",מלאי!#REF!='לוח בקרה טכנו-מבצעי'!$B$10)),1,0)</f>
        <v>#REF!</v>
      </c>
      <c r="AF45" t="str">
        <f>IF(AD45=1,COUNTIF($AD$3:$AD45,1),"")</f>
        <v/>
      </c>
      <c r="AG45" t="e">
        <f>IF(AE45=1,COUNTIF($AE$3:$AE45,1),"")</f>
        <v>#REF!</v>
      </c>
    </row>
    <row r="46" spans="1:33" ht="15" customHeight="1" x14ac:dyDescent="0.25">
      <c r="A46" s="17" t="s">
        <v>62</v>
      </c>
      <c r="B46" s="17" t="s">
        <v>98</v>
      </c>
      <c r="C46" s="17" t="s">
        <v>64</v>
      </c>
      <c r="D46" s="17" t="s">
        <v>289</v>
      </c>
      <c r="E46" s="17" t="str">
        <f>IFERROR(INDEX(הגדרות!$I$2:$I$47,MATCH(B46,הגדרות!$H$2:$H$47,0)),"")</f>
        <v>7021-00</v>
      </c>
      <c r="F46" s="17" t="s">
        <v>73</v>
      </c>
      <c r="G46" s="17"/>
      <c r="H46" s="17" t="s">
        <v>92</v>
      </c>
      <c r="I46" s="17"/>
      <c r="J46" s="17" t="s">
        <v>68</v>
      </c>
      <c r="K46" s="17"/>
      <c r="L46" s="17" t="s">
        <v>68</v>
      </c>
      <c r="M46" s="17"/>
      <c r="N46" s="17"/>
      <c r="O46" s="17" t="s">
        <v>68</v>
      </c>
      <c r="P46" s="17"/>
      <c r="Q46" s="17" t="s">
        <v>14</v>
      </c>
      <c r="R46" s="17"/>
      <c r="S46" s="17" t="s">
        <v>14</v>
      </c>
      <c r="T46" s="17" t="s">
        <v>69</v>
      </c>
      <c r="U46" s="17"/>
      <c r="V46" s="17"/>
      <c r="W46" s="17"/>
      <c r="X46" s="17"/>
      <c r="Y46" s="17"/>
      <c r="Z46" t="str">
        <f>IFERROR(INDEX(הגדרות!$B$2:$B$17,MATCH(H46,הגדרות!$A$2:$A$17,0)),"")</f>
        <v>ימי</v>
      </c>
      <c r="AA46">
        <f>IFERROR(INDEX(הגדרות!$C$2:$C$17,MATCH(H46,הגדרות!$A$2:$A$17,0)),"")</f>
        <v>0</v>
      </c>
      <c r="AB46" t="str">
        <f>IFERROR(INDEX(הגדרות!$B$2:$B$17,MATCH(I46,הגדרות!$A$2:$A$17,0)),"")</f>
        <v/>
      </c>
      <c r="AC46" t="str">
        <f>IFERROR(INDEX(הגדרות!$C$2:$C$17,MATCH(I46,הגדרות!$A$2:$A$17,0)),"")</f>
        <v/>
      </c>
      <c r="AD46">
        <f>IF(AND(מלאי!D46&lt;&gt;"",OR('לוח בקרה'!$B$4="הכל",מלאי!Z46='לוח בקרה'!$B$4,מלאי!AA46='לוח בקרה'!$B$4,מלאי!AB46='לוח בקרה'!$B$4,מלאי!AC46='לוח בקרה'!$B$4),OR('לוח בקרה'!$B$5="הכל",מלאי!A46='לוח בקרה'!$B$5),OR('לוח בקרה'!$B$6="הכל",מלאי!B46='לוח בקרה'!$B$6),OR('לוח בקרה'!$B$7="הכל",מלאי!F46='לוח בקרה'!$B$7,מלאי!G46='לוח בקרה'!$B$7),OR('לוח בקרה'!$B$8="הכל",מלאי!T46='לוח בקרה'!$B$8),OR('לוח בקרה'!$B$9="הכל",מלאי!Q46='לוח בקרה'!$B$9),OR('לוח בקרה'!$E$4="הכל",מלאי!J46='לוח בקרה'!$E$4),OR('לוח בקרה'!$E$5="הכל",מלאי!L46='לוח בקרה'!$E$5),OR('לוח בקרה'!$E$6="הכל",מלאי!O46='לוח בקרה'!$E$6),OR('לוח בקרה'!$E$7="הכל",מלאי!R46='לוח בקרה'!$E$7),OR('לוח בקרה'!$E$8="הכל",'לוח בקרה'!$E$8="",מלאי!W46='לוח בקרה'!$E$8),OR('לוח בקרה'!$E$9="הכל",'לוח בקרה'!$E$9="",ISNUMBER(SEARCH('לוח בקרה'!$E$9,מלאי!C46)))),1,0)</f>
        <v>0</v>
      </c>
      <c r="AE46" t="e">
        <f>IF(AND(מלאי!D46&lt;&gt;"",OR('לוח בקרה טכנו-מבצעי'!$B$4="הכל",מלאי!Z46='לוח בקרה טכנו-מבצעי'!$B$4,מלאי!AA46='לוח בקרה טכנו-מבצעי'!$B$4,מלאי!AB46='לוח בקרה טכנו-מבצעי'!$B$4,מלאי!AC46='לוח בקרה טכנו-מבצעי'!$B$4),OR('לוח בקרה טכנו-מבצעי'!$B$5="הכל",מלאי!A46='לוח בקרה טכנו-מבצעי'!$B$5),OR('לוח בקרה טכנו-מבצעי'!$B$6="הכל",מלאי!B46='לוח בקרה טכנו-מבצעי'!$B$6),OR('לוח בקרה טכנו-מבצעי'!$B$7="הכל",מלאי!F46='לוח בקרה טכנו-מבצעי'!$B$7,מלאי!G46='לוח בקרה טכנו-מבצעי'!$B$7),OR('לוח בקרה טכנו-מבצעי'!$B$8="הכל",מלאי!T46='לוח בקרה טכנו-מבצעי'!$B$8),OR('לוח בקרה טכנו-מבצעי'!$B$9="הכל",מלאי!Q46='לוח בקרה טכנו-מבצעי'!$B$9),OR('לוח בקרה טכנו-מבצעי'!$E$4="הכל",מלאי!J46='לוח בקרה טכנו-מבצעי'!$E$4),OR('לוח בקרה טכנו-מבצעי'!$E$5="הכל",מלאי!L46='לוח בקרה טכנו-מבצעי'!$E$5),OR('לוח בקרה טכנו-מבצעי'!$E$6="הכל",מלאי!O46='לוח בקרה טכנו-מבצעי'!$E$6),OR('לוח בקרה טכנו-מבצעי'!$E$7="הכל",מלאי!R46='לוח בקרה טכנו-מבצעי'!$E$7),OR('לוח בקרה טכנו-מבצעי'!$E$8="הכל",'לוח בקרה טכנו-מבצעי'!$E$8="",מלאי!W46='לוח בקרה טכנו-מבצעי'!$E$8),OR('לוח בקרה טכנו-מבצעי'!$E$9="הכל",'לוח בקרה טכנו-מבצעי'!$E$9="",ISNUMBER(SEARCH('לוח בקרה טכנו-מבצעי'!$E$9,מלאי!C46))),OR('לוח בקרה טכנו-מבצעי'!$B$10="הכל",מלאי!#REF!='לוח בקרה טכנו-מבצעי'!$B$10)),1,0)</f>
        <v>#REF!</v>
      </c>
      <c r="AF46" t="str">
        <f>IF(AD46=1,COUNTIF($AD$3:$AD46,1),"")</f>
        <v/>
      </c>
      <c r="AG46" t="e">
        <f>IF(AE46=1,COUNTIF($AE$3:$AE46,1),"")</f>
        <v>#REF!</v>
      </c>
    </row>
    <row r="47" spans="1:33" ht="15" customHeight="1" x14ac:dyDescent="0.25">
      <c r="A47" s="19" t="s">
        <v>62</v>
      </c>
      <c r="B47" s="19" t="s">
        <v>98</v>
      </c>
      <c r="C47" s="19" t="s">
        <v>64</v>
      </c>
      <c r="D47" s="19" t="s">
        <v>287</v>
      </c>
      <c r="E47" s="19" t="str">
        <f>IFERROR(INDEX(הגדרות!$I$2:$I$47,MATCH(B47,הגדרות!$H$2:$H$47,0)),"")</f>
        <v>7021-00</v>
      </c>
      <c r="F47" s="19" t="s">
        <v>65</v>
      </c>
      <c r="G47" s="19"/>
      <c r="H47" s="19" t="s">
        <v>95</v>
      </c>
      <c r="I47" s="19"/>
      <c r="J47" s="19" t="s">
        <v>68</v>
      </c>
      <c r="K47" s="19"/>
      <c r="L47" s="19" t="s">
        <v>68</v>
      </c>
      <c r="M47" s="19"/>
      <c r="N47" s="19"/>
      <c r="O47" s="19" t="s">
        <v>68</v>
      </c>
      <c r="P47" s="19"/>
      <c r="Q47" s="19" t="s">
        <v>14</v>
      </c>
      <c r="R47" s="19"/>
      <c r="S47" s="19" t="s">
        <v>14</v>
      </c>
      <c r="T47" s="19" t="s">
        <v>69</v>
      </c>
      <c r="U47" s="19"/>
      <c r="V47" s="19"/>
      <c r="W47" s="19"/>
      <c r="X47" s="19"/>
      <c r="Y47" s="19"/>
      <c r="Z47" t="str">
        <f>IFERROR(INDEX(הגדרות!$B$2:$B$17,MATCH(H47,הגדרות!$A$2:$A$17,0)),"")</f>
        <v>מיוער</v>
      </c>
      <c r="AA47">
        <f>IFERROR(INDEX(הגדרות!$C$2:$C$17,MATCH(H47,הגדרות!$A$2:$A$17,0)),"")</f>
        <v>0</v>
      </c>
      <c r="AB47" t="str">
        <f>IFERROR(INDEX(הגדרות!$B$2:$B$17,MATCH(I47,הגדרות!$A$2:$A$17,0)),"")</f>
        <v/>
      </c>
      <c r="AC47" t="str">
        <f>IFERROR(INDEX(הגדרות!$C$2:$C$17,MATCH(I47,הגדרות!$A$2:$A$17,0)),"")</f>
        <v/>
      </c>
      <c r="AD47">
        <f>IF(AND(מלאי!D47&lt;&gt;"",OR('לוח בקרה'!$B$4="הכל",מלאי!Z47='לוח בקרה'!$B$4,מלאי!AA47='לוח בקרה'!$B$4,מלאי!AB47='לוח בקרה'!$B$4,מלאי!AC47='לוח בקרה'!$B$4),OR('לוח בקרה'!$B$5="הכל",מלאי!A47='לוח בקרה'!$B$5),OR('לוח בקרה'!$B$6="הכל",מלאי!B47='לוח בקרה'!$B$6),OR('לוח בקרה'!$B$7="הכל",מלאי!F47='לוח בקרה'!$B$7,מלאי!G47='לוח בקרה'!$B$7),OR('לוח בקרה'!$B$8="הכל",מלאי!T47='לוח בקרה'!$B$8),OR('לוח בקרה'!$B$9="הכל",מלאי!Q47='לוח בקרה'!$B$9),OR('לוח בקרה'!$E$4="הכל",מלאי!J47='לוח בקרה'!$E$4),OR('לוח בקרה'!$E$5="הכל",מלאי!L47='לוח בקרה'!$E$5),OR('לוח בקרה'!$E$6="הכל",מלאי!O47='לוח בקרה'!$E$6),OR('לוח בקרה'!$E$7="הכל",מלאי!R47='לוח בקרה'!$E$7),OR('לוח בקרה'!$E$8="הכל",'לוח בקרה'!$E$8="",מלאי!W47='לוח בקרה'!$E$8),OR('לוח בקרה'!$E$9="הכל",'לוח בקרה'!$E$9="",ISNUMBER(SEARCH('לוח בקרה'!$E$9,מלאי!C47)))),1,0)</f>
        <v>1</v>
      </c>
      <c r="AE47" t="e">
        <f>IF(AND(מלאי!D47&lt;&gt;"",OR('לוח בקרה טכנו-מבצעי'!$B$4="הכל",מלאי!Z47='לוח בקרה טכנו-מבצעי'!$B$4,מלאי!AA47='לוח בקרה טכנו-מבצעי'!$B$4,מלאי!AB47='לוח בקרה טכנו-מבצעי'!$B$4,מלאי!AC47='לוח בקרה טכנו-מבצעי'!$B$4),OR('לוח בקרה טכנו-מבצעי'!$B$5="הכל",מלאי!A47='לוח בקרה טכנו-מבצעי'!$B$5),OR('לוח בקרה טכנו-מבצעי'!$B$6="הכל",מלאי!B47='לוח בקרה טכנו-מבצעי'!$B$6),OR('לוח בקרה טכנו-מבצעי'!$B$7="הכל",מלאי!F47='לוח בקרה טכנו-מבצעי'!$B$7,מלאי!G47='לוח בקרה טכנו-מבצעי'!$B$7),OR('לוח בקרה טכנו-מבצעי'!$B$8="הכל",מלאי!T47='לוח בקרה טכנו-מבצעי'!$B$8),OR('לוח בקרה טכנו-מבצעי'!$B$9="הכל",מלאי!Q47='לוח בקרה טכנו-מבצעי'!$B$9),OR('לוח בקרה טכנו-מבצעי'!$E$4="הכל",מלאי!J47='לוח בקרה טכנו-מבצעי'!$E$4),OR('לוח בקרה טכנו-מבצעי'!$E$5="הכל",מלאי!L47='לוח בקרה טכנו-מבצעי'!$E$5),OR('לוח בקרה טכנו-מבצעי'!$E$6="הכל",מלאי!O47='לוח בקרה טכנו-מבצעי'!$E$6),OR('לוח בקרה טכנו-מבצעי'!$E$7="הכל",מלאי!R47='לוח בקרה טכנו-מבצעי'!$E$7),OR('לוח בקרה טכנו-מבצעי'!$E$8="הכל",'לוח בקרה טכנו-מבצעי'!$E$8="",מלאי!W47='לוח בקרה טכנו-מבצעי'!$E$8),OR('לוח בקרה טכנו-מבצעי'!$E$9="הכל",'לוח בקרה טכנו-מבצעי'!$E$9="",ISNUMBER(SEARCH('לוח בקרה טכנו-מבצעי'!$E$9,מלאי!C47))),OR('לוח בקרה טכנו-מבצעי'!$B$10="הכל",מלאי!#REF!='לוח בקרה טכנו-מבצעי'!$B$10)),1,0)</f>
        <v>#REF!</v>
      </c>
      <c r="AF47">
        <f>IF(AD47=1,COUNTIF($AD$3:$AD47,1),"")</f>
        <v>15</v>
      </c>
      <c r="AG47" t="e">
        <f>IF(AE47=1,COUNTIF($AE$3:$AE47,1),"")</f>
        <v>#REF!</v>
      </c>
    </row>
    <row r="48" spans="1:33" ht="15" customHeight="1" x14ac:dyDescent="0.25">
      <c r="A48" s="17" t="s">
        <v>62</v>
      </c>
      <c r="B48" s="17" t="s">
        <v>98</v>
      </c>
      <c r="C48" s="17" t="s">
        <v>64</v>
      </c>
      <c r="D48" s="17" t="s">
        <v>288</v>
      </c>
      <c r="E48" s="17" t="str">
        <f>IFERROR(INDEX(הגדרות!$I$2:$I$47,MATCH(B48,הגדרות!$H$2:$H$47,0)),"")</f>
        <v>7021-00</v>
      </c>
      <c r="F48" s="17" t="s">
        <v>65</v>
      </c>
      <c r="G48" s="17"/>
      <c r="H48" s="17" t="s">
        <v>92</v>
      </c>
      <c r="I48" s="17"/>
      <c r="J48" s="17" t="s">
        <v>68</v>
      </c>
      <c r="K48" s="17"/>
      <c r="L48" s="17" t="s">
        <v>68</v>
      </c>
      <c r="M48" s="17"/>
      <c r="N48" s="17"/>
      <c r="O48" s="17" t="s">
        <v>68</v>
      </c>
      <c r="P48" s="17"/>
      <c r="Q48" s="17" t="s">
        <v>14</v>
      </c>
      <c r="R48" s="17"/>
      <c r="S48" s="17" t="s">
        <v>14</v>
      </c>
      <c r="T48" s="17" t="s">
        <v>69</v>
      </c>
      <c r="U48" s="17"/>
      <c r="V48" s="17"/>
      <c r="W48" s="17"/>
      <c r="X48" s="17"/>
      <c r="Y48" s="17"/>
      <c r="Z48" t="str">
        <f>IFERROR(INDEX(הגדרות!$B$2:$B$17,MATCH(H48,הגדרות!$A$2:$A$17,0)),"")</f>
        <v>ימי</v>
      </c>
      <c r="AA48">
        <f>IFERROR(INDEX(הגדרות!$C$2:$C$17,MATCH(H48,הגדרות!$A$2:$A$17,0)),"")</f>
        <v>0</v>
      </c>
      <c r="AB48" t="str">
        <f>IFERROR(INDEX(הגדרות!$B$2:$B$17,MATCH(I48,הגדרות!$A$2:$A$17,0)),"")</f>
        <v/>
      </c>
      <c r="AC48" t="str">
        <f>IFERROR(INDEX(הגדרות!$C$2:$C$17,MATCH(I48,הגדרות!$A$2:$A$17,0)),"")</f>
        <v/>
      </c>
      <c r="AD48">
        <f>IF(AND(מלאי!D48&lt;&gt;"",OR('לוח בקרה'!$B$4="הכל",מלאי!Z48='לוח בקרה'!$B$4,מלאי!AA48='לוח בקרה'!$B$4,מלאי!AB48='לוח בקרה'!$B$4,מלאי!AC48='לוח בקרה'!$B$4),OR('לוח בקרה'!$B$5="הכל",מלאי!A48='לוח בקרה'!$B$5),OR('לוח בקרה'!$B$6="הכל",מלאי!B48='לוח בקרה'!$B$6),OR('לוח בקרה'!$B$7="הכל",מלאי!F48='לוח בקרה'!$B$7,מלאי!G48='לוח בקרה'!$B$7),OR('לוח בקרה'!$B$8="הכל",מלאי!T48='לוח בקרה'!$B$8),OR('לוח בקרה'!$B$9="הכל",מלאי!Q48='לוח בקרה'!$B$9),OR('לוח בקרה'!$E$4="הכל",מלאי!J48='לוח בקרה'!$E$4),OR('לוח בקרה'!$E$5="הכל",מלאי!L48='לוח בקרה'!$E$5),OR('לוח בקרה'!$E$6="הכל",מלאי!O48='לוח בקרה'!$E$6),OR('לוח בקרה'!$E$7="הכל",מלאי!R48='לוח בקרה'!$E$7),OR('לוח בקרה'!$E$8="הכל",'לוח בקרה'!$E$8="",מלאי!W48='לוח בקרה'!$E$8),OR('לוח בקרה'!$E$9="הכל",'לוח בקרה'!$E$9="",ISNUMBER(SEARCH('לוח בקרה'!$E$9,מלאי!C48)))),1,0)</f>
        <v>0</v>
      </c>
      <c r="AE48" t="e">
        <f>IF(AND(מלאי!D48&lt;&gt;"",OR('לוח בקרה טכנו-מבצעי'!$B$4="הכל",מלאי!Z48='לוח בקרה טכנו-מבצעי'!$B$4,מלאי!AA48='לוח בקרה טכנו-מבצעי'!$B$4,מלאי!AB48='לוח בקרה טכנו-מבצעי'!$B$4,מלאי!AC48='לוח בקרה טכנו-מבצעי'!$B$4),OR('לוח בקרה טכנו-מבצעי'!$B$5="הכל",מלאי!A48='לוח בקרה טכנו-מבצעי'!$B$5),OR('לוח בקרה טכנו-מבצעי'!$B$6="הכל",מלאי!B48='לוח בקרה טכנו-מבצעי'!$B$6),OR('לוח בקרה טכנו-מבצעי'!$B$7="הכל",מלאי!F48='לוח בקרה טכנו-מבצעי'!$B$7,מלאי!G48='לוח בקרה טכנו-מבצעי'!$B$7),OR('לוח בקרה טכנו-מבצעי'!$B$8="הכל",מלאי!T48='לוח בקרה טכנו-מבצעי'!$B$8),OR('לוח בקרה טכנו-מבצעי'!$B$9="הכל",מלאי!Q48='לוח בקרה טכנו-מבצעי'!$B$9),OR('לוח בקרה טכנו-מבצעי'!$E$4="הכל",מלאי!J48='לוח בקרה טכנו-מבצעי'!$E$4),OR('לוח בקרה טכנו-מבצעי'!$E$5="הכל",מלאי!L48='לוח בקרה טכנו-מבצעי'!$E$5),OR('לוח בקרה טכנו-מבצעי'!$E$6="הכל",מלאי!O48='לוח בקרה טכנו-מבצעי'!$E$6),OR('לוח בקרה טכנו-מבצעי'!$E$7="הכל",מלאי!R48='לוח בקרה טכנו-מבצעי'!$E$7),OR('לוח בקרה טכנו-מבצעי'!$E$8="הכל",'לוח בקרה טכנו-מבצעי'!$E$8="",מלאי!W48='לוח בקרה טכנו-מבצעי'!$E$8),OR('לוח בקרה טכנו-מבצעי'!$E$9="הכל",'לוח בקרה טכנו-מבצעי'!$E$9="",ISNUMBER(SEARCH('לוח בקרה טכנו-מבצעי'!$E$9,מלאי!C48))),OR('לוח בקרה טכנו-מבצעי'!$B$10="הכל",מלאי!#REF!='לוח בקרה טכנו-מבצעי'!$B$10)),1,0)</f>
        <v>#REF!</v>
      </c>
      <c r="AF48" t="str">
        <f>IF(AD48=1,COUNTIF($AD$3:$AD48,1),"")</f>
        <v/>
      </c>
      <c r="AG48" t="e">
        <f>IF(AE48=1,COUNTIF($AE$3:$AE48,1),"")</f>
        <v>#REF!</v>
      </c>
    </row>
    <row r="49" spans="1:33" ht="15" customHeight="1" x14ac:dyDescent="0.25">
      <c r="A49" s="19" t="s">
        <v>62</v>
      </c>
      <c r="B49" s="19" t="s">
        <v>98</v>
      </c>
      <c r="C49" s="19" t="s">
        <v>64</v>
      </c>
      <c r="D49" s="19" t="s">
        <v>99</v>
      </c>
      <c r="E49" s="19" t="str">
        <f>IFERROR(INDEX(הגדרות!$I$2:$I$47,MATCH(B49,הגדרות!$H$2:$H$47,0)),"")</f>
        <v>7021-00</v>
      </c>
      <c r="F49" s="19" t="s">
        <v>65</v>
      </c>
      <c r="G49" s="19"/>
      <c r="H49" s="19" t="s">
        <v>100</v>
      </c>
      <c r="I49" s="19"/>
      <c r="J49" s="19" t="s">
        <v>68</v>
      </c>
      <c r="K49" s="19"/>
      <c r="L49" s="19" t="s">
        <v>68</v>
      </c>
      <c r="M49" s="19"/>
      <c r="N49" s="19"/>
      <c r="O49" s="19" t="s">
        <v>68</v>
      </c>
      <c r="P49" s="19"/>
      <c r="Q49" s="19" t="s">
        <v>14</v>
      </c>
      <c r="R49" s="19"/>
      <c r="S49" s="19" t="s">
        <v>14</v>
      </c>
      <c r="T49" s="19" t="s">
        <v>70</v>
      </c>
      <c r="U49" s="19"/>
      <c r="V49" s="19"/>
      <c r="W49" s="19"/>
      <c r="X49" s="19"/>
      <c r="Y49" s="19"/>
      <c r="Z49" t="str">
        <f>IFERROR(INDEX(הגדרות!$B$2:$B$17,MATCH(H49,הגדרות!$A$2:$A$17,0)),"")</f>
        <v>מיוער</v>
      </c>
      <c r="AA49">
        <f>IFERROR(INDEX(הגדרות!$C$2:$C$17,MATCH(H49,הגדרות!$A$2:$A$17,0)),"")</f>
        <v>0</v>
      </c>
      <c r="AB49" t="str">
        <f>IFERROR(INDEX(הגדרות!$B$2:$B$17,MATCH(I49,הגדרות!$A$2:$A$17,0)),"")</f>
        <v/>
      </c>
      <c r="AC49" t="str">
        <f>IFERROR(INDEX(הגדרות!$C$2:$C$17,MATCH(I49,הגדרות!$A$2:$A$17,0)),"")</f>
        <v/>
      </c>
      <c r="AD49">
        <f>IF(AND(מלאי!D49&lt;&gt;"",OR('לוח בקרה'!$B$4="הכל",מלאי!Z49='לוח בקרה'!$B$4,מלאי!AA49='לוח בקרה'!$B$4,מלאי!AB49='לוח בקרה'!$B$4,מלאי!AC49='לוח בקרה'!$B$4),OR('לוח בקרה'!$B$5="הכל",מלאי!A49='לוח בקרה'!$B$5),OR('לוח בקרה'!$B$6="הכל",מלאי!B49='לוח בקרה'!$B$6),OR('לוח בקרה'!$B$7="הכל",מלאי!F49='לוח בקרה'!$B$7,מלאי!G49='לוח בקרה'!$B$7),OR('לוח בקרה'!$B$8="הכל",מלאי!T49='לוח בקרה'!$B$8),OR('לוח בקרה'!$B$9="הכל",מלאי!Q49='לוח בקרה'!$B$9),OR('לוח בקרה'!$E$4="הכל",מלאי!J49='לוח בקרה'!$E$4),OR('לוח בקרה'!$E$5="הכל",מלאי!L49='לוח בקרה'!$E$5),OR('לוח בקרה'!$E$6="הכל",מלאי!O49='לוח בקרה'!$E$6),OR('לוח בקרה'!$E$7="הכל",מלאי!R49='לוח בקרה'!$E$7),OR('לוח בקרה'!$E$8="הכל",'לוח בקרה'!$E$8="",מלאי!W49='לוח בקרה'!$E$8),OR('לוח בקרה'!$E$9="הכל",'לוח בקרה'!$E$9="",ISNUMBER(SEARCH('לוח בקרה'!$E$9,מלאי!C49)))),1,0)</f>
        <v>1</v>
      </c>
      <c r="AE49" t="e">
        <f>IF(AND(מלאי!D49&lt;&gt;"",OR('לוח בקרה טכנו-מבצעי'!$B$4="הכל",מלאי!Z49='לוח בקרה טכנו-מבצעי'!$B$4,מלאי!AA49='לוח בקרה טכנו-מבצעי'!$B$4,מלאי!AB49='לוח בקרה טכנו-מבצעי'!$B$4,מלאי!AC49='לוח בקרה טכנו-מבצעי'!$B$4),OR('לוח בקרה טכנו-מבצעי'!$B$5="הכל",מלאי!A49='לוח בקרה טכנו-מבצעי'!$B$5),OR('לוח בקרה טכנו-מבצעי'!$B$6="הכל",מלאי!B49='לוח בקרה טכנו-מבצעי'!$B$6),OR('לוח בקרה טכנו-מבצעי'!$B$7="הכל",מלאי!F49='לוח בקרה טכנו-מבצעי'!$B$7,מלאי!G49='לוח בקרה טכנו-מבצעי'!$B$7),OR('לוח בקרה טכנו-מבצעי'!$B$8="הכל",מלאי!T49='לוח בקרה טכנו-מבצעי'!$B$8),OR('לוח בקרה טכנו-מבצעי'!$B$9="הכל",מלאי!Q49='לוח בקרה טכנו-מבצעי'!$B$9),OR('לוח בקרה טכנו-מבצעי'!$E$4="הכל",מלאי!J49='לוח בקרה טכנו-מבצעי'!$E$4),OR('לוח בקרה טכנו-מבצעי'!$E$5="הכל",מלאי!L49='לוח בקרה טכנו-מבצעי'!$E$5),OR('לוח בקרה טכנו-מבצעי'!$E$6="הכל",מלאי!O49='לוח בקרה טכנו-מבצעי'!$E$6),OR('לוח בקרה טכנו-מבצעי'!$E$7="הכל",מלאי!R49='לוח בקרה טכנו-מבצעי'!$E$7),OR('לוח בקרה טכנו-מבצעי'!$E$8="הכל",'לוח בקרה טכנו-מבצעי'!$E$8="",מלאי!W49='לוח בקרה טכנו-מבצעי'!$E$8),OR('לוח בקרה טכנו-מבצעי'!$E$9="הכל",'לוח בקרה טכנו-מבצעי'!$E$9="",ISNUMBER(SEARCH('לוח בקרה טכנו-מבצעי'!$E$9,מלאי!C49))),OR('לוח בקרה טכנו-מבצעי'!$B$10="הכל",מלאי!#REF!='לוח בקרה טכנו-מבצעי'!$B$10)),1,0)</f>
        <v>#REF!</v>
      </c>
      <c r="AF49">
        <f>IF(AD49=1,COUNTIF($AD$3:$AD49,1),"")</f>
        <v>16</v>
      </c>
      <c r="AG49" t="e">
        <f>IF(AE49=1,COUNTIF($AE$3:$AE49,1),"")</f>
        <v>#REF!</v>
      </c>
    </row>
    <row r="50" spans="1:33" ht="15" customHeight="1" x14ac:dyDescent="0.25">
      <c r="A50" s="17" t="s">
        <v>62</v>
      </c>
      <c r="B50" s="17" t="s">
        <v>83</v>
      </c>
      <c r="C50" s="17" t="s">
        <v>64</v>
      </c>
      <c r="D50" s="17" t="s">
        <v>101</v>
      </c>
      <c r="E50" s="17" t="str">
        <f>IFERROR(INDEX(הגדרות!$I$2:$I$47,MATCH(B50,הגדרות!$H$2:$H$47,0)),"")</f>
        <v>7004-01</v>
      </c>
      <c r="F50" s="17" t="s">
        <v>65</v>
      </c>
      <c r="G50" s="17"/>
      <c r="H50" s="17" t="s">
        <v>102</v>
      </c>
      <c r="I50" s="17"/>
      <c r="J50" s="17" t="s">
        <v>68</v>
      </c>
      <c r="K50" s="17"/>
      <c r="L50" s="17" t="s">
        <v>14</v>
      </c>
      <c r="M50" s="17"/>
      <c r="N50" s="17"/>
      <c r="O50" s="17" t="s">
        <v>14</v>
      </c>
      <c r="P50" s="17"/>
      <c r="Q50" s="17" t="s">
        <v>68</v>
      </c>
      <c r="R50" s="17"/>
      <c r="S50" s="17" t="s">
        <v>14</v>
      </c>
      <c r="T50" s="17" t="s">
        <v>70</v>
      </c>
      <c r="U50" s="17"/>
      <c r="V50" s="17"/>
      <c r="W50" s="17"/>
      <c r="X50" s="17"/>
      <c r="Y50" s="17"/>
      <c r="Z50" t="str">
        <f>IFERROR(INDEX(הגדרות!$B$2:$B$17,MATCH(H50,הגדרות!$A$2:$A$17,0)),"")</f>
        <v>בולדר/שטח בנוי</v>
      </c>
      <c r="AA50">
        <f>IFERROR(INDEX(הגדרות!$C$2:$C$17,MATCH(H50,הגדרות!$A$2:$A$17,0)),"")</f>
        <v>0</v>
      </c>
      <c r="AB50" t="str">
        <f>IFERROR(INDEX(הגדרות!$B$2:$B$17,MATCH(I50,הגדרות!$A$2:$A$17,0)),"")</f>
        <v/>
      </c>
      <c r="AC50" t="str">
        <f>IFERROR(INDEX(הגדרות!$C$2:$C$17,MATCH(I50,הגדרות!$A$2:$A$17,0)),"")</f>
        <v/>
      </c>
      <c r="AD50">
        <f>IF(AND(מלאי!D50&lt;&gt;"",OR('לוח בקרה'!$B$4="הכל",מלאי!Z50='לוח בקרה'!$B$4,מלאי!AA50='לוח בקרה'!$B$4,מלאי!AB50='לוח בקרה'!$B$4,מלאי!AC50='לוח בקרה'!$B$4),OR('לוח בקרה'!$B$5="הכל",מלאי!A50='לוח בקרה'!$B$5),OR('לוח בקרה'!$B$6="הכל",מלאי!B50='לוח בקרה'!$B$6),OR('לוח בקרה'!$B$7="הכל",מלאי!F50='לוח בקרה'!$B$7,מלאי!G50='לוח בקרה'!$B$7),OR('לוח בקרה'!$B$8="הכל",מלאי!T50='לוח בקרה'!$B$8),OR('לוח בקרה'!$B$9="הכל",מלאי!Q50='לוח בקרה'!$B$9),OR('לוח בקרה'!$E$4="הכל",מלאי!J50='לוח בקרה'!$E$4),OR('לוח בקרה'!$E$5="הכל",מלאי!L50='לוח בקרה'!$E$5),OR('לוח בקרה'!$E$6="הכל",מלאי!O50='לוח בקרה'!$E$6),OR('לוח בקרה'!$E$7="הכל",מלאי!R50='לוח בקרה'!$E$7),OR('לוח בקרה'!$E$8="הכל",'לוח בקרה'!$E$8="",מלאי!W50='לוח בקרה'!$E$8),OR('לוח בקרה'!$E$9="הכל",'לוח בקרה'!$E$9="",ISNUMBER(SEARCH('לוח בקרה'!$E$9,מלאי!C50)))),1,0)</f>
        <v>0</v>
      </c>
      <c r="AE50" t="e">
        <f>IF(AND(מלאי!D50&lt;&gt;"",OR('לוח בקרה טכנו-מבצעי'!$B$4="הכל",מלאי!Z50='לוח בקרה טכנו-מבצעי'!$B$4,מלאי!AA50='לוח בקרה טכנו-מבצעי'!$B$4,מלאי!AB50='לוח בקרה טכנו-מבצעי'!$B$4,מלאי!AC50='לוח בקרה טכנו-מבצעי'!$B$4),OR('לוח בקרה טכנו-מבצעי'!$B$5="הכל",מלאי!A50='לוח בקרה טכנו-מבצעי'!$B$5),OR('לוח בקרה טכנו-מבצעי'!$B$6="הכל",מלאי!B50='לוח בקרה טכנו-מבצעי'!$B$6),OR('לוח בקרה טכנו-מבצעי'!$B$7="הכל",מלאי!F50='לוח בקרה טכנו-מבצעי'!$B$7,מלאי!G50='לוח בקרה טכנו-מבצעי'!$B$7),OR('לוח בקרה טכנו-מבצעי'!$B$8="הכל",מלאי!T50='לוח בקרה טכנו-מבצעי'!$B$8),OR('לוח בקרה טכנו-מבצעי'!$B$9="הכל",מלאי!Q50='לוח בקרה טכנו-מבצעי'!$B$9),OR('לוח בקרה טכנו-מבצעי'!$E$4="הכל",מלאי!J50='לוח בקרה טכנו-מבצעי'!$E$4),OR('לוח בקרה טכנו-מבצעי'!$E$5="הכל",מלאי!L50='לוח בקרה טכנו-מבצעי'!$E$5),OR('לוח בקרה טכנו-מבצעי'!$E$6="הכל",מלאי!O50='לוח בקרה טכנו-מבצעי'!$E$6),OR('לוח בקרה טכנו-מבצעי'!$E$7="הכל",מלאי!R50='לוח בקרה טכנו-מבצעי'!$E$7),OR('לוח בקרה טכנו-מבצעי'!$E$8="הכל",'לוח בקרה טכנו-מבצעי'!$E$8="",מלאי!W50='לוח בקרה טכנו-מבצעי'!$E$8),OR('לוח בקרה טכנו-מבצעי'!$E$9="הכל",'לוח בקרה טכנו-מבצעי'!$E$9="",ISNUMBER(SEARCH('לוח בקרה טכנו-מבצעי'!$E$9,מלאי!C50))),OR('לוח בקרה טכנו-מבצעי'!$B$10="הכל",מלאי!#REF!='לוח בקרה טכנו-מבצעי'!$B$10)),1,0)</f>
        <v>#REF!</v>
      </c>
      <c r="AF50" t="str">
        <f>IF(AD50=1,COUNTIF($AD$3:$AD50,1),"")</f>
        <v/>
      </c>
      <c r="AG50" t="e">
        <f>IF(AE50=1,COUNTIF($AE$3:$AE50,1),"")</f>
        <v>#REF!</v>
      </c>
    </row>
    <row r="51" spans="1:33" ht="23.25" customHeight="1" x14ac:dyDescent="0.25">
      <c r="A51" s="19" t="s">
        <v>62</v>
      </c>
      <c r="B51" s="19" t="s">
        <v>103</v>
      </c>
      <c r="C51" s="19" t="s">
        <v>64</v>
      </c>
      <c r="D51" s="19" t="s">
        <v>104</v>
      </c>
      <c r="E51" s="19" t="str">
        <f>IFERROR(INDEX(הגדרות!$I$2:$I$47,MATCH(B51,הגדרות!$H$2:$H$47,0)),"")</f>
        <v>7033-00</v>
      </c>
      <c r="F51" s="19" t="s">
        <v>105</v>
      </c>
      <c r="G51" s="19"/>
      <c r="H51" s="19" t="s">
        <v>100</v>
      </c>
      <c r="I51" s="19"/>
      <c r="J51" s="19" t="s">
        <v>68</v>
      </c>
      <c r="K51" s="19"/>
      <c r="L51" s="19" t="s">
        <v>68</v>
      </c>
      <c r="M51" s="19"/>
      <c r="N51" s="19"/>
      <c r="O51" s="19" t="s">
        <v>68</v>
      </c>
      <c r="P51" s="19"/>
      <c r="Q51" s="19" t="s">
        <v>14</v>
      </c>
      <c r="R51" s="19"/>
      <c r="S51" s="19" t="s">
        <v>14</v>
      </c>
      <c r="T51" s="19" t="s">
        <v>69</v>
      </c>
      <c r="U51" s="19"/>
      <c r="V51" s="19"/>
      <c r="W51" s="19"/>
      <c r="X51" s="19"/>
      <c r="Y51" s="19"/>
      <c r="Z51" t="str">
        <f>IFERROR(INDEX(הגדרות!$B$2:$B$17,MATCH(H51,הגדרות!$A$2:$A$17,0)),"")</f>
        <v>מיוער</v>
      </c>
      <c r="AA51">
        <f>IFERROR(INDEX(הגדרות!$C$2:$C$17,MATCH(H51,הגדרות!$A$2:$A$17,0)),"")</f>
        <v>0</v>
      </c>
      <c r="AB51" t="str">
        <f>IFERROR(INDEX(הגדרות!$B$2:$B$17,MATCH(I51,הגדרות!$A$2:$A$17,0)),"")</f>
        <v/>
      </c>
      <c r="AC51" t="str">
        <f>IFERROR(INDEX(הגדרות!$C$2:$C$17,MATCH(I51,הגדרות!$A$2:$A$17,0)),"")</f>
        <v/>
      </c>
      <c r="AD51">
        <f>IF(AND(מלאי!D51&lt;&gt;"",OR('לוח בקרה'!$B$4="הכל",מלאי!Z51='לוח בקרה'!$B$4,מלאי!AA51='לוח בקרה'!$B$4,מלאי!AB51='לוח בקרה'!$B$4,מלאי!AC51='לוח בקרה'!$B$4),OR('לוח בקרה'!$B$5="הכל",מלאי!A51='לוח בקרה'!$B$5),OR('לוח בקרה'!$B$6="הכל",מלאי!B51='לוח בקרה'!$B$6),OR('לוח בקרה'!$B$7="הכל",מלאי!F51='לוח בקרה'!$B$7,מלאי!G51='לוח בקרה'!$B$7),OR('לוח בקרה'!$B$8="הכל",מלאי!T51='לוח בקרה'!$B$8),OR('לוח בקרה'!$B$9="הכל",מלאי!Q51='לוח בקרה'!$B$9),OR('לוח בקרה'!$E$4="הכל",מלאי!J51='לוח בקרה'!$E$4),OR('לוח בקרה'!$E$5="הכל",מלאי!L51='לוח בקרה'!$E$5),OR('לוח בקרה'!$E$6="הכל",מלאי!O51='לוח בקרה'!$E$6),OR('לוח בקרה'!$E$7="הכל",מלאי!R51='לוח בקרה'!$E$7),OR('לוח בקרה'!$E$8="הכל",'לוח בקרה'!$E$8="",מלאי!W51='לוח בקרה'!$E$8),OR('לוח בקרה'!$E$9="הכל",'לוח בקרה'!$E$9="",ISNUMBER(SEARCH('לוח בקרה'!$E$9,מלאי!C51)))),1,0)</f>
        <v>1</v>
      </c>
      <c r="AE51" t="e">
        <f>IF(AND(מלאי!D51&lt;&gt;"",OR('לוח בקרה טכנו-מבצעי'!$B$4="הכל",מלאי!Z51='לוח בקרה טכנו-מבצעי'!$B$4,מלאי!AA51='לוח בקרה טכנו-מבצעי'!$B$4,מלאי!AB51='לוח בקרה טכנו-מבצעי'!$B$4,מלאי!AC51='לוח בקרה טכנו-מבצעי'!$B$4),OR('לוח בקרה טכנו-מבצעי'!$B$5="הכל",מלאי!A51='לוח בקרה טכנו-מבצעי'!$B$5),OR('לוח בקרה טכנו-מבצעי'!$B$6="הכל",מלאי!B51='לוח בקרה טכנו-מבצעי'!$B$6),OR('לוח בקרה טכנו-מבצעי'!$B$7="הכל",מלאי!F51='לוח בקרה טכנו-מבצעי'!$B$7,מלאי!G51='לוח בקרה טכנו-מבצעי'!$B$7),OR('לוח בקרה טכנו-מבצעי'!$B$8="הכל",מלאי!T51='לוח בקרה טכנו-מבצעי'!$B$8),OR('לוח בקרה טכנו-מבצעי'!$B$9="הכל",מלאי!Q51='לוח בקרה טכנו-מבצעי'!$B$9),OR('לוח בקרה טכנו-מבצעי'!$E$4="הכל",מלאי!J51='לוח בקרה טכנו-מבצעי'!$E$4),OR('לוח בקרה טכנו-מבצעי'!$E$5="הכל",מלאי!L51='לוח בקרה טכנו-מבצעי'!$E$5),OR('לוח בקרה טכנו-מבצעי'!$E$6="הכל",מלאי!O51='לוח בקרה טכנו-מבצעי'!$E$6),OR('לוח בקרה טכנו-מבצעי'!$E$7="הכל",מלאי!R51='לוח בקרה טכנו-מבצעי'!$E$7),OR('לוח בקרה טכנו-מבצעי'!$E$8="הכל",'לוח בקרה טכנו-מבצעי'!$E$8="",מלאי!W51='לוח בקרה טכנו-מבצעי'!$E$8),OR('לוח בקרה טכנו-מבצעי'!$E$9="הכל",'לוח בקרה טכנו-מבצעי'!$E$9="",ISNUMBER(SEARCH('לוח בקרה טכנו-מבצעי'!$E$9,מלאי!C51))),OR('לוח בקרה טכנו-מבצעי'!$B$10="הכל",מלאי!#REF!='לוח בקרה טכנו-מבצעי'!$B$10)),1,0)</f>
        <v>#REF!</v>
      </c>
      <c r="AF51">
        <f>IF(AD51=1,COUNTIF($AD$3:$AD51,1),"")</f>
        <v>17</v>
      </c>
      <c r="AG51" t="e">
        <f>IF(AE51=1,COUNTIF($AE$3:$AE51,1),"")</f>
        <v>#REF!</v>
      </c>
    </row>
    <row r="52" spans="1:33" ht="23.25" customHeight="1" x14ac:dyDescent="0.25">
      <c r="A52" s="19" t="s">
        <v>62</v>
      </c>
      <c r="B52" s="19" t="s">
        <v>103</v>
      </c>
      <c r="C52" s="19" t="s">
        <v>64</v>
      </c>
      <c r="D52" s="19" t="s">
        <v>259</v>
      </c>
      <c r="E52" s="19" t="str">
        <f>IFERROR(INDEX(הגדרות!$I$2:$I$47,MATCH(B52,הגדרות!$H$2:$H$47,0)),"")</f>
        <v>7033-00</v>
      </c>
      <c r="F52" s="19" t="s">
        <v>105</v>
      </c>
      <c r="G52" s="19"/>
      <c r="H52" s="19" t="s">
        <v>100</v>
      </c>
      <c r="I52" s="19"/>
      <c r="J52" s="19" t="s">
        <v>68</v>
      </c>
      <c r="K52" s="19"/>
      <c r="L52" s="19" t="s">
        <v>68</v>
      </c>
      <c r="M52" s="19"/>
      <c r="N52" s="19"/>
      <c r="O52" s="19" t="s">
        <v>68</v>
      </c>
      <c r="P52" s="19"/>
      <c r="Q52" s="19" t="s">
        <v>14</v>
      </c>
      <c r="R52" s="19"/>
      <c r="S52" s="19" t="s">
        <v>14</v>
      </c>
      <c r="T52" s="19" t="s">
        <v>69</v>
      </c>
      <c r="U52" s="19"/>
      <c r="V52" s="19"/>
      <c r="W52" s="19"/>
      <c r="X52" s="19"/>
      <c r="Y52" s="19"/>
      <c r="Z52" t="str">
        <f>IFERROR(INDEX(הגדרות!$B$2:$B$17,MATCH(H52,הגדרות!$A$2:$A$17,0)),"")</f>
        <v>מיוער</v>
      </c>
      <c r="AA52">
        <f>IFERROR(INDEX(הגדרות!$C$2:$C$17,MATCH(H52,הגדרות!$A$2:$A$17,0)),"")</f>
        <v>0</v>
      </c>
      <c r="AB52" t="str">
        <f>IFERROR(INDEX(הגדרות!$B$2:$B$17,MATCH(I52,הגדרות!$A$2:$A$17,0)),"")</f>
        <v/>
      </c>
      <c r="AC52" t="str">
        <f>IFERROR(INDEX(הגדרות!$C$2:$C$17,MATCH(I52,הגדרות!$A$2:$A$17,0)),"")</f>
        <v/>
      </c>
      <c r="AD52">
        <f>IF(AND(מלאי!D52&lt;&gt;"",OR('לוח בקרה'!$B$4="הכל",מלאי!Z52='לוח בקרה'!$B$4,מלאי!AA52='לוח בקרה'!$B$4,מלאי!AB52='לוח בקרה'!$B$4,מלאי!AC52='לוח בקרה'!$B$4),OR('לוח בקרה'!$B$5="הכל",מלאי!A52='לוח בקרה'!$B$5),OR('לוח בקרה'!$B$6="הכל",מלאי!B52='לוח בקרה'!$B$6),OR('לוח בקרה'!$B$7="הכל",מלאי!F52='לוח בקרה'!$B$7,מלאי!G52='לוח בקרה'!$B$7),OR('לוח בקרה'!$B$8="הכל",מלאי!T52='לוח בקרה'!$B$8),OR('לוח בקרה'!$B$9="הכל",מלאי!Q52='לוח בקרה'!$B$9),OR('לוח בקרה'!$E$4="הכל",מלאי!J52='לוח בקרה'!$E$4),OR('לוח בקרה'!$E$5="הכל",מלאי!L52='לוח בקרה'!$E$5),OR('לוח בקרה'!$E$6="הכל",מלאי!O52='לוח בקרה'!$E$6),OR('לוח בקרה'!$E$7="הכל",מלאי!R52='לוח בקרה'!$E$7),OR('לוח בקרה'!$E$8="הכל",'לוח בקרה'!$E$8="",מלאי!W52='לוח בקרה'!$E$8),OR('לוח בקרה'!$E$9="הכל",'לוח בקרה'!$E$9="",ISNUMBER(SEARCH('לוח בקרה'!$E$9,מלאי!C52)))),1,0)</f>
        <v>1</v>
      </c>
      <c r="AE52" t="e">
        <f>IF(AND(מלאי!D52&lt;&gt;"",OR('לוח בקרה טכנו-מבצעי'!$B$4="הכל",מלאי!Z52='לוח בקרה טכנו-מבצעי'!$B$4,מלאי!AA52='לוח בקרה טכנו-מבצעי'!$B$4,מלאי!AB52='לוח בקרה טכנו-מבצעי'!$B$4,מלאי!AC52='לוח בקרה טכנו-מבצעי'!$B$4),OR('לוח בקרה טכנו-מבצעי'!$B$5="הכל",מלאי!A52='לוח בקרה טכנו-מבצעי'!$B$5),OR('לוח בקרה טכנו-מבצעי'!$B$6="הכל",מלאי!B52='לוח בקרה טכנו-מבצעי'!$B$6),OR('לוח בקרה טכנו-מבצעי'!$B$7="הכל",מלאי!F52='לוח בקרה טכנו-מבצעי'!$B$7,מלאי!G52='לוח בקרה טכנו-מבצעי'!$B$7),OR('לוח בקרה טכנו-מבצעי'!$B$8="הכל",מלאי!T52='לוח בקרה טכנו-מבצעי'!$B$8),OR('לוח בקרה טכנו-מבצעי'!$B$9="הכל",מלאי!Q52='לוח בקרה טכנו-מבצעי'!$B$9),OR('לוח בקרה טכנו-מבצעי'!$E$4="הכל",מלאי!J52='לוח בקרה טכנו-מבצעי'!$E$4),OR('לוח בקרה טכנו-מבצעי'!$E$5="הכל",מלאי!L52='לוח בקרה טכנו-מבצעי'!$E$5),OR('לוח בקרה טכנו-מבצעי'!$E$6="הכל",מלאי!O52='לוח בקרה טכנו-מבצעי'!$E$6),OR('לוח בקרה טכנו-מבצעי'!$E$7="הכל",מלאי!R52='לוח בקרה טכנו-מבצעי'!$E$7),OR('לוח בקרה טכנו-מבצעי'!$E$8="הכל",'לוח בקרה טכנו-מבצעי'!$E$8="",מלאי!W52='לוח בקרה טכנו-מבצעי'!$E$8),OR('לוח בקרה טכנו-מבצעי'!$E$9="הכל",'לוח בקרה טכנו-מבצעי'!$E$9="",ISNUMBER(SEARCH('לוח בקרה טכנו-מבצעי'!$E$9,מלאי!C52))),OR('לוח בקרה טכנו-מבצעי'!$B$10="הכל",מלאי!#REF!='לוח בקרה טכנו-מבצעי'!$B$10)),1,0)</f>
        <v>#REF!</v>
      </c>
      <c r="AF52">
        <f>IF(AD52=1,COUNTIF($AD$3:$AD52,1),"")</f>
        <v>18</v>
      </c>
      <c r="AG52" t="e">
        <f>IF(AE52=1,COUNTIF($AE$3:$AE52,1),"")</f>
        <v>#REF!</v>
      </c>
    </row>
    <row r="53" spans="1:33" ht="15" customHeight="1" x14ac:dyDescent="0.25">
      <c r="A53" s="17" t="s">
        <v>106</v>
      </c>
      <c r="B53" s="17" t="s">
        <v>107</v>
      </c>
      <c r="C53" s="17" t="s">
        <v>64</v>
      </c>
      <c r="D53" s="30" t="s">
        <v>275</v>
      </c>
      <c r="E53" s="17" t="str">
        <f>IFERROR(INDEX(הגדרות!$I$2:$I$47,MATCH(B53,הגדרות!$H$2:$H$47,0)),"")</f>
        <v>9001-00</v>
      </c>
      <c r="F53" s="17" t="s">
        <v>108</v>
      </c>
      <c r="G53" s="17"/>
      <c r="H53" s="17" t="s">
        <v>67</v>
      </c>
      <c r="I53" s="17" t="s">
        <v>96</v>
      </c>
      <c r="J53" s="17" t="s">
        <v>68</v>
      </c>
      <c r="K53" s="17"/>
      <c r="L53" s="17" t="s">
        <v>68</v>
      </c>
      <c r="M53" s="17" t="s">
        <v>68</v>
      </c>
      <c r="N53" s="17"/>
      <c r="O53" s="17" t="s">
        <v>68</v>
      </c>
      <c r="P53" s="17"/>
      <c r="Q53" s="17" t="s">
        <v>14</v>
      </c>
      <c r="R53" s="17"/>
      <c r="S53" s="17" t="s">
        <v>14</v>
      </c>
      <c r="T53" s="17" t="s">
        <v>69</v>
      </c>
      <c r="U53" s="17"/>
      <c r="V53" s="17"/>
      <c r="W53" s="17"/>
      <c r="X53" s="17"/>
      <c r="Y53" s="17"/>
      <c r="Z53" t="str">
        <f>IFERROR(INDEX(הגדרות!$B$2:$B$17,MATCH(H53,הגדרות!$A$2:$A$17,0)),"")</f>
        <v>מדברי</v>
      </c>
      <c r="AA53">
        <f>IFERROR(INDEX(הגדרות!$C$2:$C$17,MATCH(H53,הגדרות!$A$2:$A$17,0)),"")</f>
        <v>0</v>
      </c>
      <c r="AB53" t="str">
        <f>IFERROR(INDEX(הגדרות!$B$2:$B$17,MATCH(I53,הגדרות!$A$2:$A$17,0)),"")</f>
        <v>מדברי</v>
      </c>
      <c r="AC53">
        <f>IFERROR(INDEX(הגדרות!$C$2:$C$17,MATCH(I53,הגדרות!$A$2:$A$17,0)),"")</f>
        <v>0</v>
      </c>
      <c r="AD53">
        <f>IF(AND(מלאי!D53&lt;&gt;"",OR('לוח בקרה'!$B$4="הכל",מלאי!Z53='לוח בקרה'!$B$4,מלאי!AA53='לוח בקרה'!$B$4,מלאי!AB53='לוח בקרה'!$B$4,מלאי!AC53='לוח בקרה'!$B$4),OR('לוח בקרה'!$B$5="הכל",מלאי!A53='לוח בקרה'!$B$5),OR('לוח בקרה'!$B$6="הכל",מלאי!B53='לוח בקרה'!$B$6),OR('לוח בקרה'!$B$7="הכל",מלאי!F53='לוח בקרה'!$B$7,מלאי!G53='לוח בקרה'!$B$7),OR('לוח בקרה'!$B$8="הכל",מלאי!T53='לוח בקרה'!$B$8),OR('לוח בקרה'!$B$9="הכל",מלאי!Q53='לוח בקרה'!$B$9),OR('לוח בקרה'!$E$4="הכל",מלאי!J53='לוח בקרה'!$E$4),OR('לוח בקרה'!$E$5="הכל",מלאי!L53='לוח בקרה'!$E$5),OR('לוח בקרה'!$E$6="הכל",מלאי!O53='לוח בקרה'!$E$6),OR('לוח בקרה'!$E$7="הכל",מלאי!R53='לוח בקרה'!$E$7),OR('לוח בקרה'!$E$8="הכל",'לוח בקרה'!$E$8="",מלאי!W53='לוח בקרה'!$E$8),OR('לוח בקרה'!$E$9="הכל",'לוח בקרה'!$E$9="",ISNUMBER(SEARCH('לוח בקרה'!$E$9,מלאי!C53)))),1,0)</f>
        <v>0</v>
      </c>
      <c r="AE53" t="e">
        <f>IF(AND(מלאי!D53&lt;&gt;"",OR('לוח בקרה טכנו-מבצעי'!$B$4="הכל",מלאי!Z53='לוח בקרה טכנו-מבצעי'!$B$4,מלאי!AA53='לוח בקרה טכנו-מבצעי'!$B$4,מלאי!AB53='לוח בקרה טכנו-מבצעי'!$B$4,מלאי!AC53='לוח בקרה טכנו-מבצעי'!$B$4),OR('לוח בקרה טכנו-מבצעי'!$B$5="הכל",מלאי!A53='לוח בקרה טכנו-מבצעי'!$B$5),OR('לוח בקרה טכנו-מבצעי'!$B$6="הכל",מלאי!B53='לוח בקרה טכנו-מבצעי'!$B$6),OR('לוח בקרה טכנו-מבצעי'!$B$7="הכל",מלאי!F53='לוח בקרה טכנו-מבצעי'!$B$7,מלאי!G53='לוח בקרה טכנו-מבצעי'!$B$7),OR('לוח בקרה טכנו-מבצעי'!$B$8="הכל",מלאי!T53='לוח בקרה טכנו-מבצעי'!$B$8),OR('לוח בקרה טכנו-מבצעי'!$B$9="הכל",מלאי!Q53='לוח בקרה טכנו-מבצעי'!$B$9),OR('לוח בקרה טכנו-מבצעי'!$E$4="הכל",מלאי!J53='לוח בקרה טכנו-מבצעי'!$E$4),OR('לוח בקרה טכנו-מבצעי'!$E$5="הכל",מלאי!L53='לוח בקרה טכנו-מבצעי'!$E$5),OR('לוח בקרה טכנו-מבצעי'!$E$6="הכל",מלאי!O53='לוח בקרה טכנו-מבצעי'!$E$6),OR('לוח בקרה טכנו-מבצעי'!$E$7="הכל",מלאי!R53='לוח בקרה טכנו-מבצעי'!$E$7),OR('לוח בקרה טכנו-מבצעי'!$E$8="הכל",'לוח בקרה טכנו-מבצעי'!$E$8="",מלאי!W53='לוח בקרה טכנו-מבצעי'!$E$8),OR('לוח בקרה טכנו-מבצעי'!$E$9="הכל",'לוח בקרה טכנו-מבצעי'!$E$9="",ISNUMBER(SEARCH('לוח בקרה טכנו-מבצעי'!$E$9,מלאי!C53))),OR('לוח בקרה טכנו-מבצעי'!$B$10="הכל",מלאי!#REF!='לוח בקרה טכנו-מבצעי'!$B$10)),1,0)</f>
        <v>#REF!</v>
      </c>
      <c r="AF53" t="str">
        <f>IF(AD53=1,COUNTIF($AD$3:$AD53,1),"")</f>
        <v/>
      </c>
      <c r="AG53" t="e">
        <f>IF(AE53=1,COUNTIF($AE$3:$AE53,1),"")</f>
        <v>#REF!</v>
      </c>
    </row>
    <row r="54" spans="1:33" ht="15" customHeight="1" x14ac:dyDescent="0.25">
      <c r="A54" s="19" t="s">
        <v>106</v>
      </c>
      <c r="B54" s="19" t="s">
        <v>107</v>
      </c>
      <c r="C54" s="19" t="s">
        <v>64</v>
      </c>
      <c r="D54" s="19" t="s">
        <v>313</v>
      </c>
      <c r="E54" s="19" t="str">
        <f>IFERROR(INDEX(הגדרות!$I$2:$I$47,MATCH(B54,הגדרות!$H$2:$H$47,0)),"")</f>
        <v>9001-00</v>
      </c>
      <c r="F54" s="19" t="s">
        <v>108</v>
      </c>
      <c r="G54" s="19"/>
      <c r="H54" s="19" t="s">
        <v>67</v>
      </c>
      <c r="I54" s="19" t="s">
        <v>96</v>
      </c>
      <c r="J54" s="19" t="s">
        <v>68</v>
      </c>
      <c r="K54" s="19"/>
      <c r="L54" s="19" t="s">
        <v>68</v>
      </c>
      <c r="M54" s="19" t="s">
        <v>68</v>
      </c>
      <c r="N54" s="19"/>
      <c r="O54" s="19" t="s">
        <v>68</v>
      </c>
      <c r="P54" s="19"/>
      <c r="Q54" s="19" t="s">
        <v>14</v>
      </c>
      <c r="R54" s="19"/>
      <c r="S54" s="19" t="s">
        <v>14</v>
      </c>
      <c r="T54" s="19" t="s">
        <v>69</v>
      </c>
      <c r="U54" s="19"/>
      <c r="V54" s="19"/>
      <c r="W54" s="19"/>
      <c r="X54" s="19"/>
      <c r="Y54" s="19"/>
      <c r="Z54" t="str">
        <f>IFERROR(INDEX(הגדרות!$B$2:$B$17,MATCH(H54,הגדרות!$A$2:$A$17,0)),"")</f>
        <v>מדברי</v>
      </c>
      <c r="AA54">
        <f>IFERROR(INDEX(הגדרות!$C$2:$C$17,MATCH(H54,הגדרות!$A$2:$A$17,0)),"")</f>
        <v>0</v>
      </c>
      <c r="AB54" t="str">
        <f>IFERROR(INDEX(הגדרות!$B$2:$B$17,MATCH(I54,הגדרות!$A$2:$A$17,0)),"")</f>
        <v>מדברי</v>
      </c>
      <c r="AC54">
        <f>IFERROR(INDEX(הגדרות!$C$2:$C$17,MATCH(I54,הגדרות!$A$2:$A$17,0)),"")</f>
        <v>0</v>
      </c>
      <c r="AD54">
        <f>IF(AND(מלאי!D54&lt;&gt;"",OR('לוח בקרה'!$B$4="הכל",מלאי!Z54='לוח בקרה'!$B$4,מלאי!AA54='לוח בקרה'!$B$4,מלאי!AB54='לוח בקרה'!$B$4,מלאי!AC54='לוח בקרה'!$B$4),OR('לוח בקרה'!$B$5="הכל",מלאי!A54='לוח בקרה'!$B$5),OR('לוח בקרה'!$B$6="הכל",מלאי!B54='לוח בקרה'!$B$6),OR('לוח בקרה'!$B$7="הכל",מלאי!F54='לוח בקרה'!$B$7,מלאי!G54='לוח בקרה'!$B$7),OR('לוח בקרה'!$B$8="הכל",מלאי!T54='לוח בקרה'!$B$8),OR('לוח בקרה'!$B$9="הכל",מלאי!Q54='לוח בקרה'!$B$9),OR('לוח בקרה'!$E$4="הכל",מלאי!J54='לוח בקרה'!$E$4),OR('לוח בקרה'!$E$5="הכל",מלאי!L54='לוח בקרה'!$E$5),OR('לוח בקרה'!$E$6="הכל",מלאי!O54='לוח בקרה'!$E$6),OR('לוח בקרה'!$E$7="הכל",מלאי!R54='לוח בקרה'!$E$7),OR('לוח בקרה'!$E$8="הכל",'לוח בקרה'!$E$8="",מלאי!W54='לוח בקרה'!$E$8),OR('לוח בקרה'!$E$9="הכל",'לוח בקרה'!$E$9="",ISNUMBER(SEARCH('לוח בקרה'!$E$9,מלאי!C54)))),1,0)</f>
        <v>0</v>
      </c>
      <c r="AE54" t="e">
        <f>IF(AND(מלאי!D54&lt;&gt;"",OR('לוח בקרה טכנו-מבצעי'!$B$4="הכל",מלאי!Z54='לוח בקרה טכנו-מבצעי'!$B$4,מלאי!AA54='לוח בקרה טכנו-מבצעי'!$B$4,מלאי!AB54='לוח בקרה טכנו-מבצעי'!$B$4,מלאי!AC54='לוח בקרה טכנו-מבצעי'!$B$4),OR('לוח בקרה טכנו-מבצעי'!$B$5="הכל",מלאי!A54='לוח בקרה טכנו-מבצעי'!$B$5),OR('לוח בקרה טכנו-מבצעי'!$B$6="הכל",מלאי!B54='לוח בקרה טכנו-מבצעי'!$B$6),OR('לוח בקרה טכנו-מבצעי'!$B$7="הכל",מלאי!F54='לוח בקרה טכנו-מבצעי'!$B$7,מלאי!G54='לוח בקרה טכנו-מבצעי'!$B$7),OR('לוח בקרה טכנו-מבצעי'!$B$8="הכל",מלאי!T54='לוח בקרה טכנו-מבצעי'!$B$8),OR('לוח בקרה טכנו-מבצעי'!$B$9="הכל",מלאי!Q54='לוח בקרה טכנו-מבצעי'!$B$9),OR('לוח בקרה טכנו-מבצעי'!$E$4="הכל",מלאי!J54='לוח בקרה טכנו-מבצעי'!$E$4),OR('לוח בקרה טכנו-מבצעי'!$E$5="הכל",מלאי!L54='לוח בקרה טכנו-מבצעי'!$E$5),OR('לוח בקרה טכנו-מבצעי'!$E$6="הכל",מלאי!O54='לוח בקרה טכנו-מבצעי'!$E$6),OR('לוח בקרה טכנו-מבצעי'!$E$7="הכל",מלאי!R54='לוח בקרה טכנו-מבצעי'!$E$7),OR('לוח בקרה טכנו-מבצעי'!$E$8="הכל",'לוח בקרה טכנו-מבצעי'!$E$8="",מלאי!W54='לוח בקרה טכנו-מבצעי'!$E$8),OR('לוח בקרה טכנו-מבצעי'!$E$9="הכל",'לוח בקרה טכנו-מבצעי'!$E$9="",ISNUMBER(SEARCH('לוח בקרה טכנו-מבצעי'!$E$9,מלאי!C54))),OR('לוח בקרה טכנו-מבצעי'!$B$10="הכל",מלאי!#REF!='לוח בקרה טכנו-מבצעי'!$B$10)),1,0)</f>
        <v>#REF!</v>
      </c>
      <c r="AF54" t="str">
        <f>IF(AD54=1,COUNTIF($AD$3:$AD54,1),"")</f>
        <v/>
      </c>
      <c r="AG54" t="e">
        <f>IF(AE54=1,COUNTIF($AE$3:$AE54,1),"")</f>
        <v>#REF!</v>
      </c>
    </row>
    <row r="55" spans="1:33" ht="23.25" customHeight="1" x14ac:dyDescent="0.25">
      <c r="A55" s="17" t="s">
        <v>106</v>
      </c>
      <c r="B55" s="17" t="s">
        <v>107</v>
      </c>
      <c r="C55" s="17" t="s">
        <v>64</v>
      </c>
      <c r="D55" s="30" t="s">
        <v>312</v>
      </c>
      <c r="E55" s="17" t="str">
        <f>IFERROR(INDEX(הגדרות!$I$2:$I$47,MATCH(B55,הגדרות!$H$2:$H$47,0)),"")</f>
        <v>9001-00</v>
      </c>
      <c r="F55" s="17" t="s">
        <v>109</v>
      </c>
      <c r="G55" s="17"/>
      <c r="H55" s="17" t="s">
        <v>110</v>
      </c>
      <c r="I55" s="17" t="s">
        <v>111</v>
      </c>
      <c r="J55" s="17" t="s">
        <v>68</v>
      </c>
      <c r="K55" s="17" t="s">
        <v>68</v>
      </c>
      <c r="L55" s="17" t="s">
        <v>68</v>
      </c>
      <c r="M55" s="17" t="s">
        <v>68</v>
      </c>
      <c r="N55" s="17"/>
      <c r="O55" s="17" t="s">
        <v>68</v>
      </c>
      <c r="P55" s="17"/>
      <c r="Q55" s="17" t="s">
        <v>14</v>
      </c>
      <c r="R55" s="17"/>
      <c r="S55" s="17" t="s">
        <v>68</v>
      </c>
      <c r="T55" s="17" t="s">
        <v>69</v>
      </c>
      <c r="U55" s="17" t="s">
        <v>112</v>
      </c>
      <c r="V55" s="17"/>
      <c r="W55" s="17"/>
      <c r="X55" s="17"/>
      <c r="Y55" s="17"/>
      <c r="Z55" t="str">
        <f>IFERROR(INDEX(הגדרות!$B$2:$B$17,MATCH(H55,הגדרות!$A$2:$A$17,0)),"")</f>
        <v>מיוער</v>
      </c>
      <c r="AA55" t="str">
        <f>IFERROR(INDEX(הגדרות!$C$2:$C$17,MATCH(H55,הגדרות!$A$2:$A$17,0)),"")</f>
        <v>בולדר/שטח בנוי</v>
      </c>
      <c r="AB55" t="str">
        <f>IFERROR(INDEX(הגדרות!$B$2:$B$17,MATCH(I55,הגדרות!$A$2:$A$17,0)),"")</f>
        <v>מיוער</v>
      </c>
      <c r="AC55">
        <f>IFERROR(INDEX(הגדרות!$C$2:$C$17,MATCH(I55,הגדרות!$A$2:$A$17,0)),"")</f>
        <v>0</v>
      </c>
      <c r="AD55">
        <f>IF(AND(מלאי!D55&lt;&gt;"",OR('לוח בקרה'!$B$4="הכל",מלאי!Z55='לוח בקרה'!$B$4,מלאי!AA55='לוח בקרה'!$B$4,מלאי!AB55='לוח בקרה'!$B$4,מלאי!AC55='לוח בקרה'!$B$4),OR('לוח בקרה'!$B$5="הכל",מלאי!A55='לוח בקרה'!$B$5),OR('לוח בקרה'!$B$6="הכל",מלאי!B55='לוח בקרה'!$B$6),OR('לוח בקרה'!$B$7="הכל",מלאי!F55='לוח בקרה'!$B$7,מלאי!G55='לוח בקרה'!$B$7),OR('לוח בקרה'!$B$8="הכל",מלאי!T55='לוח בקרה'!$B$8),OR('לוח בקרה'!$B$9="הכל",מלאי!Q55='לוח בקרה'!$B$9),OR('לוח בקרה'!$E$4="הכל",מלאי!J55='לוח בקרה'!$E$4),OR('לוח בקרה'!$E$5="הכל",מלאי!L55='לוח בקרה'!$E$5),OR('לוח בקרה'!$E$6="הכל",מלאי!O55='לוח בקרה'!$E$6),OR('לוח בקרה'!$E$7="הכל",מלאי!R55='לוח בקרה'!$E$7),OR('לוח בקרה'!$E$8="הכל",'לוח בקרה'!$E$8="",מלאי!W55='לוח בקרה'!$E$8),OR('לוח בקרה'!$E$9="הכל",'לוח בקרה'!$E$9="",ISNUMBER(SEARCH('לוח בקרה'!$E$9,מלאי!C55)))),1,0)</f>
        <v>1</v>
      </c>
      <c r="AE55" t="e">
        <f>IF(AND(מלאי!D55&lt;&gt;"",OR('לוח בקרה טכנו-מבצעי'!$B$4="הכל",מלאי!Z55='לוח בקרה טכנו-מבצעי'!$B$4,מלאי!AA55='לוח בקרה טכנו-מבצעי'!$B$4,מלאי!AB55='לוח בקרה טכנו-מבצעי'!$B$4,מלאי!AC55='לוח בקרה טכנו-מבצעי'!$B$4),OR('לוח בקרה טכנו-מבצעי'!$B$5="הכל",מלאי!A55='לוח בקרה טכנו-מבצעי'!$B$5),OR('לוח בקרה טכנו-מבצעי'!$B$6="הכל",מלאי!B55='לוח בקרה טכנו-מבצעי'!$B$6),OR('לוח בקרה טכנו-מבצעי'!$B$7="הכל",מלאי!F55='לוח בקרה טכנו-מבצעי'!$B$7,מלאי!G55='לוח בקרה טכנו-מבצעי'!$B$7),OR('לוח בקרה טכנו-מבצעי'!$B$8="הכל",מלאי!T55='לוח בקרה טכנו-מבצעי'!$B$8),OR('לוח בקרה טכנו-מבצעי'!$B$9="הכל",מלאי!Q55='לוח בקרה טכנו-מבצעי'!$B$9),OR('לוח בקרה טכנו-מבצעי'!$E$4="הכל",מלאי!J55='לוח בקרה טכנו-מבצעי'!$E$4),OR('לוח בקרה טכנו-מבצעי'!$E$5="הכל",מלאי!L55='לוח בקרה טכנו-מבצעי'!$E$5),OR('לוח בקרה טכנו-מבצעי'!$E$6="הכל",מלאי!O55='לוח בקרה טכנו-מבצעי'!$E$6),OR('לוח בקרה טכנו-מבצעי'!$E$7="הכל",מלאי!R55='לוח בקרה טכנו-מבצעי'!$E$7),OR('לוח בקרה טכנו-מבצעי'!$E$8="הכל",'לוח בקרה טכנו-מבצעי'!$E$8="",מלאי!W55='לוח בקרה טכנו-מבצעי'!$E$8),OR('לוח בקרה טכנו-מבצעי'!$E$9="הכל",'לוח בקרה טכנו-מבצעי'!$E$9="",ISNUMBER(SEARCH('לוח בקרה טכנו-מבצעי'!$E$9,מלאי!C55))),OR('לוח בקרה טכנו-מבצעי'!$B$10="הכל",מלאי!#REF!='לוח בקרה טכנו-מבצעי'!$B$10)),1,0)</f>
        <v>#REF!</v>
      </c>
      <c r="AF55">
        <f>IF(AD55=1,COUNTIF($AD$3:$AD55,1),"")</f>
        <v>19</v>
      </c>
      <c r="AG55" t="e">
        <f>IF(AE55=1,COUNTIF($AE$3:$AE55,1),"")</f>
        <v>#REF!</v>
      </c>
    </row>
    <row r="56" spans="1:33" ht="23.25" customHeight="1" x14ac:dyDescent="0.25">
      <c r="A56" s="17" t="s">
        <v>106</v>
      </c>
      <c r="B56" s="17" t="s">
        <v>107</v>
      </c>
      <c r="C56" s="17" t="s">
        <v>64</v>
      </c>
      <c r="D56" s="30" t="s">
        <v>314</v>
      </c>
      <c r="E56" s="17" t="str">
        <f>IFERROR(INDEX(הגדרות!$I$2:$I$47,MATCH(B56,הגדרות!$H$2:$H$47,0)),"")</f>
        <v>9001-00</v>
      </c>
      <c r="F56" s="17" t="s">
        <v>109</v>
      </c>
      <c r="G56" s="17"/>
      <c r="H56" s="17" t="s">
        <v>110</v>
      </c>
      <c r="I56" s="17" t="s">
        <v>111</v>
      </c>
      <c r="J56" s="17" t="s">
        <v>68</v>
      </c>
      <c r="K56" s="17" t="s">
        <v>68</v>
      </c>
      <c r="L56" s="17" t="s">
        <v>68</v>
      </c>
      <c r="M56" s="17" t="s">
        <v>68</v>
      </c>
      <c r="N56" s="17"/>
      <c r="O56" s="17" t="s">
        <v>68</v>
      </c>
      <c r="P56" s="17"/>
      <c r="Q56" s="17" t="s">
        <v>14</v>
      </c>
      <c r="R56" s="17"/>
      <c r="S56" s="17" t="s">
        <v>68</v>
      </c>
      <c r="T56" s="17" t="s">
        <v>69</v>
      </c>
      <c r="U56" s="17" t="s">
        <v>260</v>
      </c>
      <c r="V56" s="17"/>
      <c r="W56" s="17"/>
      <c r="X56" s="17"/>
      <c r="Y56" s="17"/>
      <c r="Z56" t="str">
        <f>IFERROR(INDEX(הגדרות!$B$2:$B$17,MATCH(H56,הגדרות!$A$2:$A$17,0)),"")</f>
        <v>מיוער</v>
      </c>
      <c r="AA56" t="str">
        <f>IFERROR(INDEX(הגדרות!$C$2:$C$17,MATCH(H56,הגדרות!$A$2:$A$17,0)),"")</f>
        <v>בולדר/שטח בנוי</v>
      </c>
      <c r="AB56" t="str">
        <f>IFERROR(INDEX(הגדרות!$B$2:$B$17,MATCH(I56,הגדרות!$A$2:$A$17,0)),"")</f>
        <v>מיוער</v>
      </c>
      <c r="AC56">
        <f>IFERROR(INDEX(הגדרות!$C$2:$C$17,MATCH(I56,הגדרות!$A$2:$A$17,0)),"")</f>
        <v>0</v>
      </c>
      <c r="AD56">
        <f>IF(AND(מלאי!D56&lt;&gt;"",OR('לוח בקרה'!$B$4="הכל",מלאי!Z56='לוח בקרה'!$B$4,מלאי!AA56='לוח בקרה'!$B$4,מלאי!AB56='לוח בקרה'!$B$4,מלאי!AC56='לוח בקרה'!$B$4),OR('לוח בקרה'!$B$5="הכל",מלאי!A56='לוח בקרה'!$B$5),OR('לוח בקרה'!$B$6="הכל",מלאי!B56='לוח בקרה'!$B$6),OR('לוח בקרה'!$B$7="הכל",מלאי!F56='לוח בקרה'!$B$7,מלאי!G56='לוח בקרה'!$B$7),OR('לוח בקרה'!$B$8="הכל",מלאי!T56='לוח בקרה'!$B$8),OR('לוח בקרה'!$B$9="הכל",מלאי!Q56='לוח בקרה'!$B$9),OR('לוח בקרה'!$E$4="הכל",מלאי!J56='לוח בקרה'!$E$4),OR('לוח בקרה'!$E$5="הכל",מלאי!L56='לוח בקרה'!$E$5),OR('לוח בקרה'!$E$6="הכל",מלאי!O56='לוח בקרה'!$E$6),OR('לוח בקרה'!$E$7="הכל",מלאי!R56='לוח בקרה'!$E$7),OR('לוח בקרה'!$E$8="הכל",'לוח בקרה'!$E$8="",מלאי!W56='לוח בקרה'!$E$8),OR('לוח בקרה'!$E$9="הכל",'לוח בקרה'!$E$9="",ISNUMBER(SEARCH('לוח בקרה'!$E$9,מלאי!C56)))),1,0)</f>
        <v>1</v>
      </c>
      <c r="AE56" t="e">
        <f>IF(AND(מלאי!D56&lt;&gt;"",OR('לוח בקרה טכנו-מבצעי'!$B$4="הכל",מלאי!Z56='לוח בקרה טכנו-מבצעי'!$B$4,מלאי!AA56='לוח בקרה טכנו-מבצעי'!$B$4,מלאי!AB56='לוח בקרה טכנו-מבצעי'!$B$4,מלאי!AC56='לוח בקרה טכנו-מבצעי'!$B$4),OR('לוח בקרה טכנו-מבצעי'!$B$5="הכל",מלאי!A56='לוח בקרה טכנו-מבצעי'!$B$5),OR('לוח בקרה טכנו-מבצעי'!$B$6="הכל",מלאי!B56='לוח בקרה טכנו-מבצעי'!$B$6),OR('לוח בקרה טכנו-מבצעי'!$B$7="הכל",מלאי!F56='לוח בקרה טכנו-מבצעי'!$B$7,מלאי!G56='לוח בקרה טכנו-מבצעי'!$B$7),OR('לוח בקרה טכנו-מבצעי'!$B$8="הכל",מלאי!T56='לוח בקרה טכנו-מבצעי'!$B$8),OR('לוח בקרה טכנו-מבצעי'!$B$9="הכל",מלאי!Q56='לוח בקרה טכנו-מבצעי'!$B$9),OR('לוח בקרה טכנו-מבצעי'!$E$4="הכל",מלאי!J56='לוח בקרה טכנו-מבצעי'!$E$4),OR('לוח בקרה טכנו-מבצעי'!$E$5="הכל",מלאי!L56='לוח בקרה טכנו-מבצעי'!$E$5),OR('לוח בקרה טכנו-מבצעי'!$E$6="הכל",מלאי!O56='לוח בקרה טכנו-מבצעי'!$E$6),OR('לוח בקרה טכנו-מבצעי'!$E$7="הכל",מלאי!R56='לוח בקרה טכנו-מבצעי'!$E$7),OR('לוח בקרה טכנו-מבצעי'!$E$8="הכל",'לוח בקרה טכנו-מבצעי'!$E$8="",מלאי!W56='לוח בקרה טכנו-מבצעי'!$E$8),OR('לוח בקרה טכנו-מבצעי'!$E$9="הכל",'לוח בקרה טכנו-מבצעי'!$E$9="",ISNUMBER(SEARCH('לוח בקרה טכנו-מבצעי'!$E$9,מלאי!C56))),OR('לוח בקרה טכנו-מבצעי'!$B$10="הכל",מלאי!#REF!='לוח בקרה טכנו-מבצעי'!$B$10)),1,0)</f>
        <v>#REF!</v>
      </c>
      <c r="AF56">
        <f>IF(AD56=1,COUNTIF($AD$3:$AD56,1),"")</f>
        <v>20</v>
      </c>
      <c r="AG56" t="e">
        <f>IF(AE56=1,COUNTIF($AE$3:$AE56,1),"")</f>
        <v>#REF!</v>
      </c>
    </row>
    <row r="57" spans="1:33" ht="15" customHeight="1" x14ac:dyDescent="0.25">
      <c r="A57" s="19" t="s">
        <v>62</v>
      </c>
      <c r="B57" s="19" t="s">
        <v>63</v>
      </c>
      <c r="C57" s="19" t="s">
        <v>113</v>
      </c>
      <c r="D57" s="19" t="s">
        <v>283</v>
      </c>
      <c r="E57" s="19" t="str">
        <f>IFERROR(INDEX(הגדרות!$I$2:$I$47,MATCH(B57,הגדרות!$H$2:$H$47,0)),"")</f>
        <v>7031-01</v>
      </c>
      <c r="F57" s="19" t="s">
        <v>65</v>
      </c>
      <c r="G57" s="19" t="s">
        <v>105</v>
      </c>
      <c r="H57" s="19" t="s">
        <v>111</v>
      </c>
      <c r="I57" s="19" t="s">
        <v>100</v>
      </c>
      <c r="J57" s="19" t="s">
        <v>68</v>
      </c>
      <c r="K57" s="19" t="s">
        <v>68</v>
      </c>
      <c r="L57" s="19" t="s">
        <v>68</v>
      </c>
      <c r="M57" s="19" t="s">
        <v>68</v>
      </c>
      <c r="N57" s="19"/>
      <c r="O57" s="19" t="s">
        <v>14</v>
      </c>
      <c r="P57" s="19"/>
      <c r="Q57" s="19" t="s">
        <v>68</v>
      </c>
      <c r="R57" s="19"/>
      <c r="S57" s="19" t="s">
        <v>14</v>
      </c>
      <c r="T57" s="19" t="s">
        <v>69</v>
      </c>
      <c r="U57" s="19"/>
      <c r="V57" s="19"/>
      <c r="W57" s="19"/>
      <c r="X57" s="19"/>
      <c r="Y57" s="19"/>
      <c r="Z57" t="str">
        <f>IFERROR(INDEX(הגדרות!$B$2:$B$17,MATCH(H57,הגדרות!$A$2:$A$17,0)),"")</f>
        <v>מיוער</v>
      </c>
      <c r="AA57">
        <f>IFERROR(INDEX(הגדרות!$C$2:$C$17,MATCH(H57,הגדרות!$A$2:$A$17,0)),"")</f>
        <v>0</v>
      </c>
      <c r="AB57" t="str">
        <f>IFERROR(INDEX(הגדרות!$B$2:$B$17,MATCH(I57,הגדרות!$A$2:$A$17,0)),"")</f>
        <v>מיוער</v>
      </c>
      <c r="AC57">
        <f>IFERROR(INDEX(הגדרות!$C$2:$C$17,MATCH(I57,הגדרות!$A$2:$A$17,0)),"")</f>
        <v>0</v>
      </c>
      <c r="AD57">
        <f>IF(AND(מלאי!D57&lt;&gt;"",OR('לוח בקרה'!$B$4="הכל",מלאי!Z57='לוח בקרה'!$B$4,מלאי!AA57='לוח בקרה'!$B$4,מלאי!AB57='לוח בקרה'!$B$4,מלאי!AC57='לוח בקרה'!$B$4),OR('לוח בקרה'!$B$5="הכל",מלאי!A57='לוח בקרה'!$B$5),OR('לוח בקרה'!$B$6="הכל",מלאי!B57='לוח בקרה'!$B$6),OR('לוח בקרה'!$B$7="הכל",מלאי!F57='לוח בקרה'!$B$7,מלאי!G57='לוח בקרה'!$B$7),OR('לוח בקרה'!$B$8="הכל",מלאי!T57='לוח בקרה'!$B$8),OR('לוח בקרה'!$B$9="הכל",מלאי!Q57='לוח בקרה'!$B$9),OR('לוח בקרה'!$E$4="הכל",מלאי!J57='לוח בקרה'!$E$4),OR('לוח בקרה'!$E$5="הכל",מלאי!L57='לוח בקרה'!$E$5),OR('לוח בקרה'!$E$6="הכל",מלאי!O57='לוח בקרה'!$E$6),OR('לוח בקרה'!$E$7="הכל",מלאי!R57='לוח בקרה'!$E$7),OR('לוח בקרה'!$E$8="הכל",'לוח בקרה'!$E$8="",מלאי!W57='לוח בקרה'!$E$8),OR('לוח בקרה'!$E$9="הכל",'לוח בקרה'!$E$9="",ISNUMBER(SEARCH('לוח בקרה'!$E$9,מלאי!C57)))),1,0)</f>
        <v>0</v>
      </c>
      <c r="AE57" t="e">
        <f>IF(AND(מלאי!D57&lt;&gt;"",OR('לוח בקרה טכנו-מבצעי'!$B$4="הכל",מלאי!Z57='לוח בקרה טכנו-מבצעי'!$B$4,מלאי!AA57='לוח בקרה טכנו-מבצעי'!$B$4,מלאי!AB57='לוח בקרה טכנו-מבצעי'!$B$4,מלאי!AC57='לוח בקרה טכנו-מבצעי'!$B$4),OR('לוח בקרה טכנו-מבצעי'!$B$5="הכל",מלאי!A57='לוח בקרה טכנו-מבצעי'!$B$5),OR('לוח בקרה טכנו-מבצעי'!$B$6="הכל",מלאי!B57='לוח בקרה טכנו-מבצעי'!$B$6),OR('לוח בקרה טכנו-מבצעי'!$B$7="הכל",מלאי!F57='לוח בקרה טכנו-מבצעי'!$B$7,מלאי!G57='לוח בקרה טכנו-מבצעי'!$B$7),OR('לוח בקרה טכנו-מבצעי'!$B$8="הכל",מלאי!T57='לוח בקרה טכנו-מבצעי'!$B$8),OR('לוח בקרה טכנו-מבצעי'!$B$9="הכל",מלאי!Q57='לוח בקרה טכנו-מבצעי'!$B$9),OR('לוח בקרה טכנו-מבצעי'!$E$4="הכל",מלאי!J57='לוח בקרה טכנו-מבצעי'!$E$4),OR('לוח בקרה טכנו-מבצעי'!$E$5="הכל",מלאי!L57='לוח בקרה טכנו-מבצעי'!$E$5),OR('לוח בקרה טכנו-מבצעי'!$E$6="הכל",מלאי!O57='לוח בקרה טכנו-מבצעי'!$E$6),OR('לוח בקרה טכנו-מבצעי'!$E$7="הכל",מלאי!R57='לוח בקרה טכנו-מבצעי'!$E$7),OR('לוח בקרה טכנו-מבצעי'!$E$8="הכל",'לוח בקרה טכנו-מבצעי'!$E$8="",מלאי!W57='לוח בקרה טכנו-מבצעי'!$E$8),OR('לוח בקרה טכנו-מבצעי'!$E$9="הכל",'לוח בקרה טכנו-מבצעי'!$E$9="",ISNUMBER(SEARCH('לוח בקרה טכנו-מבצעי'!$E$9,מלאי!C57))),OR('לוח בקרה טכנו-מבצעי'!$B$10="הכל",מלאי!#REF!='לוח בקרה טכנו-מבצעי'!$B$10)),1,0)</f>
        <v>#REF!</v>
      </c>
      <c r="AF57" t="str">
        <f>IF(AD57=1,COUNTIF($AD$3:$AD57,1),"")</f>
        <v/>
      </c>
      <c r="AG57" t="e">
        <f>IF(AE57=1,COUNTIF($AE$3:$AE57,1),"")</f>
        <v>#REF!</v>
      </c>
    </row>
    <row r="58" spans="1:33" ht="23.25" customHeight="1" x14ac:dyDescent="0.25">
      <c r="A58" s="17" t="s">
        <v>114</v>
      </c>
      <c r="B58" s="17" t="s">
        <v>115</v>
      </c>
      <c r="C58" s="17" t="s">
        <v>64</v>
      </c>
      <c r="D58" s="17" t="s">
        <v>116</v>
      </c>
      <c r="E58" s="17" t="str">
        <f>IFERROR(INDEX(הגדרות!$I$2:$I$47,MATCH(B58,הגדרות!$H$2:$H$47,0)),"")</f>
        <v>9029-00</v>
      </c>
      <c r="F58" s="17" t="s">
        <v>65</v>
      </c>
      <c r="G58" s="17" t="s">
        <v>105</v>
      </c>
      <c r="H58" s="17" t="s">
        <v>66</v>
      </c>
      <c r="I58" s="17" t="s">
        <v>100</v>
      </c>
      <c r="J58" s="17" t="s">
        <v>68</v>
      </c>
      <c r="K58" s="17" t="s">
        <v>68</v>
      </c>
      <c r="L58" s="17" t="s">
        <v>68</v>
      </c>
      <c r="M58" s="17" t="s">
        <v>68</v>
      </c>
      <c r="N58" s="17"/>
      <c r="O58" s="17" t="s">
        <v>68</v>
      </c>
      <c r="P58" s="17"/>
      <c r="Q58" s="17" t="s">
        <v>14</v>
      </c>
      <c r="R58" s="17"/>
      <c r="S58" s="17" t="s">
        <v>14</v>
      </c>
      <c r="T58" s="17" t="s">
        <v>69</v>
      </c>
      <c r="U58" s="17"/>
      <c r="V58" s="17"/>
      <c r="W58" s="17"/>
      <c r="X58" s="17"/>
      <c r="Y58" s="17"/>
      <c r="Z58" t="str">
        <f>IFERROR(INDEX(הגדרות!$B$2:$B$17,MATCH(H58,הגדרות!$A$2:$A$17,0)),"")</f>
        <v>מיוער</v>
      </c>
      <c r="AA58">
        <f>IFERROR(INDEX(הגדרות!$C$2:$C$17,MATCH(H58,הגדרות!$A$2:$A$17,0)),"")</f>
        <v>0</v>
      </c>
      <c r="AB58" t="str">
        <f>IFERROR(INDEX(הגדרות!$B$2:$B$17,MATCH(I58,הגדרות!$A$2:$A$17,0)),"")</f>
        <v>מיוער</v>
      </c>
      <c r="AC58">
        <f>IFERROR(INDEX(הגדרות!$C$2:$C$17,MATCH(I58,הגדרות!$A$2:$A$17,0)),"")</f>
        <v>0</v>
      </c>
      <c r="AD58">
        <f>IF(AND(מלאי!D58&lt;&gt;"",OR('לוח בקרה'!$B$4="הכל",מלאי!Z58='לוח בקרה'!$B$4,מלאי!AA58='לוח בקרה'!$B$4,מלאי!AB58='לוח בקרה'!$B$4,מלאי!AC58='לוח בקרה'!$B$4),OR('לוח בקרה'!$B$5="הכל",מלאי!A58='לוח בקרה'!$B$5),OR('לוח בקרה'!$B$6="הכל",מלאי!B58='לוח בקרה'!$B$6),OR('לוח בקרה'!$B$7="הכל",מלאי!F58='לוח בקרה'!$B$7,מלאי!G58='לוח בקרה'!$B$7),OR('לוח בקרה'!$B$8="הכל",מלאי!T58='לוח בקרה'!$B$8),OR('לוח בקרה'!$B$9="הכל",מלאי!Q58='לוח בקרה'!$B$9),OR('לוח בקרה'!$E$4="הכל",מלאי!J58='לוח בקרה'!$E$4),OR('לוח בקרה'!$E$5="הכל",מלאי!L58='לוח בקרה'!$E$5),OR('לוח בקרה'!$E$6="הכל",מלאי!O58='לוח בקרה'!$E$6),OR('לוח בקרה'!$E$7="הכל",מלאי!R58='לוח בקרה'!$E$7),OR('לוח בקרה'!$E$8="הכל",'לוח בקרה'!$E$8="",מלאי!W58='לוח בקרה'!$E$8),OR('לוח בקרה'!$E$9="הכל",'לוח בקרה'!$E$9="",ISNUMBER(SEARCH('לוח בקרה'!$E$9,מלאי!C58)))),1,0)</f>
        <v>1</v>
      </c>
      <c r="AE58" t="e">
        <f>IF(AND(מלאי!D58&lt;&gt;"",OR('לוח בקרה טכנו-מבצעי'!$B$4="הכל",מלאי!Z58='לוח בקרה טכנו-מבצעי'!$B$4,מלאי!AA58='לוח בקרה טכנו-מבצעי'!$B$4,מלאי!AB58='לוח בקרה טכנו-מבצעי'!$B$4,מלאי!AC58='לוח בקרה טכנו-מבצעי'!$B$4),OR('לוח בקרה טכנו-מבצעי'!$B$5="הכל",מלאי!A58='לוח בקרה טכנו-מבצעי'!$B$5),OR('לוח בקרה טכנו-מבצעי'!$B$6="הכל",מלאי!B58='לוח בקרה טכנו-מבצעי'!$B$6),OR('לוח בקרה טכנו-מבצעי'!$B$7="הכל",מלאי!F58='לוח בקרה טכנו-מבצעי'!$B$7,מלאי!G58='לוח בקרה טכנו-מבצעי'!$B$7),OR('לוח בקרה טכנו-מבצעי'!$B$8="הכל",מלאי!T58='לוח בקרה טכנו-מבצעי'!$B$8),OR('לוח בקרה טכנו-מבצעי'!$B$9="הכל",מלאי!Q58='לוח בקרה טכנו-מבצעי'!$B$9),OR('לוח בקרה טכנו-מבצעי'!$E$4="הכל",מלאי!J58='לוח בקרה טכנו-מבצעי'!$E$4),OR('לוח בקרה טכנו-מבצעי'!$E$5="הכל",מלאי!L58='לוח בקרה טכנו-מבצעי'!$E$5),OR('לוח בקרה טכנו-מבצעי'!$E$6="הכל",מלאי!O58='לוח בקרה טכנו-מבצעי'!$E$6),OR('לוח בקרה טכנו-מבצעי'!$E$7="הכל",מלאי!R58='לוח בקרה טכנו-מבצעי'!$E$7),OR('לוח בקרה טכנו-מבצעי'!$E$8="הכל",'לוח בקרה טכנו-מבצעי'!$E$8="",מלאי!W58='לוח בקרה טכנו-מבצעי'!$E$8),OR('לוח בקרה טכנו-מבצעי'!$E$9="הכל",'לוח בקרה טכנו-מבצעי'!$E$9="",ISNUMBER(SEARCH('לוח בקרה טכנו-מבצעי'!$E$9,מלאי!C58))),OR('לוח בקרה טכנו-מבצעי'!$B$10="הכל",מלאי!#REF!='לוח בקרה טכנו-מבצעי'!$B$10)),1,0)</f>
        <v>#REF!</v>
      </c>
      <c r="AF58">
        <f>IF(AD58=1,COUNTIF($AD$3:$AD58,1),"")</f>
        <v>21</v>
      </c>
      <c r="AG58" t="e">
        <f>IF(AE58=1,COUNTIF($AE$3:$AE58,1),"")</f>
        <v>#REF!</v>
      </c>
    </row>
    <row r="59" spans="1:33" ht="23.25" customHeight="1" x14ac:dyDescent="0.25">
      <c r="A59" s="19" t="s">
        <v>114</v>
      </c>
      <c r="B59" s="19" t="s">
        <v>115</v>
      </c>
      <c r="C59" s="19" t="s">
        <v>64</v>
      </c>
      <c r="D59" s="19" t="s">
        <v>261</v>
      </c>
      <c r="E59" s="19" t="str">
        <f>IFERROR(INDEX(הגדרות!$I$2:$I$47,MATCH(B59,הגדרות!$H$2:$H$47,0)),"")</f>
        <v>9029-00</v>
      </c>
      <c r="F59" s="19" t="s">
        <v>65</v>
      </c>
      <c r="G59" s="19" t="s">
        <v>105</v>
      </c>
      <c r="H59" s="19" t="s">
        <v>66</v>
      </c>
      <c r="I59" s="19" t="s">
        <v>100</v>
      </c>
      <c r="J59" s="19" t="s">
        <v>68</v>
      </c>
      <c r="K59" s="19" t="s">
        <v>68</v>
      </c>
      <c r="L59" s="19" t="s">
        <v>68</v>
      </c>
      <c r="M59" s="19" t="s">
        <v>68</v>
      </c>
      <c r="N59" s="19"/>
      <c r="O59" s="19" t="s">
        <v>68</v>
      </c>
      <c r="P59" s="19"/>
      <c r="Q59" s="19" t="s">
        <v>14</v>
      </c>
      <c r="R59" s="19"/>
      <c r="S59" s="19" t="s">
        <v>14</v>
      </c>
      <c r="T59" s="19" t="s">
        <v>69</v>
      </c>
      <c r="U59" s="19"/>
      <c r="V59" s="19"/>
      <c r="W59" s="19"/>
      <c r="X59" s="19"/>
      <c r="Y59" s="19"/>
      <c r="Z59" t="str">
        <f>IFERROR(INDEX(הגדרות!$B$2:$B$17,MATCH(H59,הגדרות!$A$2:$A$17,0)),"")</f>
        <v>מיוער</v>
      </c>
      <c r="AA59">
        <f>IFERROR(INDEX(הגדרות!$C$2:$C$17,MATCH(H59,הגדרות!$A$2:$A$17,0)),"")</f>
        <v>0</v>
      </c>
      <c r="AB59" t="str">
        <f>IFERROR(INDEX(הגדרות!$B$2:$B$17,MATCH(I59,הגדרות!$A$2:$A$17,0)),"")</f>
        <v>מיוער</v>
      </c>
      <c r="AC59">
        <f>IFERROR(INDEX(הגדרות!$C$2:$C$17,MATCH(I59,הגדרות!$A$2:$A$17,0)),"")</f>
        <v>0</v>
      </c>
      <c r="AD59">
        <f>IF(AND(מלאי!D59&lt;&gt;"",OR('לוח בקרה'!$B$4="הכל",מלאי!Z59='לוח בקרה'!$B$4,מלאי!AA59='לוח בקרה'!$B$4,מלאי!AB59='לוח בקרה'!$B$4,מלאי!AC59='לוח בקרה'!$B$4),OR('לוח בקרה'!$B$5="הכל",מלאי!A59='לוח בקרה'!$B$5),OR('לוח בקרה'!$B$6="הכל",מלאי!B59='לוח בקרה'!$B$6),OR('לוח בקרה'!$B$7="הכל",מלאי!F59='לוח בקרה'!$B$7,מלאי!G59='לוח בקרה'!$B$7),OR('לוח בקרה'!$B$8="הכל",מלאי!T59='לוח בקרה'!$B$8),OR('לוח בקרה'!$B$9="הכל",מלאי!Q59='לוח בקרה'!$B$9),OR('לוח בקרה'!$E$4="הכל",מלאי!J59='לוח בקרה'!$E$4),OR('לוח בקרה'!$E$5="הכל",מלאי!L59='לוח בקרה'!$E$5),OR('לוח בקרה'!$E$6="הכל",מלאי!O59='לוח בקרה'!$E$6),OR('לוח בקרה'!$E$7="הכל",מלאי!R59='לוח בקרה'!$E$7),OR('לוח בקרה'!$E$8="הכל",'לוח בקרה'!$E$8="",מלאי!W59='לוח בקרה'!$E$8),OR('לוח בקרה'!$E$9="הכל",'לוח בקרה'!$E$9="",ISNUMBER(SEARCH('לוח בקרה'!$E$9,מלאי!C59)))),1,0)</f>
        <v>1</v>
      </c>
      <c r="AE59" t="e">
        <f>IF(AND(מלאי!D59&lt;&gt;"",OR('לוח בקרה טכנו-מבצעי'!$B$4="הכל",מלאי!Z59='לוח בקרה טכנו-מבצעי'!$B$4,מלאי!AA59='לוח בקרה טכנו-מבצעי'!$B$4,מלאי!AB59='לוח בקרה טכנו-מבצעי'!$B$4,מלאי!AC59='לוח בקרה טכנו-מבצעי'!$B$4),OR('לוח בקרה טכנו-מבצעי'!$B$5="הכל",מלאי!A59='לוח בקרה טכנו-מבצעי'!$B$5),OR('לוח בקרה טכנו-מבצעי'!$B$6="הכל",מלאי!B59='לוח בקרה טכנו-מבצעי'!$B$6),OR('לוח בקרה טכנו-מבצעי'!$B$7="הכל",מלאי!F59='לוח בקרה טכנו-מבצעי'!$B$7,מלאי!G59='לוח בקרה טכנו-מבצעי'!$B$7),OR('לוח בקרה טכנו-מבצעי'!$B$8="הכל",מלאי!T59='לוח בקרה טכנו-מבצעי'!$B$8),OR('לוח בקרה טכנו-מבצעי'!$B$9="הכל",מלאי!Q59='לוח בקרה טכנו-מבצעי'!$B$9),OR('לוח בקרה טכנו-מבצעי'!$E$4="הכל",מלאי!J59='לוח בקרה טכנו-מבצעי'!$E$4),OR('לוח בקרה טכנו-מבצעי'!$E$5="הכל",מלאי!L59='לוח בקרה טכנו-מבצעי'!$E$5),OR('לוח בקרה טכנו-מבצעי'!$E$6="הכל",מלאי!O59='לוח בקרה טכנו-מבצעי'!$E$6),OR('לוח בקרה טכנו-מבצעי'!$E$7="הכל",מלאי!R59='לוח בקרה טכנו-מבצעי'!$E$7),OR('לוח בקרה טכנו-מבצעי'!$E$8="הכל",'לוח בקרה טכנו-מבצעי'!$E$8="",מלאי!W59='לוח בקרה טכנו-מבצעי'!$E$8),OR('לוח בקרה טכנו-מבצעי'!$E$9="הכל",'לוח בקרה טכנו-מבצעי'!$E$9="",ISNUMBER(SEARCH('לוח בקרה טכנו-מבצעי'!$E$9,מלאי!C59))),OR('לוח בקרה טכנו-מבצעי'!$B$10="הכל",מלאי!#REF!='לוח בקרה טכנו-מבצעי'!$B$10)),1,0)</f>
        <v>#REF!</v>
      </c>
      <c r="AF59">
        <f>IF(AD59=1,COUNTIF($AD$3:$AD59,1),"")</f>
        <v>22</v>
      </c>
      <c r="AG59" t="e">
        <f>IF(AE59=1,COUNTIF($AE$3:$AE59,1),"")</f>
        <v>#REF!</v>
      </c>
    </row>
    <row r="60" spans="1:33" ht="23.25" customHeight="1" x14ac:dyDescent="0.25">
      <c r="A60" s="17" t="s">
        <v>114</v>
      </c>
      <c r="B60" s="17" t="s">
        <v>117</v>
      </c>
      <c r="C60" s="17" t="s">
        <v>64</v>
      </c>
      <c r="D60" s="17" t="s">
        <v>118</v>
      </c>
      <c r="E60" s="17" t="str">
        <f>IFERROR(INDEX(הגדרות!$I$2:$I$47,MATCH(B60,הגדרות!$H$2:$H$47,0)),"")</f>
        <v>9028-00</v>
      </c>
      <c r="F60" s="17" t="s">
        <v>73</v>
      </c>
      <c r="G60" s="17" t="s">
        <v>119</v>
      </c>
      <c r="H60" s="17" t="s">
        <v>111</v>
      </c>
      <c r="I60" s="17"/>
      <c r="J60" s="17" t="s">
        <v>68</v>
      </c>
      <c r="K60" s="17"/>
      <c r="L60" s="17" t="s">
        <v>68</v>
      </c>
      <c r="M60" s="17"/>
      <c r="N60" s="17"/>
      <c r="O60" s="17" t="s">
        <v>68</v>
      </c>
      <c r="P60" s="17"/>
      <c r="Q60" s="17" t="s">
        <v>14</v>
      </c>
      <c r="R60" s="17"/>
      <c r="S60" s="17" t="s">
        <v>14</v>
      </c>
      <c r="T60" s="17" t="s">
        <v>70</v>
      </c>
      <c r="U60" s="17"/>
      <c r="V60" s="17"/>
      <c r="W60" s="17"/>
      <c r="X60" s="17"/>
      <c r="Y60" s="17"/>
      <c r="Z60" t="str">
        <f>IFERROR(INDEX(הגדרות!$B$2:$B$17,MATCH(H60,הגדרות!$A$2:$A$17,0)),"")</f>
        <v>מיוער</v>
      </c>
      <c r="AA60">
        <f>IFERROR(INDEX(הגדרות!$C$2:$C$17,MATCH(H60,הגדרות!$A$2:$A$17,0)),"")</f>
        <v>0</v>
      </c>
      <c r="AB60" t="str">
        <f>IFERROR(INDEX(הגדרות!$B$2:$B$17,MATCH(I60,הגדרות!$A$2:$A$17,0)),"")</f>
        <v/>
      </c>
      <c r="AC60" t="str">
        <f>IFERROR(INDEX(הגדרות!$C$2:$C$17,MATCH(I60,הגדרות!$A$2:$A$17,0)),"")</f>
        <v/>
      </c>
      <c r="AD60">
        <f>IF(AND(מלאי!D60&lt;&gt;"",OR('לוח בקרה'!$B$4="הכל",מלאי!Z60='לוח בקרה'!$B$4,מלאי!AA60='לוח בקרה'!$B$4,מלאי!AB60='לוח בקרה'!$B$4,מלאי!AC60='לוח בקרה'!$B$4),OR('לוח בקרה'!$B$5="הכל",מלאי!A60='לוח בקרה'!$B$5),OR('לוח בקרה'!$B$6="הכל",מלאי!B60='לוח בקרה'!$B$6),OR('לוח בקרה'!$B$7="הכל",מלאי!F60='לוח בקרה'!$B$7,מלאי!G60='לוח בקרה'!$B$7),OR('לוח בקרה'!$B$8="הכל",מלאי!T60='לוח בקרה'!$B$8),OR('לוח בקרה'!$B$9="הכל",מלאי!Q60='לוח בקרה'!$B$9),OR('לוח בקרה'!$E$4="הכל",מלאי!J60='לוח בקרה'!$E$4),OR('לוח בקרה'!$E$5="הכל",מלאי!L60='לוח בקרה'!$E$5),OR('לוח בקרה'!$E$6="הכל",מלאי!O60='לוח בקרה'!$E$6),OR('לוח בקרה'!$E$7="הכל",מלאי!R60='לוח בקרה'!$E$7),OR('לוח בקרה'!$E$8="הכל",'לוח בקרה'!$E$8="",מלאי!W60='לוח בקרה'!$E$8),OR('לוח בקרה'!$E$9="הכל",'לוח בקרה'!$E$9="",ISNUMBER(SEARCH('לוח בקרה'!$E$9,מלאי!C60)))),1,0)</f>
        <v>1</v>
      </c>
      <c r="AE60" t="e">
        <f>IF(AND(מלאי!D60&lt;&gt;"",OR('לוח בקרה טכנו-מבצעי'!$B$4="הכל",מלאי!Z60='לוח בקרה טכנו-מבצעי'!$B$4,מלאי!AA60='לוח בקרה טכנו-מבצעי'!$B$4,מלאי!AB60='לוח בקרה טכנו-מבצעי'!$B$4,מלאי!AC60='לוח בקרה טכנו-מבצעי'!$B$4),OR('לוח בקרה טכנו-מבצעי'!$B$5="הכל",מלאי!A60='לוח בקרה טכנו-מבצעי'!$B$5),OR('לוח בקרה טכנו-מבצעי'!$B$6="הכל",מלאי!B60='לוח בקרה טכנו-מבצעי'!$B$6),OR('לוח בקרה טכנו-מבצעי'!$B$7="הכל",מלאי!F60='לוח בקרה טכנו-מבצעי'!$B$7,מלאי!G60='לוח בקרה טכנו-מבצעי'!$B$7),OR('לוח בקרה טכנו-מבצעי'!$B$8="הכל",מלאי!T60='לוח בקרה טכנו-מבצעי'!$B$8),OR('לוח בקרה טכנו-מבצעי'!$B$9="הכל",מלאי!Q60='לוח בקרה טכנו-מבצעי'!$B$9),OR('לוח בקרה טכנו-מבצעי'!$E$4="הכל",מלאי!J60='לוח בקרה טכנו-מבצעי'!$E$4),OR('לוח בקרה טכנו-מבצעי'!$E$5="הכל",מלאי!L60='לוח בקרה טכנו-מבצעי'!$E$5),OR('לוח בקרה טכנו-מבצעי'!$E$6="הכל",מלאי!O60='לוח בקרה טכנו-מבצעי'!$E$6),OR('לוח בקרה טכנו-מבצעי'!$E$7="הכל",מלאי!R60='לוח בקרה טכנו-מבצעי'!$E$7),OR('לוח בקרה טכנו-מבצעי'!$E$8="הכל",'לוח בקרה טכנו-מבצעי'!$E$8="",מלאי!W60='לוח בקרה טכנו-מבצעי'!$E$8),OR('לוח בקרה טכנו-מבצעי'!$E$9="הכל",'לוח בקרה טכנו-מבצעי'!$E$9="",ISNUMBER(SEARCH('לוח בקרה טכנו-מבצעי'!$E$9,מלאי!C60))),OR('לוח בקרה טכנו-מבצעי'!$B$10="הכל",מלאי!#REF!='לוח בקרה טכנו-מבצעי'!$B$10)),1,0)</f>
        <v>#REF!</v>
      </c>
      <c r="AF60">
        <f>IF(AD60=1,COUNTIF($AD$3:$AD60,1),"")</f>
        <v>23</v>
      </c>
      <c r="AG60" t="e">
        <f>IF(AE60=1,COUNTIF($AE$3:$AE60,1),"")</f>
        <v>#REF!</v>
      </c>
    </row>
    <row r="61" spans="1:33" ht="23.25" customHeight="1" x14ac:dyDescent="0.25">
      <c r="A61" s="19" t="s">
        <v>114</v>
      </c>
      <c r="B61" s="19" t="s">
        <v>117</v>
      </c>
      <c r="C61" s="19" t="s">
        <v>64</v>
      </c>
      <c r="D61" s="19" t="s">
        <v>120</v>
      </c>
      <c r="E61" s="19" t="str">
        <f>IFERROR(INDEX(הגדרות!$I$2:$I$47,MATCH(B61,הגדרות!$H$2:$H$47,0)),"")</f>
        <v>9028-00</v>
      </c>
      <c r="F61" s="19" t="s">
        <v>73</v>
      </c>
      <c r="G61" s="19" t="s">
        <v>119</v>
      </c>
      <c r="H61" s="19" t="s">
        <v>100</v>
      </c>
      <c r="I61" s="19"/>
      <c r="J61" s="19" t="s">
        <v>14</v>
      </c>
      <c r="K61" s="19"/>
      <c r="L61" s="19" t="s">
        <v>68</v>
      </c>
      <c r="M61" s="19"/>
      <c r="N61" s="19"/>
      <c r="O61" s="19" t="s">
        <v>14</v>
      </c>
      <c r="P61" s="19"/>
      <c r="Q61" s="19" t="s">
        <v>14</v>
      </c>
      <c r="R61" s="19"/>
      <c r="S61" s="19" t="s">
        <v>14</v>
      </c>
      <c r="T61" s="19" t="s">
        <v>69</v>
      </c>
      <c r="U61" s="19"/>
      <c r="V61" s="19"/>
      <c r="W61" s="19"/>
      <c r="X61" s="19"/>
      <c r="Y61" s="19"/>
      <c r="Z61" t="str">
        <f>IFERROR(INDEX(הגדרות!$B$2:$B$17,MATCH(H61,הגדרות!$A$2:$A$17,0)),"")</f>
        <v>מיוער</v>
      </c>
      <c r="AA61">
        <f>IFERROR(INDEX(הגדרות!$C$2:$C$17,MATCH(H61,הגדרות!$A$2:$A$17,0)),"")</f>
        <v>0</v>
      </c>
      <c r="AB61" t="str">
        <f>IFERROR(INDEX(הגדרות!$B$2:$B$17,MATCH(I61,הגדרות!$A$2:$A$17,0)),"")</f>
        <v/>
      </c>
      <c r="AC61" t="str">
        <f>IFERROR(INDEX(הגדרות!$C$2:$C$17,MATCH(I61,הגדרות!$A$2:$A$17,0)),"")</f>
        <v/>
      </c>
      <c r="AD61">
        <f>IF(AND(מלאי!D61&lt;&gt;"",OR('לוח בקרה'!$B$4="הכל",מלאי!Z61='לוח בקרה'!$B$4,מלאי!AA61='לוח בקרה'!$B$4,מלאי!AB61='לוח בקרה'!$B$4,מלאי!AC61='לוח בקרה'!$B$4),OR('לוח בקרה'!$B$5="הכל",מלאי!A61='לוח בקרה'!$B$5),OR('לוח בקרה'!$B$6="הכל",מלאי!B61='לוח בקרה'!$B$6),OR('לוח בקרה'!$B$7="הכל",מלאי!F61='לוח בקרה'!$B$7,מלאי!G61='לוח בקרה'!$B$7),OR('לוח בקרה'!$B$8="הכל",מלאי!T61='לוח בקרה'!$B$8),OR('לוח בקרה'!$B$9="הכל",מלאי!Q61='לוח בקרה'!$B$9),OR('לוח בקרה'!$E$4="הכל",מלאי!J61='לוח בקרה'!$E$4),OR('לוח בקרה'!$E$5="הכל",מלאי!L61='לוח בקרה'!$E$5),OR('לוח בקרה'!$E$6="הכל",מלאי!O61='לוח בקרה'!$E$6),OR('לוח בקרה'!$E$7="הכל",מלאי!R61='לוח בקרה'!$E$7),OR('לוח בקרה'!$E$8="הכל",'לוח בקרה'!$E$8="",מלאי!W61='לוח בקרה'!$E$8),OR('לוח בקרה'!$E$9="הכל",'לוח בקרה'!$E$9="",ISNUMBER(SEARCH('לוח בקרה'!$E$9,מלאי!C61)))),1,0)</f>
        <v>0</v>
      </c>
      <c r="AE61" t="e">
        <f>IF(AND(מלאי!D61&lt;&gt;"",OR('לוח בקרה טכנו-מבצעי'!$B$4="הכל",מלאי!Z61='לוח בקרה טכנו-מבצעי'!$B$4,מלאי!AA61='לוח בקרה טכנו-מבצעי'!$B$4,מלאי!AB61='לוח בקרה טכנו-מבצעי'!$B$4,מלאי!AC61='לוח בקרה טכנו-מבצעי'!$B$4),OR('לוח בקרה טכנו-מבצעי'!$B$5="הכל",מלאי!A61='לוח בקרה טכנו-מבצעי'!$B$5),OR('לוח בקרה טכנו-מבצעי'!$B$6="הכל",מלאי!B61='לוח בקרה טכנו-מבצעי'!$B$6),OR('לוח בקרה טכנו-מבצעי'!$B$7="הכל",מלאי!F61='לוח בקרה טכנו-מבצעי'!$B$7,מלאי!G61='לוח בקרה טכנו-מבצעי'!$B$7),OR('לוח בקרה טכנו-מבצעי'!$B$8="הכל",מלאי!T61='לוח בקרה טכנו-מבצעי'!$B$8),OR('לוח בקרה טכנו-מבצעי'!$B$9="הכל",מלאי!Q61='לוח בקרה טכנו-מבצעי'!$B$9),OR('לוח בקרה טכנו-מבצעי'!$E$4="הכל",מלאי!J61='לוח בקרה טכנו-מבצעי'!$E$4),OR('לוח בקרה טכנו-מבצעי'!$E$5="הכל",מלאי!L61='לוח בקרה טכנו-מבצעי'!$E$5),OR('לוח בקרה טכנו-מבצעי'!$E$6="הכל",מלאי!O61='לוח בקרה טכנו-מבצעי'!$E$6),OR('לוח בקרה טכנו-מבצעי'!$E$7="הכל",מלאי!R61='לוח בקרה טכנו-מבצעי'!$E$7),OR('לוח בקרה טכנו-מבצעי'!$E$8="הכל",'לוח בקרה טכנו-מבצעי'!$E$8="",מלאי!W61='לוח בקרה טכנו-מבצעי'!$E$8),OR('לוח בקרה טכנו-מבצעי'!$E$9="הכל",'לוח בקרה טכנו-מבצעי'!$E$9="",ISNUMBER(SEARCH('לוח בקרה טכנו-מבצעי'!$E$9,מלאי!C61))),OR('לוח בקרה טכנו-מבצעי'!$B$10="הכל",מלאי!#REF!='לוח בקרה טכנו-מבצעי'!$B$10)),1,0)</f>
        <v>#REF!</v>
      </c>
      <c r="AF61" t="str">
        <f>IF(AD61=1,COUNTIF($AD$3:$AD61,1),"")</f>
        <v/>
      </c>
      <c r="AG61" t="e">
        <f>IF(AE61=1,COUNTIF($AE$3:$AE61,1),"")</f>
        <v>#REF!</v>
      </c>
    </row>
    <row r="62" spans="1:33" ht="15" customHeight="1" x14ac:dyDescent="0.25">
      <c r="A62" s="17" t="s">
        <v>114</v>
      </c>
      <c r="B62" s="17" t="s">
        <v>121</v>
      </c>
      <c r="C62" s="17" t="s">
        <v>64</v>
      </c>
      <c r="D62" s="17" t="s">
        <v>315</v>
      </c>
      <c r="E62" s="17" t="str">
        <f>IFERROR(INDEX(הגדרות!$I$2:$I$47,MATCH(B62,הגדרות!$H$2:$H$47,0)),"")</f>
        <v>9021-00</v>
      </c>
      <c r="F62" s="17" t="s">
        <v>65</v>
      </c>
      <c r="G62" s="17"/>
      <c r="H62" s="17" t="s">
        <v>66</v>
      </c>
      <c r="I62" s="17" t="s">
        <v>67</v>
      </c>
      <c r="J62" s="17" t="s">
        <v>68</v>
      </c>
      <c r="K62" s="17" t="s">
        <v>68</v>
      </c>
      <c r="L62" s="17" t="s">
        <v>68</v>
      </c>
      <c r="M62" s="17" t="s">
        <v>68</v>
      </c>
      <c r="N62" s="17"/>
      <c r="O62" s="17" t="s">
        <v>14</v>
      </c>
      <c r="P62" s="17"/>
      <c r="Q62" s="17" t="s">
        <v>68</v>
      </c>
      <c r="R62" s="17"/>
      <c r="S62" s="17" t="s">
        <v>14</v>
      </c>
      <c r="T62" s="17" t="s">
        <v>69</v>
      </c>
      <c r="U62" s="17"/>
      <c r="V62" s="17"/>
      <c r="W62" s="17"/>
      <c r="X62" s="17"/>
      <c r="Y62" s="17"/>
      <c r="Z62" t="str">
        <f>IFERROR(INDEX(הגדרות!$B$2:$B$17,MATCH(H62,הגדרות!$A$2:$A$17,0)),"")</f>
        <v>מיוער</v>
      </c>
      <c r="AA62">
        <f>IFERROR(INDEX(הגדרות!$C$2:$C$17,MATCH(H62,הגדרות!$A$2:$A$17,0)),"")</f>
        <v>0</v>
      </c>
      <c r="AB62" t="str">
        <f>IFERROR(INDEX(הגדרות!$B$2:$B$17,MATCH(I62,הגדרות!$A$2:$A$17,0)),"")</f>
        <v>מדברי</v>
      </c>
      <c r="AC62">
        <f>IFERROR(INDEX(הגדרות!$C$2:$C$17,MATCH(I62,הגדרות!$A$2:$A$17,0)),"")</f>
        <v>0</v>
      </c>
      <c r="AD62">
        <f>IF(AND(מלאי!D62&lt;&gt;"",OR('לוח בקרה'!$B$4="הכל",מלאי!Z62='לוח בקרה'!$B$4,מלאי!AA62='לוח בקרה'!$B$4,מלאי!AB62='לוח בקרה'!$B$4,מלאי!AC62='לוח בקרה'!$B$4),OR('לוח בקרה'!$B$5="הכל",מלאי!A62='לוח בקרה'!$B$5),OR('לוח בקרה'!$B$6="הכל",מלאי!B62='לוח בקרה'!$B$6),OR('לוח בקרה'!$B$7="הכל",מלאי!F62='לוח בקרה'!$B$7,מלאי!G62='לוח בקרה'!$B$7),OR('לוח בקרה'!$B$8="הכל",מלאי!T62='לוח בקרה'!$B$8),OR('לוח בקרה'!$B$9="הכל",מלאי!Q62='לוח בקרה'!$B$9),OR('לוח בקרה'!$E$4="הכל",מלאי!J62='לוח בקרה'!$E$4),OR('לוח בקרה'!$E$5="הכל",מלאי!L62='לוח בקרה'!$E$5),OR('לוח בקרה'!$E$6="הכל",מלאי!O62='לוח בקרה'!$E$6),OR('לוח בקרה'!$E$7="הכל",מלאי!R62='לוח בקרה'!$E$7),OR('לוח בקרה'!$E$8="הכל",'לוח בקרה'!$E$8="",מלאי!W62='לוח בקרה'!$E$8),OR('לוח בקרה'!$E$9="הכל",'לוח בקרה'!$E$9="",ISNUMBER(SEARCH('לוח בקרה'!$E$9,מלאי!C62)))),1,0)</f>
        <v>0</v>
      </c>
      <c r="AE62" t="e">
        <f>IF(AND(מלאי!D62&lt;&gt;"",OR('לוח בקרה טכנו-מבצעי'!$B$4="הכל",מלאי!Z62='לוח בקרה טכנו-מבצעי'!$B$4,מלאי!AA62='לוח בקרה טכנו-מבצעי'!$B$4,מלאי!AB62='לוח בקרה טכנו-מבצעי'!$B$4,מלאי!AC62='לוח בקרה טכנו-מבצעי'!$B$4),OR('לוח בקרה טכנו-מבצעי'!$B$5="הכל",מלאי!A62='לוח בקרה טכנו-מבצעי'!$B$5),OR('לוח בקרה טכנו-מבצעי'!$B$6="הכל",מלאי!B62='לוח בקרה טכנו-מבצעי'!$B$6),OR('לוח בקרה טכנו-מבצעי'!$B$7="הכל",מלאי!F62='לוח בקרה טכנו-מבצעי'!$B$7,מלאי!G62='לוח בקרה טכנו-מבצעי'!$B$7),OR('לוח בקרה טכנו-מבצעי'!$B$8="הכל",מלאי!T62='לוח בקרה טכנו-מבצעי'!$B$8),OR('לוח בקרה טכנו-מבצעי'!$B$9="הכל",מלאי!Q62='לוח בקרה טכנו-מבצעי'!$B$9),OR('לוח בקרה טכנו-מבצעי'!$E$4="הכל",מלאי!J62='לוח בקרה טכנו-מבצעי'!$E$4),OR('לוח בקרה טכנו-מבצעי'!$E$5="הכל",מלאי!L62='לוח בקרה טכנו-מבצעי'!$E$5),OR('לוח בקרה טכנו-מבצעי'!$E$6="הכל",מלאי!O62='לוח בקרה טכנו-מבצעי'!$E$6),OR('לוח בקרה טכנו-מבצעי'!$E$7="הכל",מלאי!R62='לוח בקרה טכנו-מבצעי'!$E$7),OR('לוח בקרה טכנו-מבצעי'!$E$8="הכל",'לוח בקרה טכנו-מבצעי'!$E$8="",מלאי!W62='לוח בקרה טכנו-מבצעי'!$E$8),OR('לוח בקרה טכנו-מבצעי'!$E$9="הכל",'לוח בקרה טכנו-מבצעי'!$E$9="",ISNUMBER(SEARCH('לוח בקרה טכנו-מבצעי'!$E$9,מלאי!C62))),OR('לוח בקרה טכנו-מבצעי'!$B$10="הכל",מלאי!#REF!='לוח בקרה טכנו-מבצעי'!$B$10)),1,0)</f>
        <v>#REF!</v>
      </c>
      <c r="AF62" t="str">
        <f>IF(AD62=1,COUNTIF($AD$3:$AD62,1),"")</f>
        <v/>
      </c>
      <c r="AG62" t="e">
        <f>IF(AE62=1,COUNTIF($AE$3:$AE62,1),"")</f>
        <v>#REF!</v>
      </c>
    </row>
    <row r="63" spans="1:33" ht="15" customHeight="1" x14ac:dyDescent="0.25">
      <c r="A63" s="19" t="s">
        <v>114</v>
      </c>
      <c r="B63" s="19" t="s">
        <v>121</v>
      </c>
      <c r="C63" s="19" t="s">
        <v>64</v>
      </c>
      <c r="D63" s="19" t="s">
        <v>316</v>
      </c>
      <c r="E63" s="19" t="str">
        <f>IFERROR(INDEX(הגדרות!$I$2:$I$47,MATCH(B63,הגדרות!$H$2:$H$47,0)),"")</f>
        <v>9021-00</v>
      </c>
      <c r="F63" s="19" t="s">
        <v>73</v>
      </c>
      <c r="G63" s="19"/>
      <c r="H63" s="19" t="s">
        <v>92</v>
      </c>
      <c r="I63" s="19" t="s">
        <v>100</v>
      </c>
      <c r="J63" s="19" t="s">
        <v>14</v>
      </c>
      <c r="K63" s="19" t="s">
        <v>68</v>
      </c>
      <c r="L63" s="19" t="s">
        <v>68</v>
      </c>
      <c r="M63" s="19" t="s">
        <v>68</v>
      </c>
      <c r="N63" s="19"/>
      <c r="O63" s="19" t="s">
        <v>68</v>
      </c>
      <c r="P63" s="19"/>
      <c r="Q63" s="19" t="s">
        <v>14</v>
      </c>
      <c r="R63" s="19"/>
      <c r="S63" s="19" t="s">
        <v>14</v>
      </c>
      <c r="T63" s="19" t="s">
        <v>69</v>
      </c>
      <c r="U63" s="19"/>
      <c r="V63" s="19"/>
      <c r="W63" s="19"/>
      <c r="X63" s="19"/>
      <c r="Y63" s="19"/>
      <c r="Z63" t="str">
        <f>IFERROR(INDEX(הגדרות!$B$2:$B$17,MATCH(H63,הגדרות!$A$2:$A$17,0)),"")</f>
        <v>ימי</v>
      </c>
      <c r="AA63">
        <f>IFERROR(INDEX(הגדרות!$C$2:$C$17,MATCH(H63,הגדרות!$A$2:$A$17,0)),"")</f>
        <v>0</v>
      </c>
      <c r="AB63" t="str">
        <f>IFERROR(INDEX(הגדרות!$B$2:$B$17,MATCH(I63,הגדרות!$A$2:$A$17,0)),"")</f>
        <v>מיוער</v>
      </c>
      <c r="AC63">
        <f>IFERROR(INDEX(הגדרות!$C$2:$C$17,MATCH(I63,הגדרות!$A$2:$A$17,0)),"")</f>
        <v>0</v>
      </c>
      <c r="AD63">
        <f>IF(AND(מלאי!D63&lt;&gt;"",OR('לוח בקרה'!$B$4="הכל",מלאי!Z63='לוח בקרה'!$B$4,מלאי!AA63='לוח בקרה'!$B$4,מלאי!AB63='לוח בקרה'!$B$4,מלאי!AC63='לוח בקרה'!$B$4),OR('לוח בקרה'!$B$5="הכל",מלאי!A63='לוח בקרה'!$B$5),OR('לוח בקרה'!$B$6="הכל",מלאי!B63='לוח בקרה'!$B$6),OR('לוח בקרה'!$B$7="הכל",מלאי!F63='לוח בקרה'!$B$7,מלאי!G63='לוח בקרה'!$B$7),OR('לוח בקרה'!$B$8="הכל",מלאי!T63='לוח בקרה'!$B$8),OR('לוח בקרה'!$B$9="הכל",מלאי!Q63='לוח בקרה'!$B$9),OR('לוח בקרה'!$E$4="הכל",מלאי!J63='לוח בקרה'!$E$4),OR('לוח בקרה'!$E$5="הכל",מלאי!L63='לוח בקרה'!$E$5),OR('לוח בקרה'!$E$6="הכל",מלאי!O63='לוח בקרה'!$E$6),OR('לוח בקרה'!$E$7="הכל",מלאי!R63='לוח בקרה'!$E$7),OR('לוח בקרה'!$E$8="הכל",'לוח בקרה'!$E$8="",מלאי!W63='לוח בקרה'!$E$8),OR('לוח בקרה'!$E$9="הכל",'לוח בקרה'!$E$9="",ISNUMBER(SEARCH('לוח בקרה'!$E$9,מלאי!C63)))),1,0)</f>
        <v>0</v>
      </c>
      <c r="AE63" t="e">
        <f>IF(AND(מלאי!D63&lt;&gt;"",OR('לוח בקרה טכנו-מבצעי'!$B$4="הכל",מלאי!Z63='לוח בקרה טכנו-מבצעי'!$B$4,מלאי!AA63='לוח בקרה טכנו-מבצעי'!$B$4,מלאי!AB63='לוח בקרה טכנו-מבצעי'!$B$4,מלאי!AC63='לוח בקרה טכנו-מבצעי'!$B$4),OR('לוח בקרה טכנו-מבצעי'!$B$5="הכל",מלאי!A63='לוח בקרה טכנו-מבצעי'!$B$5),OR('לוח בקרה טכנו-מבצעי'!$B$6="הכל",מלאי!B63='לוח בקרה טכנו-מבצעי'!$B$6),OR('לוח בקרה טכנו-מבצעי'!$B$7="הכל",מלאי!F63='לוח בקרה טכנו-מבצעי'!$B$7,מלאי!G63='לוח בקרה טכנו-מבצעי'!$B$7),OR('לוח בקרה טכנו-מבצעי'!$B$8="הכל",מלאי!T63='לוח בקרה טכנו-מבצעי'!$B$8),OR('לוח בקרה טכנו-מבצעי'!$B$9="הכל",מלאי!Q63='לוח בקרה טכנו-מבצעי'!$B$9),OR('לוח בקרה טכנו-מבצעי'!$E$4="הכל",מלאי!J63='לוח בקרה טכנו-מבצעי'!$E$4),OR('לוח בקרה טכנו-מבצעי'!$E$5="הכל",מלאי!L63='לוח בקרה טכנו-מבצעי'!$E$5),OR('לוח בקרה טכנו-מבצעי'!$E$6="הכל",מלאי!O63='לוח בקרה טכנו-מבצעי'!$E$6),OR('לוח בקרה טכנו-מבצעי'!$E$7="הכל",מלאי!R63='לוח בקרה טכנו-מבצעי'!$E$7),OR('לוח בקרה טכנו-מבצעי'!$E$8="הכל",'לוח בקרה טכנו-מבצעי'!$E$8="",מלאי!W63='לוח בקרה טכנו-מבצעי'!$E$8),OR('לוח בקרה טכנו-מבצעי'!$E$9="הכל",'לוח בקרה טכנו-מבצעי'!$E$9="",ISNUMBER(SEARCH('לוח בקרה טכנו-מבצעי'!$E$9,מלאי!C63))),OR('לוח בקרה טכנו-מבצעי'!$B$10="הכל",מלאי!#REF!='לוח בקרה טכנו-מבצעי'!$B$10)),1,0)</f>
        <v>#REF!</v>
      </c>
      <c r="AF63" t="str">
        <f>IF(AD63=1,COUNTIF($AD$3:$AD63,1),"")</f>
        <v/>
      </c>
      <c r="AG63" t="e">
        <f>IF(AE63=1,COUNTIF($AE$3:$AE63,1),"")</f>
        <v>#REF!</v>
      </c>
    </row>
    <row r="64" spans="1:33" ht="15" customHeight="1" x14ac:dyDescent="0.25">
      <c r="A64" s="17" t="s">
        <v>114</v>
      </c>
      <c r="B64" s="17" t="s">
        <v>121</v>
      </c>
      <c r="C64" s="17" t="s">
        <v>64</v>
      </c>
      <c r="D64" s="17" t="s">
        <v>317</v>
      </c>
      <c r="E64" s="17" t="str">
        <f>IFERROR(INDEX(הגדרות!$I$2:$I$47,MATCH(B64,הגדרות!$H$2:$H$47,0)),"")</f>
        <v>9021-00</v>
      </c>
      <c r="F64" s="17" t="s">
        <v>73</v>
      </c>
      <c r="G64" s="17"/>
      <c r="H64" s="17" t="s">
        <v>92</v>
      </c>
      <c r="I64" s="17" t="s">
        <v>100</v>
      </c>
      <c r="J64" s="17" t="s">
        <v>14</v>
      </c>
      <c r="K64" s="17" t="s">
        <v>68</v>
      </c>
      <c r="L64" s="17" t="s">
        <v>68</v>
      </c>
      <c r="M64" s="17" t="s">
        <v>68</v>
      </c>
      <c r="N64" s="17"/>
      <c r="O64" s="17" t="s">
        <v>68</v>
      </c>
      <c r="P64" s="17"/>
      <c r="Q64" s="17" t="s">
        <v>14</v>
      </c>
      <c r="R64" s="17"/>
      <c r="S64" s="17" t="s">
        <v>14</v>
      </c>
      <c r="T64" s="17" t="s">
        <v>69</v>
      </c>
      <c r="U64" s="17"/>
      <c r="V64" s="17"/>
      <c r="W64" s="17"/>
      <c r="X64" s="17"/>
      <c r="Y64" s="17"/>
      <c r="Z64" t="str">
        <f>IFERROR(INDEX(הגדרות!$B$2:$B$17,MATCH(H64,הגדרות!$A$2:$A$17,0)),"")</f>
        <v>ימי</v>
      </c>
      <c r="AA64">
        <f>IFERROR(INDEX(הגדרות!$C$2:$C$17,MATCH(H64,הגדרות!$A$2:$A$17,0)),"")</f>
        <v>0</v>
      </c>
      <c r="AB64" t="str">
        <f>IFERROR(INDEX(הגדרות!$B$2:$B$17,MATCH(I64,הגדרות!$A$2:$A$17,0)),"")</f>
        <v>מיוער</v>
      </c>
      <c r="AC64">
        <f>IFERROR(INDEX(הגדרות!$C$2:$C$17,MATCH(I64,הגדרות!$A$2:$A$17,0)),"")</f>
        <v>0</v>
      </c>
      <c r="AD64">
        <f>IF(AND(מלאי!D64&lt;&gt;"",OR('לוח בקרה'!$B$4="הכל",מלאי!Z64='לוח בקרה'!$B$4,מלאי!AA64='לוח בקרה'!$B$4,מלאי!AB64='לוח בקרה'!$B$4,מלאי!AC64='לוח בקרה'!$B$4),OR('לוח בקרה'!$B$5="הכל",מלאי!A64='לוח בקרה'!$B$5),OR('לוח בקרה'!$B$6="הכל",מלאי!B64='לוח בקרה'!$B$6),OR('לוח בקרה'!$B$7="הכל",מלאי!F64='לוח בקרה'!$B$7,מלאי!G64='לוח בקרה'!$B$7),OR('לוח בקרה'!$B$8="הכל",מלאי!T64='לוח בקרה'!$B$8),OR('לוח בקרה'!$B$9="הכל",מלאי!Q64='לוח בקרה'!$B$9),OR('לוח בקרה'!$E$4="הכל",מלאי!J64='לוח בקרה'!$E$4),OR('לוח בקרה'!$E$5="הכל",מלאי!L64='לוח בקרה'!$E$5),OR('לוח בקרה'!$E$6="הכל",מלאי!O64='לוח בקרה'!$E$6),OR('לוח בקרה'!$E$7="הכל",מלאי!R64='לוח בקרה'!$E$7),OR('לוח בקרה'!$E$8="הכל",'לוח בקרה'!$E$8="",מלאי!W64='לוח בקרה'!$E$8),OR('לוח בקרה'!$E$9="הכל",'לוח בקרה'!$E$9="",ISNUMBER(SEARCH('לוח בקרה'!$E$9,מלאי!C64)))),1,0)</f>
        <v>0</v>
      </c>
      <c r="AE64" t="e">
        <f>IF(AND(מלאי!D64&lt;&gt;"",OR('לוח בקרה טכנו-מבצעי'!$B$4="הכל",מלאי!Z64='לוח בקרה טכנו-מבצעי'!$B$4,מלאי!AA64='לוח בקרה טכנו-מבצעי'!$B$4,מלאי!AB64='לוח בקרה טכנו-מבצעי'!$B$4,מלאי!AC64='לוח בקרה טכנו-מבצעי'!$B$4),OR('לוח בקרה טכנו-מבצעי'!$B$5="הכל",מלאי!A64='לוח בקרה טכנו-מבצעי'!$B$5),OR('לוח בקרה טכנו-מבצעי'!$B$6="הכל",מלאי!B64='לוח בקרה טכנו-מבצעי'!$B$6),OR('לוח בקרה טכנו-מבצעי'!$B$7="הכל",מלאי!F64='לוח בקרה טכנו-מבצעי'!$B$7,מלאי!G64='לוח בקרה טכנו-מבצעי'!$B$7),OR('לוח בקרה טכנו-מבצעי'!$B$8="הכל",מלאי!T64='לוח בקרה טכנו-מבצעי'!$B$8),OR('לוח בקרה טכנו-מבצעי'!$B$9="הכל",מלאי!Q64='לוח בקרה טכנו-מבצעי'!$B$9),OR('לוח בקרה טכנו-מבצעי'!$E$4="הכל",מלאי!J64='לוח בקרה טכנו-מבצעי'!$E$4),OR('לוח בקרה טכנו-מבצעי'!$E$5="הכל",מלאי!L64='לוח בקרה טכנו-מבצעי'!$E$5),OR('לוח בקרה טכנו-מבצעי'!$E$6="הכל",מלאי!O64='לוח בקרה טכנו-מבצעי'!$E$6),OR('לוח בקרה טכנו-מבצעי'!$E$7="הכל",מלאי!R64='לוח בקרה טכנו-מבצעי'!$E$7),OR('לוח בקרה טכנו-מבצעי'!$E$8="הכל",'לוח בקרה טכנו-מבצעי'!$E$8="",מלאי!W64='לוח בקרה טכנו-מבצעי'!$E$8),OR('לוח בקרה טכנו-מבצעי'!$E$9="הכל",'לוח בקרה טכנו-מבצעי'!$E$9="",ISNUMBER(SEARCH('לוח בקרה טכנו-מבצעי'!$E$9,מלאי!C64))),OR('לוח בקרה טכנו-מבצעי'!$B$10="הכל",מלאי!#REF!='לוח בקרה טכנו-מבצעי'!$B$10)),1,0)</f>
        <v>#REF!</v>
      </c>
      <c r="AF64" t="str">
        <f>IF(AD64=1,COUNTIF($AD$3:$AD64,1),"")</f>
        <v/>
      </c>
      <c r="AG64" t="e">
        <f>IF(AE64=1,COUNTIF($AE$3:$AE64,1),"")</f>
        <v>#REF!</v>
      </c>
    </row>
    <row r="65" spans="1:33" ht="15" customHeight="1" x14ac:dyDescent="0.25">
      <c r="A65" s="19" t="s">
        <v>114</v>
      </c>
      <c r="B65" s="19" t="s">
        <v>121</v>
      </c>
      <c r="C65" s="19" t="s">
        <v>64</v>
      </c>
      <c r="D65" s="19" t="s">
        <v>318</v>
      </c>
      <c r="E65" s="19" t="str">
        <f>IFERROR(INDEX(הגדרות!$I$2:$I$47,MATCH(B65,הגדרות!$H$2:$H$47,0)),"")</f>
        <v>9021-00</v>
      </c>
      <c r="F65" s="19" t="s">
        <v>73</v>
      </c>
      <c r="G65" s="19"/>
      <c r="H65" s="19" t="s">
        <v>66</v>
      </c>
      <c r="I65" s="19" t="s">
        <v>66</v>
      </c>
      <c r="J65" s="19" t="s">
        <v>68</v>
      </c>
      <c r="K65" s="19" t="s">
        <v>68</v>
      </c>
      <c r="L65" s="19" t="s">
        <v>68</v>
      </c>
      <c r="M65" s="19" t="s">
        <v>68</v>
      </c>
      <c r="N65" s="19"/>
      <c r="O65" s="19" t="s">
        <v>68</v>
      </c>
      <c r="P65" s="19"/>
      <c r="Q65" s="19" t="s">
        <v>14</v>
      </c>
      <c r="R65" s="19"/>
      <c r="S65" s="19" t="s">
        <v>14</v>
      </c>
      <c r="T65" s="19" t="s">
        <v>69</v>
      </c>
      <c r="U65" s="19"/>
      <c r="V65" s="19"/>
      <c r="W65" s="19"/>
      <c r="X65" s="19"/>
      <c r="Y65" s="19"/>
      <c r="Z65" t="str">
        <f>IFERROR(INDEX(הגדרות!$B$2:$B$17,MATCH(H65,הגדרות!$A$2:$A$17,0)),"")</f>
        <v>מיוער</v>
      </c>
      <c r="AA65">
        <f>IFERROR(INDEX(הגדרות!$C$2:$C$17,MATCH(H65,הגדרות!$A$2:$A$17,0)),"")</f>
        <v>0</v>
      </c>
      <c r="AB65" t="str">
        <f>IFERROR(INDEX(הגדרות!$B$2:$B$17,MATCH(I65,הגדרות!$A$2:$A$17,0)),"")</f>
        <v>מיוער</v>
      </c>
      <c r="AC65">
        <f>IFERROR(INDEX(הגדרות!$C$2:$C$17,MATCH(I65,הגדרות!$A$2:$A$17,0)),"")</f>
        <v>0</v>
      </c>
      <c r="AD65">
        <f>IF(AND(מלאי!D65&lt;&gt;"",OR('לוח בקרה'!$B$4="הכל",מלאי!Z65='לוח בקרה'!$B$4,מלאי!AA65='לוח בקרה'!$B$4,מלאי!AB65='לוח בקרה'!$B$4,מלאי!AC65='לוח בקרה'!$B$4),OR('לוח בקרה'!$B$5="הכל",מלאי!A65='לוח בקרה'!$B$5),OR('לוח בקרה'!$B$6="הכל",מלאי!B65='לוח בקרה'!$B$6),OR('לוח בקרה'!$B$7="הכל",מלאי!F65='לוח בקרה'!$B$7,מלאי!G65='לוח בקרה'!$B$7),OR('לוח בקרה'!$B$8="הכל",מלאי!T65='לוח בקרה'!$B$8),OR('לוח בקרה'!$B$9="הכל",מלאי!Q65='לוח בקרה'!$B$9),OR('לוח בקרה'!$E$4="הכל",מלאי!J65='לוח בקרה'!$E$4),OR('לוח בקרה'!$E$5="הכל",מלאי!L65='לוח בקרה'!$E$5),OR('לוח בקרה'!$E$6="הכל",מלאי!O65='לוח בקרה'!$E$6),OR('לוח בקרה'!$E$7="הכל",מלאי!R65='לוח בקרה'!$E$7),OR('לוח בקרה'!$E$8="הכל",'לוח בקרה'!$E$8="",מלאי!W65='לוח בקרה'!$E$8),OR('לוח בקרה'!$E$9="הכל",'לוח בקרה'!$E$9="",ISNUMBER(SEARCH('לוח בקרה'!$E$9,מלאי!C65)))),1,0)</f>
        <v>1</v>
      </c>
      <c r="AE65" t="e">
        <f>IF(AND(מלאי!D65&lt;&gt;"",OR('לוח בקרה טכנו-מבצעי'!$B$4="הכל",מלאי!Z65='לוח בקרה טכנו-מבצעי'!$B$4,מלאי!AA65='לוח בקרה טכנו-מבצעי'!$B$4,מלאי!AB65='לוח בקרה טכנו-מבצעי'!$B$4,מלאי!AC65='לוח בקרה טכנו-מבצעי'!$B$4),OR('לוח בקרה טכנו-מבצעי'!$B$5="הכל",מלאי!A65='לוח בקרה טכנו-מבצעי'!$B$5),OR('לוח בקרה טכנו-מבצעי'!$B$6="הכל",מלאי!B65='לוח בקרה טכנו-מבצעי'!$B$6),OR('לוח בקרה טכנו-מבצעי'!$B$7="הכל",מלאי!F65='לוח בקרה טכנו-מבצעי'!$B$7,מלאי!G65='לוח בקרה טכנו-מבצעי'!$B$7),OR('לוח בקרה טכנו-מבצעי'!$B$8="הכל",מלאי!T65='לוח בקרה טכנו-מבצעי'!$B$8),OR('לוח בקרה טכנו-מבצעי'!$B$9="הכל",מלאי!Q65='לוח בקרה טכנו-מבצעי'!$B$9),OR('לוח בקרה טכנו-מבצעי'!$E$4="הכל",מלאי!J65='לוח בקרה טכנו-מבצעי'!$E$4),OR('לוח בקרה טכנו-מבצעי'!$E$5="הכל",מלאי!L65='לוח בקרה טכנו-מבצעי'!$E$5),OR('לוח בקרה טכנו-מבצעי'!$E$6="הכל",מלאי!O65='לוח בקרה טכנו-מבצעי'!$E$6),OR('לוח בקרה טכנו-מבצעי'!$E$7="הכל",מלאי!R65='לוח בקרה טכנו-מבצעי'!$E$7),OR('לוח בקרה טכנו-מבצעי'!$E$8="הכל",'לוח בקרה טכנו-מבצעי'!$E$8="",מלאי!W65='לוח בקרה טכנו-מבצעי'!$E$8),OR('לוח בקרה טכנו-מבצעי'!$E$9="הכל",'לוח בקרה טכנו-מבצעי'!$E$9="",ISNUMBER(SEARCH('לוח בקרה טכנו-מבצעי'!$E$9,מלאי!C65))),OR('לוח בקרה טכנו-מבצעי'!$B$10="הכל",מלאי!#REF!='לוח בקרה טכנו-מבצעי'!$B$10)),1,0)</f>
        <v>#REF!</v>
      </c>
      <c r="AF65">
        <f>IF(AD65=1,COUNTIF($AD$3:$AD65,1),"")</f>
        <v>24</v>
      </c>
      <c r="AG65" t="e">
        <f>IF(AE65=1,COUNTIF($AE$3:$AE65,1),"")</f>
        <v>#REF!</v>
      </c>
    </row>
    <row r="66" spans="1:33" ht="15" customHeight="1" x14ac:dyDescent="0.25">
      <c r="A66" s="17" t="s">
        <v>114</v>
      </c>
      <c r="B66" s="17" t="s">
        <v>121</v>
      </c>
      <c r="C66" s="17" t="s">
        <v>64</v>
      </c>
      <c r="D66" s="17" t="s">
        <v>319</v>
      </c>
      <c r="E66" s="17" t="str">
        <f>IFERROR(INDEX(הגדרות!$I$2:$I$47,MATCH(B66,הגדרות!$H$2:$H$47,0)),"")</f>
        <v>9021-00</v>
      </c>
      <c r="F66" s="17" t="s">
        <v>73</v>
      </c>
      <c r="G66" s="17"/>
      <c r="H66" s="17" t="s">
        <v>92</v>
      </c>
      <c r="I66" s="17" t="s">
        <v>92</v>
      </c>
      <c r="J66" s="17" t="s">
        <v>68</v>
      </c>
      <c r="K66" s="17" t="s">
        <v>68</v>
      </c>
      <c r="L66" s="17" t="s">
        <v>68</v>
      </c>
      <c r="M66" s="17" t="s">
        <v>68</v>
      </c>
      <c r="N66" s="17"/>
      <c r="O66" s="17" t="s">
        <v>68</v>
      </c>
      <c r="P66" s="17"/>
      <c r="Q66" s="17" t="s">
        <v>14</v>
      </c>
      <c r="R66" s="17"/>
      <c r="S66" s="17" t="s">
        <v>14</v>
      </c>
      <c r="T66" s="17" t="s">
        <v>69</v>
      </c>
      <c r="U66" s="17"/>
      <c r="V66" s="17"/>
      <c r="W66" s="17"/>
      <c r="X66" s="17"/>
      <c r="Y66" s="17"/>
      <c r="Z66" t="str">
        <f>IFERROR(INDEX(הגדרות!$B$2:$B$17,MATCH(H66,הגדרות!$A$2:$A$17,0)),"")</f>
        <v>ימי</v>
      </c>
      <c r="AA66">
        <f>IFERROR(INDEX(הגדרות!$C$2:$C$17,MATCH(H66,הגדרות!$A$2:$A$17,0)),"")</f>
        <v>0</v>
      </c>
      <c r="AB66" t="str">
        <f>IFERROR(INDEX(הגדרות!$B$2:$B$17,MATCH(I66,הגדרות!$A$2:$A$17,0)),"")</f>
        <v>ימי</v>
      </c>
      <c r="AC66">
        <f>IFERROR(INDEX(הגדרות!$C$2:$C$17,MATCH(I66,הגדרות!$A$2:$A$17,0)),"")</f>
        <v>0</v>
      </c>
      <c r="AD66">
        <f>IF(AND(מלאי!D66&lt;&gt;"",OR('לוח בקרה'!$B$4="הכל",מלאי!Z66='לוח בקרה'!$B$4,מלאי!AA66='לוח בקרה'!$B$4,מלאי!AB66='לוח בקרה'!$B$4,מלאי!AC66='לוח בקרה'!$B$4),OR('לוח בקרה'!$B$5="הכל",מלאי!A66='לוח בקרה'!$B$5),OR('לוח בקרה'!$B$6="הכל",מלאי!B66='לוח בקרה'!$B$6),OR('לוח בקרה'!$B$7="הכל",מלאי!F66='לוח בקרה'!$B$7,מלאי!G66='לוח בקרה'!$B$7),OR('לוח בקרה'!$B$8="הכל",מלאי!T66='לוח בקרה'!$B$8),OR('לוח בקרה'!$B$9="הכל",מלאי!Q66='לוח בקרה'!$B$9),OR('לוח בקרה'!$E$4="הכל",מלאי!J66='לוח בקרה'!$E$4),OR('לוח בקרה'!$E$5="הכל",מלאי!L66='לוח בקרה'!$E$5),OR('לוח בקרה'!$E$6="הכל",מלאי!O66='לוח בקרה'!$E$6),OR('לוח בקרה'!$E$7="הכל",מלאי!R66='לוח בקרה'!$E$7),OR('לוח בקרה'!$E$8="הכל",'לוח בקרה'!$E$8="",מלאי!W66='לוח בקרה'!$E$8),OR('לוח בקרה'!$E$9="הכל",'לוח בקרה'!$E$9="",ISNUMBER(SEARCH('לוח בקרה'!$E$9,מלאי!C66)))),1,0)</f>
        <v>0</v>
      </c>
      <c r="AE66" t="e">
        <f>IF(AND(מלאי!D66&lt;&gt;"",OR('לוח בקרה טכנו-מבצעי'!$B$4="הכל",מלאי!Z66='לוח בקרה טכנו-מבצעי'!$B$4,מלאי!AA66='לוח בקרה טכנו-מבצעי'!$B$4,מלאי!AB66='לוח בקרה טכנו-מבצעי'!$B$4,מלאי!AC66='לוח בקרה טכנו-מבצעי'!$B$4),OR('לוח בקרה טכנו-מבצעי'!$B$5="הכל",מלאי!A66='לוח בקרה טכנו-מבצעי'!$B$5),OR('לוח בקרה טכנו-מבצעי'!$B$6="הכל",מלאי!B66='לוח בקרה טכנו-מבצעי'!$B$6),OR('לוח בקרה טכנו-מבצעי'!$B$7="הכל",מלאי!F66='לוח בקרה טכנו-מבצעי'!$B$7,מלאי!G66='לוח בקרה טכנו-מבצעי'!$B$7),OR('לוח בקרה טכנו-מבצעי'!$B$8="הכל",מלאי!T66='לוח בקרה טכנו-מבצעי'!$B$8),OR('לוח בקרה טכנו-מבצעי'!$B$9="הכל",מלאי!Q66='לוח בקרה טכנו-מבצעי'!$B$9),OR('לוח בקרה טכנו-מבצעי'!$E$4="הכל",מלאי!J66='לוח בקרה טכנו-מבצעי'!$E$4),OR('לוח בקרה טכנו-מבצעי'!$E$5="הכל",מלאי!L66='לוח בקרה טכנו-מבצעי'!$E$5),OR('לוח בקרה טכנו-מבצעי'!$E$6="הכל",מלאי!O66='לוח בקרה טכנו-מבצעי'!$E$6),OR('לוח בקרה טכנו-מבצעי'!$E$7="הכל",מלאי!R66='לוח בקרה טכנו-מבצעי'!$E$7),OR('לוח בקרה טכנו-מבצעי'!$E$8="הכל",'לוח בקרה טכנו-מבצעי'!$E$8="",מלאי!W66='לוח בקרה טכנו-מבצעי'!$E$8),OR('לוח בקרה טכנו-מבצעי'!$E$9="הכל",'לוח בקרה טכנו-מבצעי'!$E$9="",ISNUMBER(SEARCH('לוח בקרה טכנו-מבצעי'!$E$9,מלאי!C66))),OR('לוח בקרה טכנו-מבצעי'!$B$10="הכל",מלאי!#REF!='לוח בקרה טכנו-מבצעי'!$B$10)),1,0)</f>
        <v>#REF!</v>
      </c>
      <c r="AF66" t="str">
        <f>IF(AD66=1,COUNTIF($AD$3:$AD66,1),"")</f>
        <v/>
      </c>
      <c r="AG66" t="e">
        <f>IF(AE66=1,COUNTIF($AE$3:$AE66,1),"")</f>
        <v>#REF!</v>
      </c>
    </row>
    <row r="67" spans="1:33" ht="15" customHeight="1" x14ac:dyDescent="0.25">
      <c r="A67" s="17" t="s">
        <v>114</v>
      </c>
      <c r="B67" s="17" t="s">
        <v>121</v>
      </c>
      <c r="C67" s="17" t="s">
        <v>64</v>
      </c>
      <c r="D67" s="17" t="s">
        <v>262</v>
      </c>
      <c r="E67" s="17" t="str">
        <f>IFERROR(INDEX(הגדרות!$I$2:$I$47,MATCH(B67,הגדרות!$H$2:$H$47,0)),"")</f>
        <v>9021-00</v>
      </c>
      <c r="F67" s="17" t="s">
        <v>73</v>
      </c>
      <c r="G67" s="17"/>
      <c r="H67" s="17" t="s">
        <v>95</v>
      </c>
      <c r="I67" s="17" t="s">
        <v>100</v>
      </c>
      <c r="J67" s="17" t="s">
        <v>14</v>
      </c>
      <c r="K67" s="17" t="s">
        <v>14</v>
      </c>
      <c r="L67" s="17" t="s">
        <v>68</v>
      </c>
      <c r="M67" s="17" t="s">
        <v>68</v>
      </c>
      <c r="N67" s="17"/>
      <c r="O67" s="17" t="s">
        <v>14</v>
      </c>
      <c r="P67" s="17" t="s">
        <v>263</v>
      </c>
      <c r="Q67" s="17" t="s">
        <v>14</v>
      </c>
      <c r="R67" s="17"/>
      <c r="S67" s="17" t="s">
        <v>14</v>
      </c>
      <c r="T67" s="17" t="s">
        <v>69</v>
      </c>
      <c r="U67" s="17"/>
      <c r="V67" s="17"/>
      <c r="W67" s="17"/>
      <c r="X67" s="17"/>
      <c r="Y67" s="17"/>
      <c r="Z67" t="str">
        <f>IFERROR(INDEX(הגדרות!$B$2:$B$17,MATCH(H67,הגדרות!$A$2:$A$17,0)),"")</f>
        <v>מיוער</v>
      </c>
      <c r="AA67">
        <f>IFERROR(INDEX(הגדרות!$C$2:$C$17,MATCH(H67,הגדרות!$A$2:$A$17,0)),"")</f>
        <v>0</v>
      </c>
      <c r="AB67" t="str">
        <f>IFERROR(INDEX(הגדרות!$B$2:$B$17,MATCH(I67,הגדרות!$A$2:$A$17,0)),"")</f>
        <v>מיוער</v>
      </c>
      <c r="AC67">
        <f>IFERROR(INDEX(הגדרות!$C$2:$C$17,MATCH(I67,הגדרות!$A$2:$A$17,0)),"")</f>
        <v>0</v>
      </c>
      <c r="AD67">
        <f>IF(AND(מלאי!D67&lt;&gt;"",OR('לוח בקרה'!$B$4="הכל",מלאי!Z67='לוח בקרה'!$B$4,מלאי!AA67='לוח בקרה'!$B$4,מלאי!AB67='לוח בקרה'!$B$4,מלאי!AC67='לוח בקרה'!$B$4),OR('לוח בקרה'!$B$5="הכל",מלאי!A67='לוח בקרה'!$B$5),OR('לוח בקרה'!$B$6="הכל",מלאי!B67='לוח בקרה'!$B$6),OR('לוח בקרה'!$B$7="הכל",מלאי!F67='לוח בקרה'!$B$7,מלאי!G67='לוח בקרה'!$B$7),OR('לוח בקרה'!$B$8="הכל",מלאי!T67='לוח בקרה'!$B$8),OR('לוח בקרה'!$B$9="הכל",מלאי!Q67='לוח בקרה'!$B$9),OR('לוח בקרה'!$E$4="הכל",מלאי!J67='לוח בקרה'!$E$4),OR('לוח בקרה'!$E$5="הכל",מלאי!L67='לוח בקרה'!$E$5),OR('לוח בקרה'!$E$6="הכל",מלאי!O67='לוח בקרה'!$E$6),OR('לוח בקרה'!$E$7="הכל",מלאי!R67='לוח בקרה'!$E$7),OR('לוח בקרה'!$E$8="הכל",'לוח בקרה'!$E$8="",מלאי!W67='לוח בקרה'!$E$8),OR('לוח בקרה'!$E$9="הכל",'לוח בקרה'!$E$9="",ISNUMBER(SEARCH('לוח בקרה'!$E$9,מלאי!C67)))),1,0)</f>
        <v>0</v>
      </c>
      <c r="AE67" t="e">
        <f>IF(AND(מלאי!D67&lt;&gt;"",OR('לוח בקרה טכנו-מבצעי'!$B$4="הכל",מלאי!Z67='לוח בקרה טכנו-מבצעי'!$B$4,מלאי!AA67='לוח בקרה טכנו-מבצעי'!$B$4,מלאי!AB67='לוח בקרה טכנו-מבצעי'!$B$4,מלאי!AC67='לוח בקרה טכנו-מבצעי'!$B$4),OR('לוח בקרה טכנו-מבצעי'!$B$5="הכל",מלאי!A67='לוח בקרה טכנו-מבצעי'!$B$5),OR('לוח בקרה טכנו-מבצעי'!$B$6="הכל",מלאי!B67='לוח בקרה טכנו-מבצעי'!$B$6),OR('לוח בקרה טכנו-מבצעי'!$B$7="הכל",מלאי!F67='לוח בקרה טכנו-מבצעי'!$B$7,מלאי!G67='לוח בקרה טכנו-מבצעי'!$B$7),OR('לוח בקרה טכנו-מבצעי'!$B$8="הכל",מלאי!T67='לוח בקרה טכנו-מבצעי'!$B$8),OR('לוח בקרה טכנו-מבצעי'!$B$9="הכל",מלאי!Q67='לוח בקרה טכנו-מבצעי'!$B$9),OR('לוח בקרה טכנו-מבצעי'!$E$4="הכל",מלאי!J67='לוח בקרה טכנו-מבצעי'!$E$4),OR('לוח בקרה טכנו-מבצעי'!$E$5="הכל",מלאי!L67='לוח בקרה טכנו-מבצעי'!$E$5),OR('לוח בקרה טכנו-מבצעי'!$E$6="הכל",מלאי!O67='לוח בקרה טכנו-מבצעי'!$E$6),OR('לוח בקרה טכנו-מבצעי'!$E$7="הכל",מלאי!R67='לוח בקרה טכנו-מבצעי'!$E$7),OR('לוח בקרה טכנו-מבצעי'!$E$8="הכל",'לוח בקרה טכנו-מבצעי'!$E$8="",מלאי!W67='לוח בקרה טכנו-מבצעי'!$E$8),OR('לוח בקרה טכנו-מבצעי'!$E$9="הכל",'לוח בקרה טכנו-מבצעי'!$E$9="",ISNUMBER(SEARCH('לוח בקרה טכנו-מבצעי'!$E$9,מלאי!C67))),OR('לוח בקרה טכנו-מבצעי'!$B$10="הכל",מלאי!#REF!='לוח בקרה טכנו-מבצעי'!$B$10)),1,0)</f>
        <v>#REF!</v>
      </c>
      <c r="AF67" t="str">
        <f>IF(AD67=1,COUNTIF($AD$3:$AD67,1),"")</f>
        <v/>
      </c>
      <c r="AG67" t="e">
        <f>IF(AE67=1,COUNTIF($AE$3:$AE67,1),"")</f>
        <v>#REF!</v>
      </c>
    </row>
    <row r="68" spans="1:33" ht="15" customHeight="1" x14ac:dyDescent="0.25">
      <c r="A68" s="17" t="s">
        <v>114</v>
      </c>
      <c r="B68" s="17" t="s">
        <v>121</v>
      </c>
      <c r="C68" s="30" t="s">
        <v>64</v>
      </c>
      <c r="D68" s="30" t="s">
        <v>320</v>
      </c>
      <c r="E68" s="17" t="str">
        <f>IFERROR(INDEX(הגדרות!$I$2:$I$47,MATCH(B68,הגדרות!$H$2:$H$47,0)),"")</f>
        <v>9021-00</v>
      </c>
      <c r="F68" s="17" t="s">
        <v>73</v>
      </c>
      <c r="G68" s="17"/>
      <c r="H68" s="17" t="s">
        <v>95</v>
      </c>
      <c r="I68" s="17" t="s">
        <v>67</v>
      </c>
      <c r="J68" s="17" t="s">
        <v>68</v>
      </c>
      <c r="K68" s="17" t="s">
        <v>68</v>
      </c>
      <c r="L68" s="17" t="s">
        <v>68</v>
      </c>
      <c r="M68" s="17" t="s">
        <v>68</v>
      </c>
      <c r="N68" s="17" t="s">
        <v>14</v>
      </c>
      <c r="O68" s="17" t="s">
        <v>14</v>
      </c>
      <c r="P68" s="30" t="s">
        <v>266</v>
      </c>
      <c r="Q68" s="17" t="s">
        <v>14</v>
      </c>
      <c r="R68" s="17"/>
      <c r="S68" s="17" t="s">
        <v>14</v>
      </c>
      <c r="T68" s="17" t="s">
        <v>69</v>
      </c>
      <c r="U68" s="17"/>
      <c r="V68" s="17"/>
      <c r="W68" s="17"/>
      <c r="X68" s="17"/>
      <c r="Y68" s="17"/>
      <c r="Z68" t="str">
        <f>IFERROR(INDEX(הגדרות!$B$2:$B$17,MATCH(H68,הגדרות!$A$2:$A$17,0)),"")</f>
        <v>מיוער</v>
      </c>
      <c r="AA68">
        <f>IFERROR(INDEX(הגדרות!$C$2:$C$17,MATCH(H68,הגדרות!$A$2:$A$17,0)),"")</f>
        <v>0</v>
      </c>
      <c r="AB68" t="str">
        <f>IFERROR(INDEX(הגדרות!$B$2:$B$17,MATCH(I68,הגדרות!$A$2:$A$17,0)),"")</f>
        <v>מדברי</v>
      </c>
      <c r="AC68">
        <f>IFERROR(INDEX(הגדרות!$C$2:$C$17,MATCH(I68,הגדרות!$A$2:$A$17,0)),"")</f>
        <v>0</v>
      </c>
      <c r="AD68">
        <f>IF(AND(מלאי!D68&lt;&gt;"",OR('לוח בקרה'!$B$4="הכל",מלאי!Z68='לוח בקרה'!$B$4,מלאי!AA68='לוח בקרה'!$B$4,מלאי!AB68='לוח בקרה'!$B$4,מלאי!AC68='לוח בקרה'!$B$4),OR('לוח בקרה'!$B$5="הכל",מלאי!A68='לוח בקרה'!$B$5),OR('לוח בקרה'!$B$6="הכל",מלאי!B68='לוח בקרה'!$B$6),OR('לוח בקרה'!$B$7="הכל",מלאי!F68='לוח בקרה'!$B$7,מלאי!G68='לוח בקרה'!$B$7),OR('לוח בקרה'!$B$8="הכל",מלאי!T68='לוח בקרה'!$B$8),OR('לוח בקרה'!$B$9="הכל",מלאי!Q68='לוח בקרה'!$B$9),OR('לוח בקרה'!$E$4="הכל",מלאי!J68='לוח בקרה'!$E$4),OR('לוח בקרה'!$E$5="הכל",מלאי!L68='לוח בקרה'!$E$5),OR('לוח בקרה'!$E$6="הכל",מלאי!O68='לוח בקרה'!$E$6),OR('לוח בקרה'!$E$7="הכל",מלאי!R68='לוח בקרה'!$E$7),OR('לוח בקרה'!$E$8="הכל",'לוח בקרה'!$E$8="",מלאי!W68='לוח בקרה'!$E$8),OR('לוח בקרה'!$E$9="הכל",'לוח בקרה'!$E$9="",ISNUMBER(SEARCH('לוח בקרה'!$E$9,מלאי!C68)))),1,0)</f>
        <v>0</v>
      </c>
      <c r="AE68" t="e">
        <f>IF(AND(מלאי!D68&lt;&gt;"",OR('לוח בקרה טכנו-מבצעי'!$B$4="הכל",מלאי!Z68='לוח בקרה טכנו-מבצעי'!$B$4,מלאי!AA68='לוח בקרה טכנו-מבצעי'!$B$4,מלאי!AB68='לוח בקרה טכנו-מבצעי'!$B$4,מלאי!AC68='לוח בקרה טכנו-מבצעי'!$B$4),OR('לוח בקרה טכנו-מבצעי'!$B$5="הכל",מלאי!A68='לוח בקרה טכנו-מבצעי'!$B$5),OR('לוח בקרה טכנו-מבצעי'!$B$6="הכל",מלאי!B68='לוח בקרה טכנו-מבצעי'!$B$6),OR('לוח בקרה טכנו-מבצעי'!$B$7="הכל",מלאי!F68='לוח בקרה טכנו-מבצעי'!$B$7,מלאי!G68='לוח בקרה טכנו-מבצעי'!$B$7),OR('לוח בקרה טכנו-מבצעי'!$B$8="הכל",מלאי!T68='לוח בקרה טכנו-מבצעי'!$B$8),OR('לוח בקרה טכנו-מבצעי'!$B$9="הכל",מלאי!Q68='לוח בקרה טכנו-מבצעי'!$B$9),OR('לוח בקרה טכנו-מבצעי'!$E$4="הכל",מלאי!J68='לוח בקרה טכנו-מבצעי'!$E$4),OR('לוח בקרה טכנו-מבצעי'!$E$5="הכל",מלאי!L68='לוח בקרה טכנו-מבצעי'!$E$5),OR('לוח בקרה טכנו-מבצעי'!$E$6="הכל",מלאי!O68='לוח בקרה טכנו-מבצעי'!$E$6),OR('לוח בקרה טכנו-מבצעי'!$E$7="הכל",מלאי!R68='לוח בקרה טכנו-מבצעי'!$E$7),OR('לוח בקרה טכנו-מבצעי'!$E$8="הכל",'לוח בקרה טכנו-מבצעי'!$E$8="",מלאי!W68='לוח בקרה טכנו-מבצעי'!$E$8),OR('לוח בקרה טכנו-מבצעי'!$E$9="הכל",'לוח בקרה טכנו-מבצעי'!$E$9="",ISNUMBER(SEARCH('לוח בקרה טכנו-מבצעי'!$E$9,מלאי!C68))),OR('לוח בקרה טכנו-מבצעי'!$B$10="הכל",מלאי!#REF!='לוח בקרה טכנו-מבצעי'!$B$10)),1,0)</f>
        <v>#REF!</v>
      </c>
      <c r="AF68" t="str">
        <f>IF(AD68=1,COUNTIF($AD$3:$AD68,1),"")</f>
        <v/>
      </c>
      <c r="AG68" t="e">
        <f>IF(AE68=1,COUNTIF($AE$3:$AE68,1),"")</f>
        <v>#REF!</v>
      </c>
    </row>
    <row r="69" spans="1:33" ht="15" customHeight="1" x14ac:dyDescent="0.25">
      <c r="A69" s="17" t="s">
        <v>114</v>
      </c>
      <c r="B69" s="17" t="s">
        <v>121</v>
      </c>
      <c r="C69" s="30" t="s">
        <v>64</v>
      </c>
      <c r="D69" s="30" t="s">
        <v>321</v>
      </c>
      <c r="E69" s="17" t="str">
        <f>IFERROR(INDEX(הגדרות!$I$2:$I$47,MATCH(B69,הגדרות!$H$2:$H$47,0)),"")</f>
        <v>9021-00</v>
      </c>
      <c r="F69" s="17" t="s">
        <v>73</v>
      </c>
      <c r="G69" s="17"/>
      <c r="H69" s="17" t="s">
        <v>95</v>
      </c>
      <c r="I69" s="17" t="s">
        <v>67</v>
      </c>
      <c r="J69" s="17" t="s">
        <v>68</v>
      </c>
      <c r="K69" s="17" t="s">
        <v>68</v>
      </c>
      <c r="L69" s="17" t="s">
        <v>68</v>
      </c>
      <c r="M69" s="17" t="s">
        <v>68</v>
      </c>
      <c r="N69" s="17" t="s">
        <v>14</v>
      </c>
      <c r="O69" s="17" t="s">
        <v>14</v>
      </c>
      <c r="P69" s="30" t="s">
        <v>266</v>
      </c>
      <c r="Q69" s="17" t="s">
        <v>14</v>
      </c>
      <c r="R69" s="17"/>
      <c r="S69" s="17" t="s">
        <v>14</v>
      </c>
      <c r="T69" s="17" t="s">
        <v>69</v>
      </c>
      <c r="U69" s="17"/>
      <c r="V69" s="17"/>
      <c r="W69" s="17"/>
      <c r="X69" s="17"/>
      <c r="Y69" s="17"/>
      <c r="Z69" t="str">
        <f>IFERROR(INDEX(הגדרות!$B$2:$B$17,MATCH(H69,הגדרות!$A$2:$A$17,0)),"")</f>
        <v>מיוער</v>
      </c>
      <c r="AA69">
        <f>IFERROR(INDEX(הגדרות!$C$2:$C$17,MATCH(H69,הגדרות!$A$2:$A$17,0)),"")</f>
        <v>0</v>
      </c>
      <c r="AB69" t="str">
        <f>IFERROR(INDEX(הגדרות!$B$2:$B$17,MATCH(I69,הגדרות!$A$2:$A$17,0)),"")</f>
        <v>מדברי</v>
      </c>
      <c r="AC69">
        <f>IFERROR(INDEX(הגדרות!$C$2:$C$17,MATCH(I69,הגדרות!$A$2:$A$17,0)),"")</f>
        <v>0</v>
      </c>
      <c r="AD69">
        <f>IF(AND(מלאי!D69&lt;&gt;"",OR('לוח בקרה'!$B$4="הכל",מלאי!Z69='לוח בקרה'!$B$4,מלאי!AA69='לוח בקרה'!$B$4,מלאי!AB69='לוח בקרה'!$B$4,מלאי!AC69='לוח בקרה'!$B$4),OR('לוח בקרה'!$B$5="הכל",מלאי!A69='לוח בקרה'!$B$5),OR('לוח בקרה'!$B$6="הכל",מלאי!B69='לוח בקרה'!$B$6),OR('לוח בקרה'!$B$7="הכל",מלאי!F69='לוח בקרה'!$B$7,מלאי!G69='לוח בקרה'!$B$7),OR('לוח בקרה'!$B$8="הכל",מלאי!T69='לוח בקרה'!$B$8),OR('לוח בקרה'!$B$9="הכל",מלאי!Q69='לוח בקרה'!$B$9),OR('לוח בקרה'!$E$4="הכל",מלאי!J69='לוח בקרה'!$E$4),OR('לוח בקרה'!$E$5="הכל",מלאי!L69='לוח בקרה'!$E$5),OR('לוח בקרה'!$E$6="הכל",מלאי!O69='לוח בקרה'!$E$6),OR('לוח בקרה'!$E$7="הכל",מלאי!R69='לוח בקרה'!$E$7),OR('לוח בקרה'!$E$8="הכל",'לוח בקרה'!$E$8="",מלאי!W69='לוח בקרה'!$E$8),OR('לוח בקרה'!$E$9="הכל",'לוח בקרה'!$E$9="",ISNUMBER(SEARCH('לוח בקרה'!$E$9,מלאי!C69)))),1,0)</f>
        <v>0</v>
      </c>
      <c r="AE69" t="e">
        <f>IF(AND(מלאי!D69&lt;&gt;"",OR('לוח בקרה טכנו-מבצעי'!$B$4="הכל",מלאי!Z69='לוח בקרה טכנו-מבצעי'!$B$4,מלאי!AA69='לוח בקרה טכנו-מבצעי'!$B$4,מלאי!AB69='לוח בקרה טכנו-מבצעי'!$B$4,מלאי!AC69='לוח בקרה טכנו-מבצעי'!$B$4),OR('לוח בקרה טכנו-מבצעי'!$B$5="הכל",מלאי!A69='לוח בקרה טכנו-מבצעי'!$B$5),OR('לוח בקרה טכנו-מבצעי'!$B$6="הכל",מלאי!B69='לוח בקרה טכנו-מבצעי'!$B$6),OR('לוח בקרה טכנו-מבצעי'!$B$7="הכל",מלאי!F69='לוח בקרה טכנו-מבצעי'!$B$7,מלאי!G69='לוח בקרה טכנו-מבצעי'!$B$7),OR('לוח בקרה טכנו-מבצעי'!$B$8="הכל",מלאי!T69='לוח בקרה טכנו-מבצעי'!$B$8),OR('לוח בקרה טכנו-מבצעי'!$B$9="הכל",מלאי!Q69='לוח בקרה טכנו-מבצעי'!$B$9),OR('לוח בקרה טכנו-מבצעי'!$E$4="הכל",מלאי!J69='לוח בקרה טכנו-מבצעי'!$E$4),OR('לוח בקרה טכנו-מבצעי'!$E$5="הכל",מלאי!L69='לוח בקרה טכנו-מבצעי'!$E$5),OR('לוח בקרה טכנו-מבצעי'!$E$6="הכל",מלאי!O69='לוח בקרה טכנו-מבצעי'!$E$6),OR('לוח בקרה טכנו-מבצעי'!$E$7="הכל",מלאי!R69='לוח בקרה טכנו-מבצעי'!$E$7),OR('לוח בקרה טכנו-מבצעי'!$E$8="הכל",'לוח בקרה טכנו-מבצעי'!$E$8="",מלאי!W69='לוח בקרה טכנו-מבצעי'!$E$8),OR('לוח בקרה טכנו-מבצעי'!$E$9="הכל",'לוח בקרה טכנו-מבצעי'!$E$9="",ISNUMBER(SEARCH('לוח בקרה טכנו-מבצעי'!$E$9,מלאי!C69))),OR('לוח בקרה טכנו-מבצעי'!$B$10="הכל",מלאי!#REF!='לוח בקרה טכנו-מבצעי'!$B$10)),1,0)</f>
        <v>#REF!</v>
      </c>
      <c r="AF69" t="str">
        <f>IF(AD69=1,COUNTIF($AD$3:$AD69,1),"")</f>
        <v/>
      </c>
      <c r="AG69" t="e">
        <f>IF(AE69=1,COUNTIF($AE$3:$AE69,1),"")</f>
        <v>#REF!</v>
      </c>
    </row>
    <row r="70" spans="1:33" ht="15" customHeight="1" x14ac:dyDescent="0.25">
      <c r="A70" s="17" t="s">
        <v>114</v>
      </c>
      <c r="B70" s="17" t="s">
        <v>121</v>
      </c>
      <c r="C70" s="30" t="s">
        <v>64</v>
      </c>
      <c r="D70" s="30" t="s">
        <v>322</v>
      </c>
      <c r="E70" s="17" t="str">
        <f>IFERROR(INDEX(הגדרות!$I$2:$I$47,MATCH(B70,הגדרות!$H$2:$H$47,0)),"")</f>
        <v>9021-00</v>
      </c>
      <c r="F70" s="17" t="s">
        <v>73</v>
      </c>
      <c r="G70" s="17"/>
      <c r="H70" s="17" t="s">
        <v>95</v>
      </c>
      <c r="I70" s="17" t="s">
        <v>67</v>
      </c>
      <c r="J70" s="17" t="s">
        <v>68</v>
      </c>
      <c r="K70" s="17" t="s">
        <v>68</v>
      </c>
      <c r="L70" s="17" t="s">
        <v>68</v>
      </c>
      <c r="M70" s="17" t="s">
        <v>68</v>
      </c>
      <c r="N70" s="17" t="s">
        <v>14</v>
      </c>
      <c r="O70" s="17" t="s">
        <v>14</v>
      </c>
      <c r="P70" s="30" t="s">
        <v>266</v>
      </c>
      <c r="Q70" s="17" t="s">
        <v>14</v>
      </c>
      <c r="R70" s="17"/>
      <c r="S70" s="17" t="s">
        <v>14</v>
      </c>
      <c r="T70" s="17" t="s">
        <v>69</v>
      </c>
      <c r="U70" s="17"/>
      <c r="V70" s="17"/>
      <c r="W70" s="17"/>
      <c r="X70" s="17"/>
      <c r="Y70" s="17"/>
      <c r="Z70" t="str">
        <f>IFERROR(INDEX(הגדרות!$B$2:$B$17,MATCH(H70,הגדרות!$A$2:$A$17,0)),"")</f>
        <v>מיוער</v>
      </c>
      <c r="AA70">
        <f>IFERROR(INDEX(הגדרות!$C$2:$C$17,MATCH(H70,הגדרות!$A$2:$A$17,0)),"")</f>
        <v>0</v>
      </c>
      <c r="AB70" t="str">
        <f>IFERROR(INDEX(הגדרות!$B$2:$B$17,MATCH(I70,הגדרות!$A$2:$A$17,0)),"")</f>
        <v>מדברי</v>
      </c>
      <c r="AC70">
        <f>IFERROR(INDEX(הגדרות!$C$2:$C$17,MATCH(I70,הגדרות!$A$2:$A$17,0)),"")</f>
        <v>0</v>
      </c>
      <c r="AD70">
        <f>IF(AND(מלאי!D70&lt;&gt;"",OR('לוח בקרה'!$B$4="הכל",מלאי!Z70='לוח בקרה'!$B$4,מלאי!AA70='לוח בקרה'!$B$4,מלאי!AB70='לוח בקרה'!$B$4,מלאי!AC70='לוח בקרה'!$B$4),OR('לוח בקרה'!$B$5="הכל",מלאי!A70='לוח בקרה'!$B$5),OR('לוח בקרה'!$B$6="הכל",מלאי!B70='לוח בקרה'!$B$6),OR('לוח בקרה'!$B$7="הכל",מלאי!F70='לוח בקרה'!$B$7,מלאי!G70='לוח בקרה'!$B$7),OR('לוח בקרה'!$B$8="הכל",מלאי!T70='לוח בקרה'!$B$8),OR('לוח בקרה'!$B$9="הכל",מלאי!Q70='לוח בקרה'!$B$9),OR('לוח בקרה'!$E$4="הכל",מלאי!J70='לוח בקרה'!$E$4),OR('לוח בקרה'!$E$5="הכל",מלאי!L70='לוח בקרה'!$E$5),OR('לוח בקרה'!$E$6="הכל",מלאי!O70='לוח בקרה'!$E$6),OR('לוח בקרה'!$E$7="הכל",מלאי!R70='לוח בקרה'!$E$7),OR('לוח בקרה'!$E$8="הכל",'לוח בקרה'!$E$8="",מלאי!W70='לוח בקרה'!$E$8),OR('לוח בקרה'!$E$9="הכל",'לוח בקרה'!$E$9="",ISNUMBER(SEARCH('לוח בקרה'!$E$9,מלאי!C70)))),1,0)</f>
        <v>0</v>
      </c>
      <c r="AE70" t="e">
        <f>IF(AND(מלאי!D70&lt;&gt;"",OR('לוח בקרה טכנו-מבצעי'!$B$4="הכל",מלאי!Z70='לוח בקרה טכנו-מבצעי'!$B$4,מלאי!AA70='לוח בקרה טכנו-מבצעי'!$B$4,מלאי!AB70='לוח בקרה טכנו-מבצעי'!$B$4,מלאי!AC70='לוח בקרה טכנו-מבצעי'!$B$4),OR('לוח בקרה טכנו-מבצעי'!$B$5="הכל",מלאי!A70='לוח בקרה טכנו-מבצעי'!$B$5),OR('לוח בקרה טכנו-מבצעי'!$B$6="הכל",מלאי!B70='לוח בקרה טכנו-מבצעי'!$B$6),OR('לוח בקרה טכנו-מבצעי'!$B$7="הכל",מלאי!F70='לוח בקרה טכנו-מבצעי'!$B$7,מלאי!G70='לוח בקרה טכנו-מבצעי'!$B$7),OR('לוח בקרה טכנו-מבצעי'!$B$8="הכל",מלאי!T70='לוח בקרה טכנו-מבצעי'!$B$8),OR('לוח בקרה טכנו-מבצעי'!$B$9="הכל",מלאי!Q70='לוח בקרה טכנו-מבצעי'!$B$9),OR('לוח בקרה טכנו-מבצעי'!$E$4="הכל",מלאי!J70='לוח בקרה טכנו-מבצעי'!$E$4),OR('לוח בקרה טכנו-מבצעי'!$E$5="הכל",מלאי!L70='לוח בקרה טכנו-מבצעי'!$E$5),OR('לוח בקרה טכנו-מבצעי'!$E$6="הכל",מלאי!O70='לוח בקרה טכנו-מבצעי'!$E$6),OR('לוח בקרה טכנו-מבצעי'!$E$7="הכל",מלאי!R70='לוח בקרה טכנו-מבצעי'!$E$7),OR('לוח בקרה טכנו-מבצעי'!$E$8="הכל",'לוח בקרה טכנו-מבצעי'!$E$8="",מלאי!W70='לוח בקרה טכנו-מבצעי'!$E$8),OR('לוח בקרה טכנו-מבצעי'!$E$9="הכל",'לוח בקרה טכנו-מבצעי'!$E$9="",ISNUMBER(SEARCH('לוח בקרה טכנו-מבצעי'!$E$9,מלאי!C70))),OR('לוח בקרה טכנו-מבצעי'!$B$10="הכל",מלאי!#REF!='לוח בקרה טכנו-מבצעי'!$B$10)),1,0)</f>
        <v>#REF!</v>
      </c>
      <c r="AF70" t="str">
        <f>IF(AD70=1,COUNTIF($AD$3:$AD70,1),"")</f>
        <v/>
      </c>
      <c r="AG70" t="e">
        <f>IF(AE70=1,COUNTIF($AE$3:$AE70,1),"")</f>
        <v>#REF!</v>
      </c>
    </row>
    <row r="71" spans="1:33" ht="15" customHeight="1" x14ac:dyDescent="0.25">
      <c r="A71" s="17" t="s">
        <v>114</v>
      </c>
      <c r="B71" s="17" t="s">
        <v>121</v>
      </c>
      <c r="C71" s="30" t="s">
        <v>64</v>
      </c>
      <c r="D71" s="30" t="s">
        <v>323</v>
      </c>
      <c r="E71" s="17" t="str">
        <f>IFERROR(INDEX(הגדרות!$I$2:$I$47,MATCH(B71,הגדרות!$H$2:$H$47,0)),"")</f>
        <v>9021-00</v>
      </c>
      <c r="F71" s="17" t="s">
        <v>73</v>
      </c>
      <c r="G71" s="17"/>
      <c r="H71" s="17" t="s">
        <v>95</v>
      </c>
      <c r="I71" s="17" t="s">
        <v>67</v>
      </c>
      <c r="J71" s="17" t="s">
        <v>68</v>
      </c>
      <c r="K71" s="17" t="s">
        <v>68</v>
      </c>
      <c r="L71" s="17" t="s">
        <v>68</v>
      </c>
      <c r="M71" s="17" t="s">
        <v>68</v>
      </c>
      <c r="N71" s="17" t="s">
        <v>14</v>
      </c>
      <c r="O71" s="17" t="s">
        <v>14</v>
      </c>
      <c r="P71" s="30" t="s">
        <v>266</v>
      </c>
      <c r="Q71" s="17" t="s">
        <v>14</v>
      </c>
      <c r="R71" s="17"/>
      <c r="S71" s="17" t="s">
        <v>14</v>
      </c>
      <c r="T71" s="17" t="s">
        <v>69</v>
      </c>
      <c r="U71" s="17"/>
      <c r="V71" s="17"/>
      <c r="W71" s="17"/>
      <c r="X71" s="17"/>
      <c r="Y71" s="17"/>
      <c r="Z71" t="str">
        <f>IFERROR(INDEX(הגדרות!$B$2:$B$17,MATCH(H71,הגדרות!$A$2:$A$17,0)),"")</f>
        <v>מיוער</v>
      </c>
      <c r="AA71">
        <f>IFERROR(INDEX(הגדרות!$C$2:$C$17,MATCH(H71,הגדרות!$A$2:$A$17,0)),"")</f>
        <v>0</v>
      </c>
      <c r="AB71" t="str">
        <f>IFERROR(INDEX(הגדרות!$B$2:$B$17,MATCH(I71,הגדרות!$A$2:$A$17,0)),"")</f>
        <v>מדברי</v>
      </c>
      <c r="AC71">
        <f>IFERROR(INDEX(הגדרות!$C$2:$C$17,MATCH(I71,הגדרות!$A$2:$A$17,0)),"")</f>
        <v>0</v>
      </c>
      <c r="AD71">
        <f>IF(AND(מלאי!D71&lt;&gt;"",OR('לוח בקרה'!$B$4="הכל",מלאי!Z71='לוח בקרה'!$B$4,מלאי!AA71='לוח בקרה'!$B$4,מלאי!AB71='לוח בקרה'!$B$4,מלאי!AC71='לוח בקרה'!$B$4),OR('לוח בקרה'!$B$5="הכל",מלאי!A71='לוח בקרה'!$B$5),OR('לוח בקרה'!$B$6="הכל",מלאי!B71='לוח בקרה'!$B$6),OR('לוח בקרה'!$B$7="הכל",מלאי!F71='לוח בקרה'!$B$7,מלאי!G71='לוח בקרה'!$B$7),OR('לוח בקרה'!$B$8="הכל",מלאי!T71='לוח בקרה'!$B$8),OR('לוח בקרה'!$B$9="הכל",מלאי!Q71='לוח בקרה'!$B$9),OR('לוח בקרה'!$E$4="הכל",מלאי!J71='לוח בקרה'!$E$4),OR('לוח בקרה'!$E$5="הכל",מלאי!L71='לוח בקרה'!$E$5),OR('לוח בקרה'!$E$6="הכל",מלאי!O71='לוח בקרה'!$E$6),OR('לוח בקרה'!$E$7="הכל",מלאי!R71='לוח בקרה'!$E$7),OR('לוח בקרה'!$E$8="הכל",'לוח בקרה'!$E$8="",מלאי!W71='לוח בקרה'!$E$8),OR('לוח בקרה'!$E$9="הכל",'לוח בקרה'!$E$9="",ISNUMBER(SEARCH('לוח בקרה'!$E$9,מלאי!C71)))),1,0)</f>
        <v>0</v>
      </c>
      <c r="AE71" t="e">
        <f>IF(AND(מלאי!D71&lt;&gt;"",OR('לוח בקרה טכנו-מבצעי'!$B$4="הכל",מלאי!Z71='לוח בקרה טכנו-מבצעי'!$B$4,מלאי!AA71='לוח בקרה טכנו-מבצעי'!$B$4,מלאי!AB71='לוח בקרה טכנו-מבצעי'!$B$4,מלאי!AC71='לוח בקרה טכנו-מבצעי'!$B$4),OR('לוח בקרה טכנו-מבצעי'!$B$5="הכל",מלאי!A71='לוח בקרה טכנו-מבצעי'!$B$5),OR('לוח בקרה טכנו-מבצעי'!$B$6="הכל",מלאי!B71='לוח בקרה טכנו-מבצעי'!$B$6),OR('לוח בקרה טכנו-מבצעי'!$B$7="הכל",מלאי!F71='לוח בקרה טכנו-מבצעי'!$B$7,מלאי!G71='לוח בקרה טכנו-מבצעי'!$B$7),OR('לוח בקרה טכנו-מבצעי'!$B$8="הכל",מלאי!T71='לוח בקרה טכנו-מבצעי'!$B$8),OR('לוח בקרה טכנו-מבצעי'!$B$9="הכל",מלאי!Q71='לוח בקרה טכנו-מבצעי'!$B$9),OR('לוח בקרה טכנו-מבצעי'!$E$4="הכל",מלאי!J71='לוח בקרה טכנו-מבצעי'!$E$4),OR('לוח בקרה טכנו-מבצעי'!$E$5="הכל",מלאי!L71='לוח בקרה טכנו-מבצעי'!$E$5),OR('לוח בקרה טכנו-מבצעי'!$E$6="הכל",מלאי!O71='לוח בקרה טכנו-מבצעי'!$E$6),OR('לוח בקרה טכנו-מבצעי'!$E$7="הכל",מלאי!R71='לוח בקרה טכנו-מבצעי'!$E$7),OR('לוח בקרה טכנו-מבצעי'!$E$8="הכל",'לוח בקרה טכנו-מבצעי'!$E$8="",מלאי!W71='לוח בקרה טכנו-מבצעי'!$E$8),OR('לוח בקרה טכנו-מבצעי'!$E$9="הכל",'לוח בקרה טכנו-מבצעי'!$E$9="",ISNUMBER(SEARCH('לוח בקרה טכנו-מבצעי'!$E$9,מלאי!C71))),OR('לוח בקרה טכנו-מבצעי'!$B$10="הכל",מלאי!#REF!='לוח בקרה טכנו-מבצעי'!$B$10)),1,0)</f>
        <v>#REF!</v>
      </c>
      <c r="AF71" t="str">
        <f>IF(AD71=1,COUNTIF($AD$3:$AD71,1),"")</f>
        <v/>
      </c>
      <c r="AG71" t="e">
        <f>IF(AE71=1,COUNTIF($AE$3:$AE71,1),"")</f>
        <v>#REF!</v>
      </c>
    </row>
    <row r="72" spans="1:33" ht="15" customHeight="1" x14ac:dyDescent="0.25">
      <c r="A72" s="17" t="s">
        <v>114</v>
      </c>
      <c r="B72" s="17" t="s">
        <v>121</v>
      </c>
      <c r="C72" s="30" t="s">
        <v>64</v>
      </c>
      <c r="D72" s="30" t="s">
        <v>324</v>
      </c>
      <c r="E72" s="17" t="str">
        <f>IFERROR(INDEX(הגדרות!$I$2:$I$47,MATCH(B72,הגדרות!$H$2:$H$47,0)),"")</f>
        <v>9021-00</v>
      </c>
      <c r="F72" s="17" t="s">
        <v>73</v>
      </c>
      <c r="G72" s="17"/>
      <c r="H72" s="17" t="s">
        <v>95</v>
      </c>
      <c r="I72" s="17" t="s">
        <v>67</v>
      </c>
      <c r="J72" s="17" t="s">
        <v>68</v>
      </c>
      <c r="K72" s="17" t="s">
        <v>68</v>
      </c>
      <c r="L72" s="17" t="s">
        <v>68</v>
      </c>
      <c r="M72" s="17" t="s">
        <v>68</v>
      </c>
      <c r="N72" s="17" t="s">
        <v>14</v>
      </c>
      <c r="O72" s="17" t="s">
        <v>14</v>
      </c>
      <c r="P72" s="30" t="s">
        <v>266</v>
      </c>
      <c r="Q72" s="17" t="s">
        <v>14</v>
      </c>
      <c r="R72" s="17"/>
      <c r="S72" s="17" t="s">
        <v>14</v>
      </c>
      <c r="T72" s="17" t="s">
        <v>69</v>
      </c>
      <c r="U72" s="17"/>
      <c r="V72" s="17"/>
      <c r="W72" s="17"/>
      <c r="X72" s="17"/>
      <c r="Y72" s="17"/>
      <c r="Z72" t="str">
        <f>IFERROR(INDEX(הגדרות!$B$2:$B$17,MATCH(H72,הגדרות!$A$2:$A$17,0)),"")</f>
        <v>מיוער</v>
      </c>
      <c r="AA72">
        <f>IFERROR(INDEX(הגדרות!$C$2:$C$17,MATCH(H72,הגדרות!$A$2:$A$17,0)),"")</f>
        <v>0</v>
      </c>
      <c r="AB72" t="str">
        <f>IFERROR(INDEX(הגדרות!$B$2:$B$17,MATCH(I72,הגדרות!$A$2:$A$17,0)),"")</f>
        <v>מדברי</v>
      </c>
      <c r="AC72">
        <f>IFERROR(INDEX(הגדרות!$C$2:$C$17,MATCH(I72,הגדרות!$A$2:$A$17,0)),"")</f>
        <v>0</v>
      </c>
      <c r="AD72">
        <f>IF(AND(מלאי!D72&lt;&gt;"",OR('לוח בקרה'!$B$4="הכל",מלאי!Z72='לוח בקרה'!$B$4,מלאי!AA72='לוח בקרה'!$B$4,מלאי!AB72='לוח בקרה'!$B$4,מלאי!AC72='לוח בקרה'!$B$4),OR('לוח בקרה'!$B$5="הכל",מלאי!A72='לוח בקרה'!$B$5),OR('לוח בקרה'!$B$6="הכל",מלאי!B72='לוח בקרה'!$B$6),OR('לוח בקרה'!$B$7="הכל",מלאי!F72='לוח בקרה'!$B$7,מלאי!G72='לוח בקרה'!$B$7),OR('לוח בקרה'!$B$8="הכל",מלאי!T72='לוח בקרה'!$B$8),OR('לוח בקרה'!$B$9="הכל",מלאי!Q72='לוח בקרה'!$B$9),OR('לוח בקרה'!$E$4="הכל",מלאי!J72='לוח בקרה'!$E$4),OR('לוח בקרה'!$E$5="הכל",מלאי!L72='לוח בקרה'!$E$5),OR('לוח בקרה'!$E$6="הכל",מלאי!O72='לוח בקרה'!$E$6),OR('לוח בקרה'!$E$7="הכל",מלאי!R72='לוח בקרה'!$E$7),OR('לוח בקרה'!$E$8="הכל",'לוח בקרה'!$E$8="",מלאי!W72='לוח בקרה'!$E$8),OR('לוח בקרה'!$E$9="הכל",'לוח בקרה'!$E$9="",ISNUMBER(SEARCH('לוח בקרה'!$E$9,מלאי!C72)))),1,0)</f>
        <v>0</v>
      </c>
      <c r="AE72" t="e">
        <f>IF(AND(מלאי!D72&lt;&gt;"",OR('לוח בקרה טכנו-מבצעי'!$B$4="הכל",מלאי!Z72='לוח בקרה טכנו-מבצעי'!$B$4,מלאי!AA72='לוח בקרה טכנו-מבצעי'!$B$4,מלאי!AB72='לוח בקרה טכנו-מבצעי'!$B$4,מלאי!AC72='לוח בקרה טכנו-מבצעי'!$B$4),OR('לוח בקרה טכנו-מבצעי'!$B$5="הכל",מלאי!A72='לוח בקרה טכנו-מבצעי'!$B$5),OR('לוח בקרה טכנו-מבצעי'!$B$6="הכל",מלאי!B72='לוח בקרה טכנו-מבצעי'!$B$6),OR('לוח בקרה טכנו-מבצעי'!$B$7="הכל",מלאי!F72='לוח בקרה טכנו-מבצעי'!$B$7,מלאי!G72='לוח בקרה טכנו-מבצעי'!$B$7),OR('לוח בקרה טכנו-מבצעי'!$B$8="הכל",מלאי!T72='לוח בקרה טכנו-מבצעי'!$B$8),OR('לוח בקרה טכנו-מבצעי'!$B$9="הכל",מלאי!Q72='לוח בקרה טכנו-מבצעי'!$B$9),OR('לוח בקרה טכנו-מבצעי'!$E$4="הכל",מלאי!J72='לוח בקרה טכנו-מבצעי'!$E$4),OR('לוח בקרה טכנו-מבצעי'!$E$5="הכל",מלאי!L72='לוח בקרה טכנו-מבצעי'!$E$5),OR('לוח בקרה טכנו-מבצעי'!$E$6="הכל",מלאי!O72='לוח בקרה טכנו-מבצעי'!$E$6),OR('לוח בקרה טכנו-מבצעי'!$E$7="הכל",מלאי!R72='לוח בקרה טכנו-מבצעי'!$E$7),OR('לוח בקרה טכנו-מבצעי'!$E$8="הכל",'לוח בקרה טכנו-מבצעי'!$E$8="",מלאי!W72='לוח בקרה טכנו-מבצעי'!$E$8),OR('לוח בקרה טכנו-מבצעי'!$E$9="הכל",'לוח בקרה טכנו-מבצעי'!$E$9="",ISNUMBER(SEARCH('לוח בקרה טכנו-מבצעי'!$E$9,מלאי!C72))),OR('לוח בקרה טכנו-מבצעי'!$B$10="הכל",מלאי!#REF!='לוח בקרה טכנו-מבצעי'!$B$10)),1,0)</f>
        <v>#REF!</v>
      </c>
      <c r="AF72" t="str">
        <f>IF(AD72=1,COUNTIF($AD$3:$AD72,1),"")</f>
        <v/>
      </c>
      <c r="AG72" t="e">
        <f>IF(AE72=1,COUNTIF($AE$3:$AE72,1),"")</f>
        <v>#REF!</v>
      </c>
    </row>
    <row r="73" spans="1:33" ht="15" customHeight="1" x14ac:dyDescent="0.25">
      <c r="A73" s="17" t="s">
        <v>114</v>
      </c>
      <c r="B73" s="17" t="s">
        <v>121</v>
      </c>
      <c r="C73" s="30" t="s">
        <v>64</v>
      </c>
      <c r="D73" s="30" t="s">
        <v>325</v>
      </c>
      <c r="E73" s="17" t="str">
        <f>IFERROR(INDEX(הגדרות!$I$2:$I$47,MATCH(B73,הגדרות!$H$2:$H$47,0)),"")</f>
        <v>9021-00</v>
      </c>
      <c r="F73" s="17" t="s">
        <v>73</v>
      </c>
      <c r="G73" s="17"/>
      <c r="H73" s="17" t="s">
        <v>95</v>
      </c>
      <c r="I73" s="17" t="s">
        <v>67</v>
      </c>
      <c r="J73" s="17" t="s">
        <v>68</v>
      </c>
      <c r="K73" s="17" t="s">
        <v>68</v>
      </c>
      <c r="L73" s="17" t="s">
        <v>68</v>
      </c>
      <c r="M73" s="17" t="s">
        <v>68</v>
      </c>
      <c r="N73" s="17" t="s">
        <v>14</v>
      </c>
      <c r="O73" s="17" t="s">
        <v>14</v>
      </c>
      <c r="P73" s="30" t="s">
        <v>266</v>
      </c>
      <c r="Q73" s="17" t="s">
        <v>14</v>
      </c>
      <c r="R73" s="17"/>
      <c r="S73" s="17" t="s">
        <v>14</v>
      </c>
      <c r="T73" s="17" t="s">
        <v>69</v>
      </c>
      <c r="U73" s="17"/>
      <c r="V73" s="17"/>
      <c r="W73" s="17"/>
      <c r="X73" s="17"/>
      <c r="Y73" s="17"/>
      <c r="Z73" t="str">
        <f>IFERROR(INDEX(הגדרות!$B$2:$B$17,MATCH(H73,הגדרות!$A$2:$A$17,0)),"")</f>
        <v>מיוער</v>
      </c>
      <c r="AA73">
        <f>IFERROR(INDEX(הגדרות!$C$2:$C$17,MATCH(H73,הגדרות!$A$2:$A$17,0)),"")</f>
        <v>0</v>
      </c>
      <c r="AB73" t="str">
        <f>IFERROR(INDEX(הגדרות!$B$2:$B$17,MATCH(I73,הגדרות!$A$2:$A$17,0)),"")</f>
        <v>מדברי</v>
      </c>
      <c r="AC73">
        <f>IFERROR(INDEX(הגדרות!$C$2:$C$17,MATCH(I73,הגדרות!$A$2:$A$17,0)),"")</f>
        <v>0</v>
      </c>
      <c r="AD73">
        <f>IF(AND(מלאי!D73&lt;&gt;"",OR('לוח בקרה'!$B$4="הכל",מלאי!Z73='לוח בקרה'!$B$4,מלאי!AA73='לוח בקרה'!$B$4,מלאי!AB73='לוח בקרה'!$B$4,מלאי!AC73='לוח בקרה'!$B$4),OR('לוח בקרה'!$B$5="הכל",מלאי!A73='לוח בקרה'!$B$5),OR('לוח בקרה'!$B$6="הכל",מלאי!B73='לוח בקרה'!$B$6),OR('לוח בקרה'!$B$7="הכל",מלאי!F73='לוח בקרה'!$B$7,מלאי!G73='לוח בקרה'!$B$7),OR('לוח בקרה'!$B$8="הכל",מלאי!T73='לוח בקרה'!$B$8),OR('לוח בקרה'!$B$9="הכל",מלאי!Q73='לוח בקרה'!$B$9),OR('לוח בקרה'!$E$4="הכל",מלאי!J73='לוח בקרה'!$E$4),OR('לוח בקרה'!$E$5="הכל",מלאי!L73='לוח בקרה'!$E$5),OR('לוח בקרה'!$E$6="הכל",מלאי!O73='לוח בקרה'!$E$6),OR('לוח בקרה'!$E$7="הכל",מלאי!R73='לוח בקרה'!$E$7),OR('לוח בקרה'!$E$8="הכל",'לוח בקרה'!$E$8="",מלאי!W73='לוח בקרה'!$E$8),OR('לוח בקרה'!$E$9="הכל",'לוח בקרה'!$E$9="",ISNUMBER(SEARCH('לוח בקרה'!$E$9,מלאי!C73)))),1,0)</f>
        <v>0</v>
      </c>
      <c r="AE73" t="e">
        <f>IF(AND(מלאי!D73&lt;&gt;"",OR('לוח בקרה טכנו-מבצעי'!$B$4="הכל",מלאי!Z73='לוח בקרה טכנו-מבצעי'!$B$4,מלאי!AA73='לוח בקרה טכנו-מבצעי'!$B$4,מלאי!AB73='לוח בקרה טכנו-מבצעי'!$B$4,מלאי!AC73='לוח בקרה טכנו-מבצעי'!$B$4),OR('לוח בקרה טכנו-מבצעי'!$B$5="הכל",מלאי!A73='לוח בקרה טכנו-מבצעי'!$B$5),OR('לוח בקרה טכנו-מבצעי'!$B$6="הכל",מלאי!B73='לוח בקרה טכנו-מבצעי'!$B$6),OR('לוח בקרה טכנו-מבצעי'!$B$7="הכל",מלאי!F73='לוח בקרה טכנו-מבצעי'!$B$7,מלאי!G73='לוח בקרה טכנו-מבצעי'!$B$7),OR('לוח בקרה טכנו-מבצעי'!$B$8="הכל",מלאי!T73='לוח בקרה טכנו-מבצעי'!$B$8),OR('לוח בקרה טכנו-מבצעי'!$B$9="הכל",מלאי!Q73='לוח בקרה טכנו-מבצעי'!$B$9),OR('לוח בקרה טכנו-מבצעי'!$E$4="הכל",מלאי!J73='לוח בקרה טכנו-מבצעי'!$E$4),OR('לוח בקרה טכנו-מבצעי'!$E$5="הכל",מלאי!L73='לוח בקרה טכנו-מבצעי'!$E$5),OR('לוח בקרה טכנו-מבצעי'!$E$6="הכל",מלאי!O73='לוח בקרה טכנו-מבצעי'!$E$6),OR('לוח בקרה טכנו-מבצעי'!$E$7="הכל",מלאי!R73='לוח בקרה טכנו-מבצעי'!$E$7),OR('לוח בקרה טכנו-מבצעי'!$E$8="הכל",'לוח בקרה טכנו-מבצעי'!$E$8="",מלאי!W73='לוח בקרה טכנו-מבצעי'!$E$8),OR('לוח בקרה טכנו-מבצעי'!$E$9="הכל",'לוח בקרה טכנו-מבצעי'!$E$9="",ISNUMBER(SEARCH('לוח בקרה טכנו-מבצעי'!$E$9,מלאי!C73))),OR('לוח בקרה טכנו-מבצעי'!$B$10="הכל",מלאי!#REF!='לוח בקרה טכנו-מבצעי'!$B$10)),1,0)</f>
        <v>#REF!</v>
      </c>
      <c r="AF73" t="str">
        <f>IF(AD73=1,COUNTIF($AD$3:$AD73,1),"")</f>
        <v/>
      </c>
      <c r="AG73" t="e">
        <f>IF(AE73=1,COUNTIF($AE$3:$AE73,1),"")</f>
        <v>#REF!</v>
      </c>
    </row>
    <row r="74" spans="1:33" ht="15" customHeight="1" x14ac:dyDescent="0.25">
      <c r="A74" s="17" t="s">
        <v>114</v>
      </c>
      <c r="B74" s="17" t="s">
        <v>121</v>
      </c>
      <c r="C74" s="30" t="s">
        <v>64</v>
      </c>
      <c r="D74" s="30" t="s">
        <v>326</v>
      </c>
      <c r="E74" s="17" t="str">
        <f>IFERROR(INDEX(הגדרות!$I$2:$I$47,MATCH(B74,הגדרות!$H$2:$H$47,0)),"")</f>
        <v>9021-00</v>
      </c>
      <c r="F74" s="17" t="s">
        <v>73</v>
      </c>
      <c r="G74" s="17"/>
      <c r="H74" s="17" t="s">
        <v>95</v>
      </c>
      <c r="I74" s="17" t="s">
        <v>67</v>
      </c>
      <c r="J74" s="17" t="s">
        <v>68</v>
      </c>
      <c r="K74" s="17" t="s">
        <v>68</v>
      </c>
      <c r="L74" s="17" t="s">
        <v>68</v>
      </c>
      <c r="M74" s="17" t="s">
        <v>68</v>
      </c>
      <c r="N74" s="17" t="s">
        <v>14</v>
      </c>
      <c r="O74" s="17" t="s">
        <v>14</v>
      </c>
      <c r="P74" s="30" t="s">
        <v>266</v>
      </c>
      <c r="Q74" s="17" t="s">
        <v>14</v>
      </c>
      <c r="R74" s="17"/>
      <c r="S74" s="17" t="s">
        <v>14</v>
      </c>
      <c r="T74" s="17" t="s">
        <v>69</v>
      </c>
      <c r="U74" s="17"/>
      <c r="V74" s="17"/>
      <c r="W74" s="17"/>
      <c r="X74" s="17"/>
      <c r="Y74" s="17"/>
      <c r="Z74" t="str">
        <f>IFERROR(INDEX(הגדרות!$B$2:$B$17,MATCH(H74,הגדרות!$A$2:$A$17,0)),"")</f>
        <v>מיוער</v>
      </c>
      <c r="AA74">
        <f>IFERROR(INDEX(הגדרות!$C$2:$C$17,MATCH(H74,הגדרות!$A$2:$A$17,0)),"")</f>
        <v>0</v>
      </c>
      <c r="AB74" t="str">
        <f>IFERROR(INDEX(הגדרות!$B$2:$B$17,MATCH(I74,הגדרות!$A$2:$A$17,0)),"")</f>
        <v>מדברי</v>
      </c>
      <c r="AC74">
        <f>IFERROR(INDEX(הגדרות!$C$2:$C$17,MATCH(I74,הגדרות!$A$2:$A$17,0)),"")</f>
        <v>0</v>
      </c>
      <c r="AD74">
        <f>IF(AND(מלאי!D74&lt;&gt;"",OR('לוח בקרה'!$B$4="הכל",מלאי!Z74='לוח בקרה'!$B$4,מלאי!AA74='לוח בקרה'!$B$4,מלאי!AB74='לוח בקרה'!$B$4,מלאי!AC74='לוח בקרה'!$B$4),OR('לוח בקרה'!$B$5="הכל",מלאי!A74='לוח בקרה'!$B$5),OR('לוח בקרה'!$B$6="הכל",מלאי!B74='לוח בקרה'!$B$6),OR('לוח בקרה'!$B$7="הכל",מלאי!F74='לוח בקרה'!$B$7,מלאי!G74='לוח בקרה'!$B$7),OR('לוח בקרה'!$B$8="הכל",מלאי!T74='לוח בקרה'!$B$8),OR('לוח בקרה'!$B$9="הכל",מלאי!Q74='לוח בקרה'!$B$9),OR('לוח בקרה'!$E$4="הכל",מלאי!J74='לוח בקרה'!$E$4),OR('לוח בקרה'!$E$5="הכל",מלאי!L74='לוח בקרה'!$E$5),OR('לוח בקרה'!$E$6="הכל",מלאי!O74='לוח בקרה'!$E$6),OR('לוח בקרה'!$E$7="הכל",מלאי!R74='לוח בקרה'!$E$7),OR('לוח בקרה'!$E$8="הכל",'לוח בקרה'!$E$8="",מלאי!W74='לוח בקרה'!$E$8),OR('לוח בקרה'!$E$9="הכל",'לוח בקרה'!$E$9="",ISNUMBER(SEARCH('לוח בקרה'!$E$9,מלאי!C74)))),1,0)</f>
        <v>0</v>
      </c>
      <c r="AE74" t="e">
        <f>IF(AND(מלאי!D74&lt;&gt;"",OR('לוח בקרה טכנו-מבצעי'!$B$4="הכל",מלאי!Z74='לוח בקרה טכנו-מבצעי'!$B$4,מלאי!AA74='לוח בקרה טכנו-מבצעי'!$B$4,מלאי!AB74='לוח בקרה טכנו-מבצעי'!$B$4,מלאי!AC74='לוח בקרה טכנו-מבצעי'!$B$4),OR('לוח בקרה טכנו-מבצעי'!$B$5="הכל",מלאי!A74='לוח בקרה טכנו-מבצעי'!$B$5),OR('לוח בקרה טכנו-מבצעי'!$B$6="הכל",מלאי!B74='לוח בקרה טכנו-מבצעי'!$B$6),OR('לוח בקרה טכנו-מבצעי'!$B$7="הכל",מלאי!F74='לוח בקרה טכנו-מבצעי'!$B$7,מלאי!G74='לוח בקרה טכנו-מבצעי'!$B$7),OR('לוח בקרה טכנו-מבצעי'!$B$8="הכל",מלאי!T74='לוח בקרה טכנו-מבצעי'!$B$8),OR('לוח בקרה טכנו-מבצעי'!$B$9="הכל",מלאי!Q74='לוח בקרה טכנו-מבצעי'!$B$9),OR('לוח בקרה טכנו-מבצעי'!$E$4="הכל",מלאי!J74='לוח בקרה טכנו-מבצעי'!$E$4),OR('לוח בקרה טכנו-מבצעי'!$E$5="הכל",מלאי!L74='לוח בקרה טכנו-מבצעי'!$E$5),OR('לוח בקרה טכנו-מבצעי'!$E$6="הכל",מלאי!O74='לוח בקרה טכנו-מבצעי'!$E$6),OR('לוח בקרה טכנו-מבצעי'!$E$7="הכל",מלאי!R74='לוח בקרה טכנו-מבצעי'!$E$7),OR('לוח בקרה טכנו-מבצעי'!$E$8="הכל",'לוח בקרה טכנו-מבצעי'!$E$8="",מלאי!W74='לוח בקרה טכנו-מבצעי'!$E$8),OR('לוח בקרה טכנו-מבצעי'!$E$9="הכל",'לוח בקרה טכנו-מבצעי'!$E$9="",ISNUMBER(SEARCH('לוח בקרה טכנו-מבצעי'!$E$9,מלאי!C74))),OR('לוח בקרה טכנו-מבצעי'!$B$10="הכל",מלאי!#REF!='לוח בקרה טכנו-מבצעי'!$B$10)),1,0)</f>
        <v>#REF!</v>
      </c>
      <c r="AF74" t="str">
        <f>IF(AD74=1,COUNTIF($AD$3:$AD74,1),"")</f>
        <v/>
      </c>
      <c r="AG74" t="e">
        <f>IF(AE74=1,COUNTIF($AE$3:$AE74,1),"")</f>
        <v>#REF!</v>
      </c>
    </row>
    <row r="75" spans="1:33" ht="15" customHeight="1" x14ac:dyDescent="0.25">
      <c r="A75" s="17" t="s">
        <v>114</v>
      </c>
      <c r="B75" s="17" t="s">
        <v>121</v>
      </c>
      <c r="C75" s="30" t="s">
        <v>64</v>
      </c>
      <c r="D75" s="30" t="s">
        <v>327</v>
      </c>
      <c r="E75" s="17" t="str">
        <f>IFERROR(INDEX(הגדרות!$I$2:$I$47,MATCH(B75,הגדרות!$H$2:$H$47,0)),"")</f>
        <v>9021-00</v>
      </c>
      <c r="F75" s="17" t="s">
        <v>73</v>
      </c>
      <c r="G75" s="17"/>
      <c r="H75" s="17" t="s">
        <v>95</v>
      </c>
      <c r="I75" s="17" t="s">
        <v>67</v>
      </c>
      <c r="J75" s="17" t="s">
        <v>68</v>
      </c>
      <c r="K75" s="17" t="s">
        <v>68</v>
      </c>
      <c r="L75" s="17" t="s">
        <v>68</v>
      </c>
      <c r="M75" s="17" t="s">
        <v>68</v>
      </c>
      <c r="N75" s="17" t="s">
        <v>14</v>
      </c>
      <c r="O75" s="17" t="s">
        <v>14</v>
      </c>
      <c r="P75" s="30" t="s">
        <v>266</v>
      </c>
      <c r="Q75" s="17" t="s">
        <v>14</v>
      </c>
      <c r="R75" s="17"/>
      <c r="S75" s="17" t="s">
        <v>14</v>
      </c>
      <c r="T75" s="17" t="s">
        <v>69</v>
      </c>
      <c r="U75" s="17"/>
      <c r="V75" s="17"/>
      <c r="W75" s="17"/>
      <c r="X75" s="17"/>
      <c r="Y75" s="17"/>
      <c r="Z75" t="str">
        <f>IFERROR(INDEX(הגדרות!$B$2:$B$17,MATCH(H75,הגדרות!$A$2:$A$17,0)),"")</f>
        <v>מיוער</v>
      </c>
      <c r="AA75">
        <f>IFERROR(INDEX(הגדרות!$C$2:$C$17,MATCH(H75,הגדרות!$A$2:$A$17,0)),"")</f>
        <v>0</v>
      </c>
      <c r="AB75" t="str">
        <f>IFERROR(INDEX(הגדרות!$B$2:$B$17,MATCH(I75,הגדרות!$A$2:$A$17,0)),"")</f>
        <v>מדברי</v>
      </c>
      <c r="AC75">
        <f>IFERROR(INDEX(הגדרות!$C$2:$C$17,MATCH(I75,הגדרות!$A$2:$A$17,0)),"")</f>
        <v>0</v>
      </c>
      <c r="AD75">
        <f>IF(AND(מלאי!D75&lt;&gt;"",OR('לוח בקרה'!$B$4="הכל",מלאי!Z75='לוח בקרה'!$B$4,מלאי!AA75='לוח בקרה'!$B$4,מלאי!AB75='לוח בקרה'!$B$4,מלאי!AC75='לוח בקרה'!$B$4),OR('לוח בקרה'!$B$5="הכל",מלאי!A75='לוח בקרה'!$B$5),OR('לוח בקרה'!$B$6="הכל",מלאי!B75='לוח בקרה'!$B$6),OR('לוח בקרה'!$B$7="הכל",מלאי!F75='לוח בקרה'!$B$7,מלאי!G75='לוח בקרה'!$B$7),OR('לוח בקרה'!$B$8="הכל",מלאי!T75='לוח בקרה'!$B$8),OR('לוח בקרה'!$B$9="הכל",מלאי!Q75='לוח בקרה'!$B$9),OR('לוח בקרה'!$E$4="הכל",מלאי!J75='לוח בקרה'!$E$4),OR('לוח בקרה'!$E$5="הכל",מלאי!L75='לוח בקרה'!$E$5),OR('לוח בקרה'!$E$6="הכל",מלאי!O75='לוח בקרה'!$E$6),OR('לוח בקרה'!$E$7="הכל",מלאי!R75='לוח בקרה'!$E$7),OR('לוח בקרה'!$E$8="הכל",'לוח בקרה'!$E$8="",מלאי!W75='לוח בקרה'!$E$8),OR('לוח בקרה'!$E$9="הכל",'לוח בקרה'!$E$9="",ISNUMBER(SEARCH('לוח בקרה'!$E$9,מלאי!C75)))),1,0)</f>
        <v>0</v>
      </c>
      <c r="AE75" t="e">
        <f>IF(AND(מלאי!D75&lt;&gt;"",OR('לוח בקרה טכנו-מבצעי'!$B$4="הכל",מלאי!Z75='לוח בקרה טכנו-מבצעי'!$B$4,מלאי!AA75='לוח בקרה טכנו-מבצעי'!$B$4,מלאי!AB75='לוח בקרה טכנו-מבצעי'!$B$4,מלאי!AC75='לוח בקרה טכנו-מבצעי'!$B$4),OR('לוח בקרה טכנו-מבצעי'!$B$5="הכל",מלאי!A75='לוח בקרה טכנו-מבצעי'!$B$5),OR('לוח בקרה טכנו-מבצעי'!$B$6="הכל",מלאי!B75='לוח בקרה טכנו-מבצעי'!$B$6),OR('לוח בקרה טכנו-מבצעי'!$B$7="הכל",מלאי!F75='לוח בקרה טכנו-מבצעי'!$B$7,מלאי!G75='לוח בקרה טכנו-מבצעי'!$B$7),OR('לוח בקרה טכנו-מבצעי'!$B$8="הכל",מלאי!T75='לוח בקרה טכנו-מבצעי'!$B$8),OR('לוח בקרה טכנו-מבצעי'!$B$9="הכל",מלאי!Q75='לוח בקרה טכנו-מבצעי'!$B$9),OR('לוח בקרה טכנו-מבצעי'!$E$4="הכל",מלאי!J75='לוח בקרה טכנו-מבצעי'!$E$4),OR('לוח בקרה טכנו-מבצעי'!$E$5="הכל",מלאי!L75='לוח בקרה טכנו-מבצעי'!$E$5),OR('לוח בקרה טכנו-מבצעי'!$E$6="הכל",מלאי!O75='לוח בקרה טכנו-מבצעי'!$E$6),OR('לוח בקרה טכנו-מבצעי'!$E$7="הכל",מלאי!R75='לוח בקרה טכנו-מבצעי'!$E$7),OR('לוח בקרה טכנו-מבצעי'!$E$8="הכל",'לוח בקרה טכנו-מבצעי'!$E$8="",מלאי!W75='לוח בקרה טכנו-מבצעי'!$E$8),OR('לוח בקרה טכנו-מבצעי'!$E$9="הכל",'לוח בקרה טכנו-מבצעי'!$E$9="",ISNUMBER(SEARCH('לוח בקרה טכנו-מבצעי'!$E$9,מלאי!C75))),OR('לוח בקרה טכנו-מבצעי'!$B$10="הכל",מלאי!#REF!='לוח בקרה טכנו-מבצעי'!$B$10)),1,0)</f>
        <v>#REF!</v>
      </c>
      <c r="AF75" t="str">
        <f>IF(AD75=1,COUNTIF($AD$3:$AD75,1),"")</f>
        <v/>
      </c>
      <c r="AG75" t="e">
        <f>IF(AE75=1,COUNTIF($AE$3:$AE75,1),"")</f>
        <v>#REF!</v>
      </c>
    </row>
    <row r="76" spans="1:33" ht="15" customHeight="1" x14ac:dyDescent="0.25">
      <c r="A76" s="17" t="s">
        <v>114</v>
      </c>
      <c r="B76" s="17" t="s">
        <v>121</v>
      </c>
      <c r="C76" s="30" t="s">
        <v>64</v>
      </c>
      <c r="D76" s="30" t="s">
        <v>328</v>
      </c>
      <c r="E76" s="17" t="str">
        <f>IFERROR(INDEX(הגדרות!$I$2:$I$47,MATCH(B76,הגדרות!$H$2:$H$47,0)),"")</f>
        <v>9021-00</v>
      </c>
      <c r="F76" s="17" t="s">
        <v>73</v>
      </c>
      <c r="G76" s="17"/>
      <c r="H76" s="17" t="s">
        <v>95</v>
      </c>
      <c r="I76" s="17" t="s">
        <v>67</v>
      </c>
      <c r="J76" s="17" t="s">
        <v>68</v>
      </c>
      <c r="K76" s="17" t="s">
        <v>68</v>
      </c>
      <c r="L76" s="17" t="s">
        <v>68</v>
      </c>
      <c r="M76" s="17" t="s">
        <v>68</v>
      </c>
      <c r="N76" s="17" t="s">
        <v>14</v>
      </c>
      <c r="O76" s="17" t="s">
        <v>14</v>
      </c>
      <c r="P76" s="30" t="s">
        <v>266</v>
      </c>
      <c r="Q76" s="17" t="s">
        <v>14</v>
      </c>
      <c r="R76" s="17"/>
      <c r="S76" s="17" t="s">
        <v>14</v>
      </c>
      <c r="T76" s="17" t="s">
        <v>69</v>
      </c>
      <c r="U76" s="17"/>
      <c r="V76" s="17"/>
      <c r="W76" s="17"/>
      <c r="X76" s="17"/>
      <c r="Y76" s="17"/>
      <c r="Z76" t="str">
        <f>IFERROR(INDEX(הגדרות!$B$2:$B$17,MATCH(H76,הגדרות!$A$2:$A$17,0)),"")</f>
        <v>מיוער</v>
      </c>
      <c r="AA76">
        <f>IFERROR(INDEX(הגדרות!$C$2:$C$17,MATCH(H76,הגדרות!$A$2:$A$17,0)),"")</f>
        <v>0</v>
      </c>
      <c r="AB76" t="str">
        <f>IFERROR(INDEX(הגדרות!$B$2:$B$17,MATCH(I76,הגדרות!$A$2:$A$17,0)),"")</f>
        <v>מדברי</v>
      </c>
      <c r="AC76">
        <f>IFERROR(INDEX(הגדרות!$C$2:$C$17,MATCH(I76,הגדרות!$A$2:$A$17,0)),"")</f>
        <v>0</v>
      </c>
      <c r="AD76">
        <f>IF(AND(מלאי!D76&lt;&gt;"",OR('לוח בקרה'!$B$4="הכל",מלאי!Z76='לוח בקרה'!$B$4,מלאי!AA76='לוח בקרה'!$B$4,מלאי!AB76='לוח בקרה'!$B$4,מלאי!AC76='לוח בקרה'!$B$4),OR('לוח בקרה'!$B$5="הכל",מלאי!A76='לוח בקרה'!$B$5),OR('לוח בקרה'!$B$6="הכל",מלאי!B76='לוח בקרה'!$B$6),OR('לוח בקרה'!$B$7="הכל",מלאי!F76='לוח בקרה'!$B$7,מלאי!G76='לוח בקרה'!$B$7),OR('לוח בקרה'!$B$8="הכל",מלאי!T76='לוח בקרה'!$B$8),OR('לוח בקרה'!$B$9="הכל",מלאי!Q76='לוח בקרה'!$B$9),OR('לוח בקרה'!$E$4="הכל",מלאי!J76='לוח בקרה'!$E$4),OR('לוח בקרה'!$E$5="הכל",מלאי!L76='לוח בקרה'!$E$5),OR('לוח בקרה'!$E$6="הכל",מלאי!O76='לוח בקרה'!$E$6),OR('לוח בקרה'!$E$7="הכל",מלאי!R76='לוח בקרה'!$E$7),OR('לוח בקרה'!$E$8="הכל",'לוח בקרה'!$E$8="",מלאי!W76='לוח בקרה'!$E$8),OR('לוח בקרה'!$E$9="הכל",'לוח בקרה'!$E$9="",ISNUMBER(SEARCH('לוח בקרה'!$E$9,מלאי!C76)))),1,0)</f>
        <v>0</v>
      </c>
      <c r="AE76" t="e">
        <f>IF(AND(מלאי!D76&lt;&gt;"",OR('לוח בקרה טכנו-מבצעי'!$B$4="הכל",מלאי!Z76='לוח בקרה טכנו-מבצעי'!$B$4,מלאי!AA76='לוח בקרה טכנו-מבצעי'!$B$4,מלאי!AB76='לוח בקרה טכנו-מבצעי'!$B$4,מלאי!AC76='לוח בקרה טכנו-מבצעי'!$B$4),OR('לוח בקרה טכנו-מבצעי'!$B$5="הכל",מלאי!A76='לוח בקרה טכנו-מבצעי'!$B$5),OR('לוח בקרה טכנו-מבצעי'!$B$6="הכל",מלאי!B76='לוח בקרה טכנו-מבצעי'!$B$6),OR('לוח בקרה טכנו-מבצעי'!$B$7="הכל",מלאי!F76='לוח בקרה טכנו-מבצעי'!$B$7,מלאי!G76='לוח בקרה טכנו-מבצעי'!$B$7),OR('לוח בקרה טכנו-מבצעי'!$B$8="הכל",מלאי!T76='לוח בקרה טכנו-מבצעי'!$B$8),OR('לוח בקרה טכנו-מבצעי'!$B$9="הכל",מלאי!Q76='לוח בקרה טכנו-מבצעי'!$B$9),OR('לוח בקרה טכנו-מבצעי'!$E$4="הכל",מלאי!J76='לוח בקרה טכנו-מבצעי'!$E$4),OR('לוח בקרה טכנו-מבצעי'!$E$5="הכל",מלאי!L76='לוח בקרה טכנו-מבצעי'!$E$5),OR('לוח בקרה טכנו-מבצעי'!$E$6="הכל",מלאי!O76='לוח בקרה טכנו-מבצעי'!$E$6),OR('לוח בקרה טכנו-מבצעי'!$E$7="הכל",מלאי!R76='לוח בקרה טכנו-מבצעי'!$E$7),OR('לוח בקרה טכנו-מבצעי'!$E$8="הכל",'לוח בקרה טכנו-מבצעי'!$E$8="",מלאי!W76='לוח בקרה טכנו-מבצעי'!$E$8),OR('לוח בקרה טכנו-מבצעי'!$E$9="הכל",'לוח בקרה טכנו-מבצעי'!$E$9="",ISNUMBER(SEARCH('לוח בקרה טכנו-מבצעי'!$E$9,מלאי!C76))),OR('לוח בקרה טכנו-מבצעי'!$B$10="הכל",מלאי!#REF!='לוח בקרה טכנו-מבצעי'!$B$10)),1,0)</f>
        <v>#REF!</v>
      </c>
      <c r="AF76" t="str">
        <f>IF(AD76=1,COUNTIF($AD$3:$AD76,1),"")</f>
        <v/>
      </c>
      <c r="AG76" t="e">
        <f>IF(AE76=1,COUNTIF($AE$3:$AE76,1),"")</f>
        <v>#REF!</v>
      </c>
    </row>
    <row r="77" spans="1:33" ht="15" customHeight="1" x14ac:dyDescent="0.25">
      <c r="A77" s="17" t="s">
        <v>114</v>
      </c>
      <c r="B77" s="17" t="s">
        <v>121</v>
      </c>
      <c r="C77" s="30" t="s">
        <v>64</v>
      </c>
      <c r="D77" s="30" t="s">
        <v>329</v>
      </c>
      <c r="E77" s="17" t="str">
        <f>IFERROR(INDEX(הגדרות!$I$2:$I$47,MATCH(B77,הגדרות!$H$2:$H$47,0)),"")</f>
        <v>9021-00</v>
      </c>
      <c r="F77" s="17" t="s">
        <v>73</v>
      </c>
      <c r="G77" s="17"/>
      <c r="H77" s="17" t="s">
        <v>95</v>
      </c>
      <c r="I77" s="17" t="s">
        <v>67</v>
      </c>
      <c r="J77" s="17" t="s">
        <v>68</v>
      </c>
      <c r="K77" s="17" t="s">
        <v>68</v>
      </c>
      <c r="L77" s="17" t="s">
        <v>68</v>
      </c>
      <c r="M77" s="17" t="s">
        <v>68</v>
      </c>
      <c r="N77" s="17" t="s">
        <v>14</v>
      </c>
      <c r="O77" s="17" t="s">
        <v>14</v>
      </c>
      <c r="P77" s="30" t="s">
        <v>266</v>
      </c>
      <c r="Q77" s="17" t="s">
        <v>14</v>
      </c>
      <c r="R77" s="17"/>
      <c r="S77" s="17" t="s">
        <v>14</v>
      </c>
      <c r="T77" s="17" t="s">
        <v>69</v>
      </c>
      <c r="U77" s="17"/>
      <c r="V77" s="17"/>
      <c r="W77" s="17"/>
      <c r="X77" s="17"/>
      <c r="Y77" s="17"/>
      <c r="Z77" t="str">
        <f>IFERROR(INDEX(הגדרות!$B$2:$B$17,MATCH(H77,הגדרות!$A$2:$A$17,0)),"")</f>
        <v>מיוער</v>
      </c>
      <c r="AA77">
        <f>IFERROR(INDEX(הגדרות!$C$2:$C$17,MATCH(H77,הגדרות!$A$2:$A$17,0)),"")</f>
        <v>0</v>
      </c>
      <c r="AB77" t="str">
        <f>IFERROR(INDEX(הגדרות!$B$2:$B$17,MATCH(I77,הגדרות!$A$2:$A$17,0)),"")</f>
        <v>מדברי</v>
      </c>
      <c r="AC77">
        <f>IFERROR(INDEX(הגדרות!$C$2:$C$17,MATCH(I77,הגדרות!$A$2:$A$17,0)),"")</f>
        <v>0</v>
      </c>
      <c r="AD77">
        <f>IF(AND(מלאי!D77&lt;&gt;"",OR('לוח בקרה'!$B$4="הכל",מלאי!Z77='לוח בקרה'!$B$4,מלאי!AA77='לוח בקרה'!$B$4,מלאי!AB77='לוח בקרה'!$B$4,מלאי!AC77='לוח בקרה'!$B$4),OR('לוח בקרה'!$B$5="הכל",מלאי!A77='לוח בקרה'!$B$5),OR('לוח בקרה'!$B$6="הכל",מלאי!B77='לוח בקרה'!$B$6),OR('לוח בקרה'!$B$7="הכל",מלאי!F77='לוח בקרה'!$B$7,מלאי!G77='לוח בקרה'!$B$7),OR('לוח בקרה'!$B$8="הכל",מלאי!T77='לוח בקרה'!$B$8),OR('לוח בקרה'!$B$9="הכל",מלאי!Q77='לוח בקרה'!$B$9),OR('לוח בקרה'!$E$4="הכל",מלאי!J77='לוח בקרה'!$E$4),OR('לוח בקרה'!$E$5="הכל",מלאי!L77='לוח בקרה'!$E$5),OR('לוח בקרה'!$E$6="הכל",מלאי!O77='לוח בקרה'!$E$6),OR('לוח בקרה'!$E$7="הכל",מלאי!R77='לוח בקרה'!$E$7),OR('לוח בקרה'!$E$8="הכל",'לוח בקרה'!$E$8="",מלאי!W77='לוח בקרה'!$E$8),OR('לוח בקרה'!$E$9="הכל",'לוח בקרה'!$E$9="",ISNUMBER(SEARCH('לוח בקרה'!$E$9,מלאי!C77)))),1,0)</f>
        <v>0</v>
      </c>
      <c r="AE77" t="e">
        <f>IF(AND(מלאי!D77&lt;&gt;"",OR('לוח בקרה טכנו-מבצעי'!$B$4="הכל",מלאי!Z77='לוח בקרה טכנו-מבצעי'!$B$4,מלאי!AA77='לוח בקרה טכנו-מבצעי'!$B$4,מלאי!AB77='לוח בקרה טכנו-מבצעי'!$B$4,מלאי!AC77='לוח בקרה טכנו-מבצעי'!$B$4),OR('לוח בקרה טכנו-מבצעי'!$B$5="הכל",מלאי!A77='לוח בקרה טכנו-מבצעי'!$B$5),OR('לוח בקרה טכנו-מבצעי'!$B$6="הכל",מלאי!B77='לוח בקרה טכנו-מבצעי'!$B$6),OR('לוח בקרה טכנו-מבצעי'!$B$7="הכל",מלאי!F77='לוח בקרה טכנו-מבצעי'!$B$7,מלאי!G77='לוח בקרה טכנו-מבצעי'!$B$7),OR('לוח בקרה טכנו-מבצעי'!$B$8="הכל",מלאי!T77='לוח בקרה טכנו-מבצעי'!$B$8),OR('לוח בקרה טכנו-מבצעי'!$B$9="הכל",מלאי!Q77='לוח בקרה טכנו-מבצעי'!$B$9),OR('לוח בקרה טכנו-מבצעי'!$E$4="הכל",מלאי!J77='לוח בקרה טכנו-מבצעי'!$E$4),OR('לוח בקרה טכנו-מבצעי'!$E$5="הכל",מלאי!L77='לוח בקרה טכנו-מבצעי'!$E$5),OR('לוח בקרה טכנו-מבצעי'!$E$6="הכל",מלאי!O77='לוח בקרה טכנו-מבצעי'!$E$6),OR('לוח בקרה טכנו-מבצעי'!$E$7="הכל",מלאי!R77='לוח בקרה טכנו-מבצעי'!$E$7),OR('לוח בקרה טכנו-מבצעי'!$E$8="הכל",'לוח בקרה טכנו-מבצעי'!$E$8="",מלאי!W77='לוח בקרה טכנו-מבצעי'!$E$8),OR('לוח בקרה טכנו-מבצעי'!$E$9="הכל",'לוח בקרה טכנו-מבצעי'!$E$9="",ISNUMBER(SEARCH('לוח בקרה טכנו-מבצעי'!$E$9,מלאי!C77))),OR('לוח בקרה טכנו-מבצעי'!$B$10="הכל",מלאי!#REF!='לוח בקרה טכנו-מבצעי'!$B$10)),1,0)</f>
        <v>#REF!</v>
      </c>
      <c r="AF77" t="str">
        <f>IF(AD77=1,COUNTIF($AD$3:$AD77,1),"")</f>
        <v/>
      </c>
      <c r="AG77" t="e">
        <f>IF(AE77=1,COUNTIF($AE$3:$AE77,1),"")</f>
        <v>#REF!</v>
      </c>
    </row>
    <row r="78" spans="1:33" ht="15" customHeight="1" x14ac:dyDescent="0.25">
      <c r="A78" s="17" t="s">
        <v>114</v>
      </c>
      <c r="B78" s="17" t="s">
        <v>121</v>
      </c>
      <c r="C78" s="30" t="s">
        <v>64</v>
      </c>
      <c r="D78" s="30" t="s">
        <v>330</v>
      </c>
      <c r="E78" s="17" t="str">
        <f>IFERROR(INDEX(הגדרות!$I$2:$I$47,MATCH(B78,הגדרות!$H$2:$H$47,0)),"")</f>
        <v>9021-00</v>
      </c>
      <c r="F78" s="17" t="s">
        <v>73</v>
      </c>
      <c r="G78" s="17"/>
      <c r="H78" s="17" t="s">
        <v>95</v>
      </c>
      <c r="I78" s="17" t="s">
        <v>67</v>
      </c>
      <c r="J78" s="17" t="s">
        <v>68</v>
      </c>
      <c r="K78" s="17" t="s">
        <v>68</v>
      </c>
      <c r="L78" s="17" t="s">
        <v>68</v>
      </c>
      <c r="M78" s="17" t="s">
        <v>68</v>
      </c>
      <c r="N78" s="17" t="s">
        <v>14</v>
      </c>
      <c r="O78" s="17" t="s">
        <v>14</v>
      </c>
      <c r="P78" s="30" t="s">
        <v>266</v>
      </c>
      <c r="Q78" s="17" t="s">
        <v>14</v>
      </c>
      <c r="R78" s="17"/>
      <c r="S78" s="17" t="s">
        <v>14</v>
      </c>
      <c r="T78" s="17" t="s">
        <v>69</v>
      </c>
      <c r="U78" s="17"/>
      <c r="V78" s="17"/>
      <c r="W78" s="17"/>
      <c r="X78" s="17"/>
      <c r="Y78" s="17"/>
      <c r="Z78" t="str">
        <f>IFERROR(INDEX(הגדרות!$B$2:$B$17,MATCH(H78,הגדרות!$A$2:$A$17,0)),"")</f>
        <v>מיוער</v>
      </c>
      <c r="AA78">
        <f>IFERROR(INDEX(הגדרות!$C$2:$C$17,MATCH(H78,הגדרות!$A$2:$A$17,0)),"")</f>
        <v>0</v>
      </c>
      <c r="AB78" t="str">
        <f>IFERROR(INDEX(הגדרות!$B$2:$B$17,MATCH(I78,הגדרות!$A$2:$A$17,0)),"")</f>
        <v>מדברי</v>
      </c>
      <c r="AC78">
        <f>IFERROR(INDEX(הגדרות!$C$2:$C$17,MATCH(I78,הגדרות!$A$2:$A$17,0)),"")</f>
        <v>0</v>
      </c>
      <c r="AD78">
        <f>IF(AND(מלאי!D78&lt;&gt;"",OR('לוח בקרה'!$B$4="הכל",מלאי!Z78='לוח בקרה'!$B$4,מלאי!AA78='לוח בקרה'!$B$4,מלאי!AB78='לוח בקרה'!$B$4,מלאי!AC78='לוח בקרה'!$B$4),OR('לוח בקרה'!$B$5="הכל",מלאי!A78='לוח בקרה'!$B$5),OR('לוח בקרה'!$B$6="הכל",מלאי!B78='לוח בקרה'!$B$6),OR('לוח בקרה'!$B$7="הכל",מלאי!F78='לוח בקרה'!$B$7,מלאי!G78='לוח בקרה'!$B$7),OR('לוח בקרה'!$B$8="הכל",מלאי!T78='לוח בקרה'!$B$8),OR('לוח בקרה'!$B$9="הכל",מלאי!Q78='לוח בקרה'!$B$9),OR('לוח בקרה'!$E$4="הכל",מלאי!J78='לוח בקרה'!$E$4),OR('לוח בקרה'!$E$5="הכל",מלאי!L78='לוח בקרה'!$E$5),OR('לוח בקרה'!$E$6="הכל",מלאי!O78='לוח בקרה'!$E$6),OR('לוח בקרה'!$E$7="הכל",מלאי!R78='לוח בקרה'!$E$7),OR('לוח בקרה'!$E$8="הכל",'לוח בקרה'!$E$8="",מלאי!W78='לוח בקרה'!$E$8),OR('לוח בקרה'!$E$9="הכל",'לוח בקרה'!$E$9="",ISNUMBER(SEARCH('לוח בקרה'!$E$9,מלאי!C78)))),1,0)</f>
        <v>0</v>
      </c>
      <c r="AE78" t="e">
        <f>IF(AND(מלאי!D78&lt;&gt;"",OR('לוח בקרה טכנו-מבצעי'!$B$4="הכל",מלאי!Z78='לוח בקרה טכנו-מבצעי'!$B$4,מלאי!AA78='לוח בקרה טכנו-מבצעי'!$B$4,מלאי!AB78='לוח בקרה טכנו-מבצעי'!$B$4,מלאי!AC78='לוח בקרה טכנו-מבצעי'!$B$4),OR('לוח בקרה טכנו-מבצעי'!$B$5="הכל",מלאי!A78='לוח בקרה טכנו-מבצעי'!$B$5),OR('לוח בקרה טכנו-מבצעי'!$B$6="הכל",מלאי!B78='לוח בקרה טכנו-מבצעי'!$B$6),OR('לוח בקרה טכנו-מבצעי'!$B$7="הכל",מלאי!F78='לוח בקרה טכנו-מבצעי'!$B$7,מלאי!G78='לוח בקרה טכנו-מבצעי'!$B$7),OR('לוח בקרה טכנו-מבצעי'!$B$8="הכל",מלאי!T78='לוח בקרה טכנו-מבצעי'!$B$8),OR('לוח בקרה טכנו-מבצעי'!$B$9="הכל",מלאי!Q78='לוח בקרה טכנו-מבצעי'!$B$9),OR('לוח בקרה טכנו-מבצעי'!$E$4="הכל",מלאי!J78='לוח בקרה טכנו-מבצעי'!$E$4),OR('לוח בקרה טכנו-מבצעי'!$E$5="הכל",מלאי!L78='לוח בקרה טכנו-מבצעי'!$E$5),OR('לוח בקרה טכנו-מבצעי'!$E$6="הכל",מלאי!O78='לוח בקרה טכנו-מבצעי'!$E$6),OR('לוח בקרה טכנו-מבצעי'!$E$7="הכל",מלאי!R78='לוח בקרה טכנו-מבצעי'!$E$7),OR('לוח בקרה טכנו-מבצעי'!$E$8="הכל",'לוח בקרה טכנו-מבצעי'!$E$8="",מלאי!W78='לוח בקרה טכנו-מבצעי'!$E$8),OR('לוח בקרה טכנו-מבצעי'!$E$9="הכל",'לוח בקרה טכנו-מבצעי'!$E$9="",ISNUMBER(SEARCH('לוח בקרה טכנו-מבצעי'!$E$9,מלאי!C78))),OR('לוח בקרה טכנו-מבצעי'!$B$10="הכל",מלאי!#REF!='לוח בקרה טכנו-מבצעי'!$B$10)),1,0)</f>
        <v>#REF!</v>
      </c>
      <c r="AF78" t="str">
        <f>IF(AD78=1,COUNTIF($AD$3:$AD78,1),"")</f>
        <v/>
      </c>
      <c r="AG78" t="e">
        <f>IF(AE78=1,COUNTIF($AE$3:$AE78,1),"")</f>
        <v>#REF!</v>
      </c>
    </row>
    <row r="79" spans="1:33" ht="15" customHeight="1" x14ac:dyDescent="0.25">
      <c r="A79" s="38" t="s">
        <v>114</v>
      </c>
      <c r="B79" s="38" t="s">
        <v>121</v>
      </c>
      <c r="C79" s="38" t="s">
        <v>64</v>
      </c>
      <c r="D79" s="38" t="s">
        <v>331</v>
      </c>
      <c r="E79" s="38" t="str">
        <f>IFERROR(INDEX(הגדרות!$I$2:$I$47,MATCH(B79,הגדרות!$H$2:$H$47,0)),"")</f>
        <v>9021-00</v>
      </c>
      <c r="F79" s="38" t="s">
        <v>73</v>
      </c>
      <c r="G79" s="38"/>
      <c r="H79" s="38" t="s">
        <v>95</v>
      </c>
      <c r="I79" s="38" t="s">
        <v>67</v>
      </c>
      <c r="J79" s="38" t="s">
        <v>68</v>
      </c>
      <c r="K79" s="38" t="s">
        <v>68</v>
      </c>
      <c r="L79" s="38" t="s">
        <v>68</v>
      </c>
      <c r="M79" s="38" t="s">
        <v>68</v>
      </c>
      <c r="N79" s="38" t="s">
        <v>14</v>
      </c>
      <c r="O79" s="38" t="s">
        <v>14</v>
      </c>
      <c r="P79" s="38" t="s">
        <v>266</v>
      </c>
      <c r="Q79" s="38" t="s">
        <v>14</v>
      </c>
      <c r="R79" s="38"/>
      <c r="S79" s="38" t="s">
        <v>14</v>
      </c>
      <c r="T79" s="38" t="s">
        <v>69</v>
      </c>
      <c r="U79" s="38"/>
      <c r="V79" s="38"/>
      <c r="W79" s="38"/>
      <c r="X79" s="38"/>
      <c r="Y79" s="38"/>
      <c r="Z79" t="str">
        <f>IFERROR(INDEX(הגדרות!$B$2:$B$17,MATCH(H79,הגדרות!$A$2:$A$17,0)),"")</f>
        <v>מיוער</v>
      </c>
      <c r="AA79">
        <f>IFERROR(INDEX(הגדרות!$C$2:$C$17,MATCH(H79,הגדרות!$A$2:$A$17,0)),"")</f>
        <v>0</v>
      </c>
      <c r="AB79" t="str">
        <f>IFERROR(INDEX(הגדרות!$B$2:$B$17,MATCH(I79,הגדרות!$A$2:$A$17,0)),"")</f>
        <v>מדברי</v>
      </c>
      <c r="AC79">
        <f>IFERROR(INDEX(הגדרות!$C$2:$C$17,MATCH(I79,הגדרות!$A$2:$A$17,0)),"")</f>
        <v>0</v>
      </c>
      <c r="AD79">
        <f>IF(AND(מלאי!D79&lt;&gt;"",OR('לוח בקרה'!$B$4="הכל",מלאי!Z79='לוח בקרה'!$B$4,מלאי!AA79='לוח בקרה'!$B$4,מלאי!AB79='לוח בקרה'!$B$4,מלאי!AC79='לוח בקרה'!$B$4),OR('לוח בקרה'!$B$5="הכל",מלאי!A79='לוח בקרה'!$B$5),OR('לוח בקרה'!$B$6="הכל",מלאי!B79='לוח בקרה'!$B$6),OR('לוח בקרה'!$B$7="הכל",מלאי!F79='לוח בקרה'!$B$7,מלאי!G79='לוח בקרה'!$B$7),OR('לוח בקרה'!$B$8="הכל",מלאי!T79='לוח בקרה'!$B$8),OR('לוח בקרה'!$B$9="הכל",מלאי!Q79='לוח בקרה'!$B$9),OR('לוח בקרה'!$E$4="הכל",מלאי!J79='לוח בקרה'!$E$4),OR('לוח בקרה'!$E$5="הכל",מלאי!L79='לוח בקרה'!$E$5),OR('לוח בקרה'!$E$6="הכל",מלאי!O79='לוח בקרה'!$E$6),OR('לוח בקרה'!$E$7="הכל",מלאי!R79='לוח בקרה'!$E$7),OR('לוח בקרה'!$E$8="הכל",'לוח בקרה'!$E$8="",מלאי!W79='לוח בקרה'!$E$8),OR('לוח בקרה'!$E$9="הכל",'לוח בקרה'!$E$9="",ISNUMBER(SEARCH('לוח בקרה'!$E$9,מלאי!C79)))),1,0)</f>
        <v>0</v>
      </c>
      <c r="AE79" t="e">
        <f>IF(AND(מלאי!D79&lt;&gt;"",OR('לוח בקרה טכנו-מבצעי'!$B$4="הכל",מלאי!Z79='לוח בקרה טכנו-מבצעי'!$B$4,מלאי!AA79='לוח בקרה טכנו-מבצעי'!$B$4,מלאי!AB79='לוח בקרה טכנו-מבצעי'!$B$4,מלאי!AC79='לוח בקרה טכנו-מבצעי'!$B$4),OR('לוח בקרה טכנו-מבצעי'!$B$5="הכל",מלאי!A79='לוח בקרה טכנו-מבצעי'!$B$5),OR('לוח בקרה טכנו-מבצעי'!$B$6="הכל",מלאי!B79='לוח בקרה טכנו-מבצעי'!$B$6),OR('לוח בקרה טכנו-מבצעי'!$B$7="הכל",מלאי!F79='לוח בקרה טכנו-מבצעי'!$B$7,מלאי!G79='לוח בקרה טכנו-מבצעי'!$B$7),OR('לוח בקרה טכנו-מבצעי'!$B$8="הכל",מלאי!T79='לוח בקרה טכנו-מבצעי'!$B$8),OR('לוח בקרה טכנו-מבצעי'!$B$9="הכל",מלאי!Q79='לוח בקרה טכנו-מבצעי'!$B$9),OR('לוח בקרה טכנו-מבצעי'!$E$4="הכל",מלאי!J79='לוח בקרה טכנו-מבצעי'!$E$4),OR('לוח בקרה טכנו-מבצעי'!$E$5="הכל",מלאי!L79='לוח בקרה טכנו-מבצעי'!$E$5),OR('לוח בקרה טכנו-מבצעי'!$E$6="הכל",מלאי!O79='לוח בקרה טכנו-מבצעי'!$E$6),OR('לוח בקרה טכנו-מבצעי'!$E$7="הכל",מלאי!R79='לוח בקרה טכנו-מבצעי'!$E$7),OR('לוח בקרה טכנו-מבצעי'!$E$8="הכל",'לוח בקרה טכנו-מבצעי'!$E$8="",מלאי!W79='לוח בקרה טכנו-מבצעי'!$E$8),OR('לוח בקרה טכנו-מבצעי'!$E$9="הכל",'לוח בקרה טכנו-מבצעי'!$E$9="",ISNUMBER(SEARCH('לוח בקרה טכנו-מבצעי'!$E$9,מלאי!C79))),OR('לוח בקרה טכנו-מבצעי'!$B$10="הכל",מלאי!#REF!='לוח בקרה טכנו-מבצעי'!$B$10)),1,0)</f>
        <v>#REF!</v>
      </c>
      <c r="AF79" t="str">
        <f>IF(AD79=1,COUNTIF($AD$3:$AD79,1),"")</f>
        <v/>
      </c>
      <c r="AG79" t="e">
        <f>IF(AE79=1,COUNTIF($AE$3:$AE79,1),"")</f>
        <v>#REF!</v>
      </c>
    </row>
    <row r="80" spans="1:33" ht="15" customHeight="1" x14ac:dyDescent="0.25">
      <c r="A80" s="17" t="s">
        <v>114</v>
      </c>
      <c r="B80" s="17" t="s">
        <v>121</v>
      </c>
      <c r="C80" s="30" t="s">
        <v>64</v>
      </c>
      <c r="D80" s="30" t="s">
        <v>437</v>
      </c>
      <c r="E80" s="17" t="str">
        <f>IFERROR(INDEX(הגדרות!$I$2:$I$47,MATCH(B80,הגדרות!$H$2:$H$47,0)),"")</f>
        <v>9021-00</v>
      </c>
      <c r="F80" s="17" t="s">
        <v>73</v>
      </c>
      <c r="G80" s="17"/>
      <c r="H80" s="17" t="s">
        <v>95</v>
      </c>
      <c r="I80" s="17" t="s">
        <v>67</v>
      </c>
      <c r="J80" s="17" t="s">
        <v>68</v>
      </c>
      <c r="K80" s="17" t="s">
        <v>68</v>
      </c>
      <c r="L80" s="17" t="s">
        <v>68</v>
      </c>
      <c r="M80" s="17" t="s">
        <v>68</v>
      </c>
      <c r="N80" s="17" t="s">
        <v>14</v>
      </c>
      <c r="O80" s="17" t="s">
        <v>14</v>
      </c>
      <c r="P80" s="30" t="s">
        <v>266</v>
      </c>
      <c r="Q80" s="17" t="s">
        <v>14</v>
      </c>
      <c r="R80" s="17"/>
      <c r="S80" s="17" t="s">
        <v>14</v>
      </c>
      <c r="T80" s="17" t="s">
        <v>69</v>
      </c>
      <c r="U80" s="17"/>
      <c r="V80" s="17"/>
      <c r="W80" s="17"/>
      <c r="X80" s="17"/>
      <c r="Y80" s="17"/>
      <c r="Z80" t="str">
        <f>IFERROR(INDEX(הגדרות!$B$2:$B$17,MATCH(H80,הגדרות!$A$2:$A$17,0)),"")</f>
        <v>מיוער</v>
      </c>
      <c r="AA80">
        <f>IFERROR(INDEX(הגדרות!$C$2:$C$17,MATCH(H80,הגדרות!$A$2:$A$17,0)),"")</f>
        <v>0</v>
      </c>
      <c r="AB80" t="str">
        <f>IFERROR(INDEX(הגדרות!$B$2:$B$17,MATCH(I80,הגדרות!$A$2:$A$17,0)),"")</f>
        <v>מדברי</v>
      </c>
      <c r="AC80">
        <f>IFERROR(INDEX(הגדרות!$C$2:$C$17,MATCH(I80,הגדרות!$A$2:$A$17,0)),"")</f>
        <v>0</v>
      </c>
      <c r="AD80">
        <f>IF(AND(מלאי!D80&lt;&gt;"",OR('לוח בקרה'!$B$4="הכל",מלאי!Z80='לוח בקרה'!$B$4,מלאי!AA80='לוח בקרה'!$B$4,מלאי!AB80='לוח בקרה'!$B$4,מלאי!AC80='לוח בקרה'!$B$4),OR('לוח בקרה'!$B$5="הכל",מלאי!A80='לוח בקרה'!$B$5),OR('לוח בקרה'!$B$6="הכל",מלאי!B80='לוח בקרה'!$B$6),OR('לוח בקרה'!$B$7="הכל",מלאי!F80='לוח בקרה'!$B$7,מלאי!G80='לוח בקרה'!$B$7),OR('לוח בקרה'!$B$8="הכל",מלאי!T80='לוח בקרה'!$B$8),OR('לוח בקרה'!$B$9="הכל",מלאי!Q80='לוח בקרה'!$B$9),OR('לוח בקרה'!$E$4="הכל",מלאי!J80='לוח בקרה'!$E$4),OR('לוח בקרה'!$E$5="הכל",מלאי!L80='לוח בקרה'!$E$5),OR('לוח בקרה'!$E$6="הכל",מלאי!O80='לוח בקרה'!$E$6),OR('לוח בקרה'!$E$7="הכל",מלאי!R80='לוח בקרה'!$E$7),OR('לוח בקרה'!$E$8="הכל",'לוח בקרה'!$E$8="",מלאי!W80='לוח בקרה'!$E$8),OR('לוח בקרה'!$E$9="הכל",'לוח בקרה'!$E$9="",ISNUMBER(SEARCH('לוח בקרה'!$E$9,מלאי!C80)))),1,0)</f>
        <v>0</v>
      </c>
      <c r="AE80" t="e">
        <f>IF(AND(מלאי!D80&lt;&gt;"",OR('לוח בקרה טכנו-מבצעי'!$B$4="הכל",מלאי!Z80='לוח בקרה טכנו-מבצעי'!$B$4,מלאי!AA80='לוח בקרה טכנו-מבצעי'!$B$4,מלאי!AB80='לוח בקרה טכנו-מבצעי'!$B$4,מלאי!AC80='לוח בקרה טכנו-מבצעי'!$B$4),OR('לוח בקרה טכנו-מבצעי'!$B$5="הכל",מלאי!A80='לוח בקרה טכנו-מבצעי'!$B$5),OR('לוח בקרה טכנו-מבצעי'!$B$6="הכל",מלאי!B80='לוח בקרה טכנו-מבצעי'!$B$6),OR('לוח בקרה טכנו-מבצעי'!$B$7="הכל",מלאי!F80='לוח בקרה טכנו-מבצעי'!$B$7,מלאי!G80='לוח בקרה טכנו-מבצעי'!$B$7),OR('לוח בקרה טכנו-מבצעי'!$B$8="הכל",מלאי!T80='לוח בקרה טכנו-מבצעי'!$B$8),OR('לוח בקרה טכנו-מבצעי'!$B$9="הכל",מלאי!Q80='לוח בקרה טכנו-מבצעי'!$B$9),OR('לוח בקרה טכנו-מבצעי'!$E$4="הכל",מלאי!J80='לוח בקרה טכנו-מבצעי'!$E$4),OR('לוח בקרה טכנו-מבצעי'!$E$5="הכל",מלאי!L80='לוח בקרה טכנו-מבצעי'!$E$5),OR('לוח בקרה טכנו-מבצעי'!$E$6="הכל",מלאי!O80='לוח בקרה טכנו-מבצעי'!$E$6),OR('לוח בקרה טכנו-מבצעי'!$E$7="הכל",מלאי!R80='לוח בקרה טכנו-מבצעי'!$E$7),OR('לוח בקרה טכנו-מבצעי'!$E$8="הכל",'לוח בקרה טכנו-מבצעי'!$E$8="",מלאי!W80='לוח בקרה טכנו-מבצעי'!$E$8),OR('לוח בקרה טכנו-מבצעי'!$E$9="הכל",'לוח בקרה טכנו-מבצעי'!$E$9="",ISNUMBER(SEARCH('לוח בקרה טכנו-מבצעי'!$E$9,מלאי!C80))),OR('לוח בקרה טכנו-מבצעי'!$B$10="הכל",מלאי!#REF!='לוח בקרה טכנו-מבצעי'!$B$10)),1,0)</f>
        <v>#REF!</v>
      </c>
      <c r="AF80" t="str">
        <f>IF(AD80=1,COUNTIF($AD$3:$AD80,1),"")</f>
        <v/>
      </c>
      <c r="AG80" t="e">
        <f>IF(AE80=1,COUNTIF($AE$3:$AE80,1),"")</f>
        <v>#REF!</v>
      </c>
    </row>
    <row r="81" spans="1:33" ht="15" customHeight="1" x14ac:dyDescent="0.25">
      <c r="A81" s="17" t="s">
        <v>114</v>
      </c>
      <c r="B81" s="17" t="s">
        <v>121</v>
      </c>
      <c r="C81" s="30" t="s">
        <v>64</v>
      </c>
      <c r="D81" s="30" t="s">
        <v>267</v>
      </c>
      <c r="E81" s="17" t="str">
        <f>IFERROR(INDEX(הגדרות!$I$2:$I$47,MATCH(B81,הגדרות!$H$2:$H$47,0)),"")</f>
        <v>9021-00</v>
      </c>
      <c r="F81" s="17" t="s">
        <v>73</v>
      </c>
      <c r="G81" s="17"/>
      <c r="H81" s="17" t="s">
        <v>95</v>
      </c>
      <c r="I81" s="17" t="s">
        <v>67</v>
      </c>
      <c r="J81" s="17" t="s">
        <v>68</v>
      </c>
      <c r="K81" s="17" t="s">
        <v>68</v>
      </c>
      <c r="L81" s="17" t="s">
        <v>68</v>
      </c>
      <c r="M81" s="17" t="s">
        <v>68</v>
      </c>
      <c r="N81" s="17" t="s">
        <v>14</v>
      </c>
      <c r="O81" s="17" t="s">
        <v>14</v>
      </c>
      <c r="P81" s="30" t="s">
        <v>266</v>
      </c>
      <c r="Q81" s="17" t="s">
        <v>14</v>
      </c>
      <c r="R81" s="17"/>
      <c r="S81" s="17" t="s">
        <v>14</v>
      </c>
      <c r="T81" s="17" t="s">
        <v>70</v>
      </c>
      <c r="U81" s="17"/>
      <c r="V81" s="17"/>
      <c r="W81" s="17"/>
      <c r="X81" s="17"/>
      <c r="Y81" s="17"/>
      <c r="Z81" t="str">
        <f>IFERROR(INDEX(הגדרות!$B$2:$B$17,MATCH(H81,הגדרות!$A$2:$A$17,0)),"")</f>
        <v>מיוער</v>
      </c>
      <c r="AA81">
        <f>IFERROR(INDEX(הגדרות!$C$2:$C$17,MATCH(H81,הגדרות!$A$2:$A$17,0)),"")</f>
        <v>0</v>
      </c>
      <c r="AB81" t="str">
        <f>IFERROR(INDEX(הגדרות!$B$2:$B$17,MATCH(I81,הגדרות!$A$2:$A$17,0)),"")</f>
        <v>מדברי</v>
      </c>
      <c r="AC81">
        <f>IFERROR(INDEX(הגדרות!$C$2:$C$17,MATCH(I81,הגדרות!$A$2:$A$17,0)),"")</f>
        <v>0</v>
      </c>
      <c r="AD81">
        <f>IF(AND(מלאי!D81&lt;&gt;"",OR('לוח בקרה'!$B$4="הכל",מלאי!Z81='לוח בקרה'!$B$4,מלאי!AA81='לוח בקרה'!$B$4,מלאי!AB81='לוח בקרה'!$B$4,מלאי!AC81='לוח בקרה'!$B$4),OR('לוח בקרה'!$B$5="הכל",מלאי!A81='לוח בקרה'!$B$5),OR('לוח בקרה'!$B$6="הכל",מלאי!B81='לוח בקרה'!$B$6),OR('לוח בקרה'!$B$7="הכל",מלאי!F81='לוח בקרה'!$B$7,מלאי!G81='לוח בקרה'!$B$7),OR('לוח בקרה'!$B$8="הכל",מלאי!T81='לוח בקרה'!$B$8),OR('לוח בקרה'!$B$9="הכל",מלאי!Q81='לוח בקרה'!$B$9),OR('לוח בקרה'!$E$4="הכל",מלאי!J81='לוח בקרה'!$E$4),OR('לוח בקרה'!$E$5="הכל",מלאי!L81='לוח בקרה'!$E$5),OR('לוח בקרה'!$E$6="הכל",מלאי!O81='לוח בקרה'!$E$6),OR('לוח בקרה'!$E$7="הכל",מלאי!R81='לוח בקרה'!$E$7),OR('לוח בקרה'!$E$8="הכל",'לוח בקרה'!$E$8="",מלאי!W81='לוח בקרה'!$E$8),OR('לוח בקרה'!$E$9="הכל",'לוח בקרה'!$E$9="",ISNUMBER(SEARCH('לוח בקרה'!$E$9,מלאי!C81)))),1,0)</f>
        <v>0</v>
      </c>
      <c r="AE81" t="e">
        <f>IF(AND(מלאי!D81&lt;&gt;"",OR('לוח בקרה טכנו-מבצעי'!$B$4="הכל",מלאי!Z81='לוח בקרה טכנו-מבצעי'!$B$4,מלאי!AA81='לוח בקרה טכנו-מבצעי'!$B$4,מלאי!AB81='לוח בקרה טכנו-מבצעי'!$B$4,מלאי!AC81='לוח בקרה טכנו-מבצעי'!$B$4),OR('לוח בקרה טכנו-מבצעי'!$B$5="הכל",מלאי!A81='לוח בקרה טכנו-מבצעי'!$B$5),OR('לוח בקרה טכנו-מבצעי'!$B$6="הכל",מלאי!B81='לוח בקרה טכנו-מבצעי'!$B$6),OR('לוח בקרה טכנו-מבצעי'!$B$7="הכל",מלאי!F81='לוח בקרה טכנו-מבצעי'!$B$7,מלאי!G81='לוח בקרה טכנו-מבצעי'!$B$7),OR('לוח בקרה טכנו-מבצעי'!$B$8="הכל",מלאי!T81='לוח בקרה טכנו-מבצעי'!$B$8),OR('לוח בקרה טכנו-מבצעי'!$B$9="הכל",מלאי!Q81='לוח בקרה טכנו-מבצעי'!$B$9),OR('לוח בקרה טכנו-מבצעי'!$E$4="הכל",מלאי!J81='לוח בקרה טכנו-מבצעי'!$E$4),OR('לוח בקרה טכנו-מבצעי'!$E$5="הכל",מלאי!L81='לוח בקרה טכנו-מבצעי'!$E$5),OR('לוח בקרה טכנו-מבצעי'!$E$6="הכל",מלאי!O81='לוח בקרה טכנו-מבצעי'!$E$6),OR('לוח בקרה טכנו-מבצעי'!$E$7="הכל",מלאי!R81='לוח בקרה טכנו-מבצעי'!$E$7),OR('לוח בקרה טכנו-מבצעי'!$E$8="הכל",'לוח בקרה טכנו-מבצעי'!$E$8="",מלאי!W81='לוח בקרה טכנו-מבצעי'!$E$8),OR('לוח בקרה טכנו-מבצעי'!$E$9="הכל",'לוח בקרה טכנו-מבצעי'!$E$9="",ISNUMBER(SEARCH('לוח בקרה טכנו-מבצעי'!$E$9,מלאי!C81))),OR('לוח בקרה טכנו-מבצעי'!$B$10="הכל",מלאי!#REF!='לוח בקרה טכנו-מבצעי'!$B$10)),1,0)</f>
        <v>#REF!</v>
      </c>
      <c r="AF81" t="str">
        <f>IF(AD81=1,COUNTIF($AD$3:$AD81,1),"")</f>
        <v/>
      </c>
      <c r="AG81" t="e">
        <f>IF(AE81=1,COUNTIF($AE$3:$AE81,1),"")</f>
        <v>#REF!</v>
      </c>
    </row>
    <row r="82" spans="1:33" ht="15" customHeight="1" x14ac:dyDescent="0.25">
      <c r="A82" s="19" t="s">
        <v>114</v>
      </c>
      <c r="B82" s="19" t="s">
        <v>121</v>
      </c>
      <c r="C82" s="19" t="s">
        <v>64</v>
      </c>
      <c r="D82" s="29" t="s">
        <v>332</v>
      </c>
      <c r="E82" s="19" t="str">
        <f>IFERROR(INDEX(הגדרות!$I$2:$I$47,MATCH(B82,הגדרות!$H$2:$H$47,0)),"")</f>
        <v>9021-00</v>
      </c>
      <c r="F82" s="19" t="s">
        <v>73</v>
      </c>
      <c r="G82" s="19"/>
      <c r="H82" s="19" t="s">
        <v>66</v>
      </c>
      <c r="I82" s="19" t="s">
        <v>67</v>
      </c>
      <c r="J82" s="19" t="s">
        <v>68</v>
      </c>
      <c r="K82" s="19" t="s">
        <v>68</v>
      </c>
      <c r="L82" s="19" t="s">
        <v>68</v>
      </c>
      <c r="M82" s="19" t="s">
        <v>68</v>
      </c>
      <c r="N82" s="19"/>
      <c r="O82" s="19" t="s">
        <v>68</v>
      </c>
      <c r="P82" s="19"/>
      <c r="Q82" s="19" t="s">
        <v>14</v>
      </c>
      <c r="R82" s="19"/>
      <c r="S82" s="19" t="s">
        <v>14</v>
      </c>
      <c r="T82" s="19" t="s">
        <v>69</v>
      </c>
      <c r="U82" s="19"/>
      <c r="V82" s="19"/>
      <c r="W82" s="19"/>
      <c r="X82" s="19"/>
      <c r="Y82" s="19"/>
      <c r="Z82" t="str">
        <f>IFERROR(INDEX(הגדרות!$B$2:$B$17,MATCH(H82,הגדרות!$A$2:$A$17,0)),"")</f>
        <v>מיוער</v>
      </c>
      <c r="AA82">
        <f>IFERROR(INDEX(הגדרות!$C$2:$C$17,MATCH(H82,הגדרות!$A$2:$A$17,0)),"")</f>
        <v>0</v>
      </c>
      <c r="AB82" t="str">
        <f>IFERROR(INDEX(הגדרות!$B$2:$B$17,MATCH(I82,הגדרות!$A$2:$A$17,0)),"")</f>
        <v>מדברי</v>
      </c>
      <c r="AC82">
        <f>IFERROR(INDEX(הגדרות!$C$2:$C$17,MATCH(I82,הגדרות!$A$2:$A$17,0)),"")</f>
        <v>0</v>
      </c>
      <c r="AD82">
        <f>IF(AND(מלאי!D82&lt;&gt;"",OR('לוח בקרה'!$B$4="הכל",מלאי!Z82='לוח בקרה'!$B$4,מלאי!AA82='לוח בקרה'!$B$4,מלאי!AB82='לוח בקרה'!$B$4,מלאי!AC82='לוח בקרה'!$B$4),OR('לוח בקרה'!$B$5="הכל",מלאי!A82='לוח בקרה'!$B$5),OR('לוח בקרה'!$B$6="הכל",מלאי!B82='לוח בקרה'!$B$6),OR('לוח בקרה'!$B$7="הכל",מלאי!F82='לוח בקרה'!$B$7,מלאי!G82='לוח בקרה'!$B$7),OR('לוח בקרה'!$B$8="הכל",מלאי!T82='לוח בקרה'!$B$8),OR('לוח בקרה'!$B$9="הכל",מלאי!Q82='לוח בקרה'!$B$9),OR('לוח בקרה'!$E$4="הכל",מלאי!J82='לוח בקרה'!$E$4),OR('לוח בקרה'!$E$5="הכל",מלאי!L82='לוח בקרה'!$E$5),OR('לוח בקרה'!$E$6="הכל",מלאי!O82='לוח בקרה'!$E$6),OR('לוח בקרה'!$E$7="הכל",מלאי!R82='לוח בקרה'!$E$7),OR('לוח בקרה'!$E$8="הכל",'לוח בקרה'!$E$8="",מלאי!W82='לוח בקרה'!$E$8),OR('לוח בקרה'!$E$9="הכל",'לוח בקרה'!$E$9="",ISNUMBER(SEARCH('לוח בקרה'!$E$9,מלאי!C82)))),1,0)</f>
        <v>1</v>
      </c>
      <c r="AE82" t="e">
        <f>IF(AND(מלאי!D82&lt;&gt;"",OR('לוח בקרה טכנו-מבצעי'!$B$4="הכל",מלאי!Z82='לוח בקרה טכנו-מבצעי'!$B$4,מלאי!AA82='לוח בקרה טכנו-מבצעי'!$B$4,מלאי!AB82='לוח בקרה טכנו-מבצעי'!$B$4,מלאי!AC82='לוח בקרה טכנו-מבצעי'!$B$4),OR('לוח בקרה טכנו-מבצעי'!$B$5="הכל",מלאי!A82='לוח בקרה טכנו-מבצעי'!$B$5),OR('לוח בקרה טכנו-מבצעי'!$B$6="הכל",מלאי!B82='לוח בקרה טכנו-מבצעי'!$B$6),OR('לוח בקרה טכנו-מבצעי'!$B$7="הכל",מלאי!F82='לוח בקרה טכנו-מבצעי'!$B$7,מלאי!G82='לוח בקרה טכנו-מבצעי'!$B$7),OR('לוח בקרה טכנו-מבצעי'!$B$8="הכל",מלאי!T82='לוח בקרה טכנו-מבצעי'!$B$8),OR('לוח בקרה טכנו-מבצעי'!$B$9="הכל",מלאי!Q82='לוח בקרה טכנו-מבצעי'!$B$9),OR('לוח בקרה טכנו-מבצעי'!$E$4="הכל",מלאי!J82='לוח בקרה טכנו-מבצעי'!$E$4),OR('לוח בקרה טכנו-מבצעי'!$E$5="הכל",מלאי!L82='לוח בקרה טכנו-מבצעי'!$E$5),OR('לוח בקרה טכנו-מבצעי'!$E$6="הכל",מלאי!O82='לוח בקרה טכנו-מבצעי'!$E$6),OR('לוח בקרה טכנו-מבצעי'!$E$7="הכל",מלאי!R82='לוח בקרה טכנו-מבצעי'!$E$7),OR('לוח בקרה טכנו-מבצעי'!$E$8="הכל",'לוח בקרה טכנו-מבצעי'!$E$8="",מלאי!W82='לוח בקרה טכנו-מבצעי'!$E$8),OR('לוח בקרה טכנו-מבצעי'!$E$9="הכל",'לוח בקרה טכנו-מבצעי'!$E$9="",ISNUMBER(SEARCH('לוח בקרה טכנו-מבצעי'!$E$9,מלאי!C82))),OR('לוח בקרה טכנו-מבצעי'!$B$10="הכל",מלאי!#REF!='לוח בקרה טכנו-מבצעי'!$B$10)),1,0)</f>
        <v>#REF!</v>
      </c>
      <c r="AF82">
        <f>IF(AD82=1,COUNTIF($AD$3:$AD82,1),"")</f>
        <v>25</v>
      </c>
      <c r="AG82" t="e">
        <f>IF(AE82=1,COUNTIF($AE$3:$AE82,1),"")</f>
        <v>#REF!</v>
      </c>
    </row>
    <row r="83" spans="1:33" ht="15" customHeight="1" x14ac:dyDescent="0.25">
      <c r="A83" s="19" t="s">
        <v>114</v>
      </c>
      <c r="B83" s="19" t="s">
        <v>121</v>
      </c>
      <c r="C83" s="19" t="s">
        <v>64</v>
      </c>
      <c r="D83" s="29" t="s">
        <v>333</v>
      </c>
      <c r="E83" s="19" t="str">
        <f>IFERROR(INDEX(הגדרות!$I$2:$I$47,MATCH(B83,הגדרות!$H$2:$H$47,0)),"")</f>
        <v>9021-00</v>
      </c>
      <c r="F83" s="19" t="s">
        <v>73</v>
      </c>
      <c r="G83" s="19"/>
      <c r="H83" s="19" t="s">
        <v>74</v>
      </c>
      <c r="I83" s="19" t="s">
        <v>74</v>
      </c>
      <c r="J83" s="19" t="s">
        <v>68</v>
      </c>
      <c r="K83" s="19" t="s">
        <v>68</v>
      </c>
      <c r="L83" s="19" t="s">
        <v>68</v>
      </c>
      <c r="M83" s="19" t="s">
        <v>68</v>
      </c>
      <c r="N83" s="19"/>
      <c r="O83" s="19" t="s">
        <v>68</v>
      </c>
      <c r="P83" s="19"/>
      <c r="Q83" s="19" t="s">
        <v>14</v>
      </c>
      <c r="R83" s="19"/>
      <c r="S83" s="19" t="s">
        <v>14</v>
      </c>
      <c r="T83" s="19" t="s">
        <v>69</v>
      </c>
      <c r="U83" s="19"/>
      <c r="V83" s="19"/>
      <c r="W83" s="19"/>
      <c r="X83" s="19"/>
      <c r="Y83" s="19"/>
      <c r="Z83" t="str">
        <f>IFERROR(INDEX(הגדרות!$B$2:$B$17,MATCH(H83,הגדרות!$A$2:$A$17,0)),"")</f>
        <v>מיוער</v>
      </c>
      <c r="AA83">
        <f>IFERROR(INDEX(הגדרות!$C$2:$C$17,MATCH(H83,הגדרות!$A$2:$A$17,0)),"")</f>
        <v>0</v>
      </c>
      <c r="AB83" t="str">
        <f>IFERROR(INDEX(הגדרות!$B$2:$B$17,MATCH(I83,הגדרות!$A$2:$A$17,0)),"")</f>
        <v>מיוער</v>
      </c>
      <c r="AC83">
        <f>IFERROR(INDEX(הגדרות!$C$2:$C$17,MATCH(I83,הגדרות!$A$2:$A$17,0)),"")</f>
        <v>0</v>
      </c>
      <c r="AD83">
        <f>IF(AND(מלאי!D83&lt;&gt;"",OR('לוח בקרה'!$B$4="הכל",מלאי!Z83='לוח בקרה'!$B$4,מלאי!AA83='לוח בקרה'!$B$4,מלאי!AB83='לוח בקרה'!$B$4,מלאי!AC83='לוח בקרה'!$B$4),OR('לוח בקרה'!$B$5="הכל",מלאי!A83='לוח בקרה'!$B$5),OR('לוח בקרה'!$B$6="הכל",מלאי!B83='לוח בקרה'!$B$6),OR('לוח בקרה'!$B$7="הכל",מלאי!F83='לוח בקרה'!$B$7,מלאי!G83='לוח בקרה'!$B$7),OR('לוח בקרה'!$B$8="הכל",מלאי!T83='לוח בקרה'!$B$8),OR('לוח בקרה'!$B$9="הכל",מלאי!Q83='לוח בקרה'!$B$9),OR('לוח בקרה'!$E$4="הכל",מלאי!J83='לוח בקרה'!$E$4),OR('לוח בקרה'!$E$5="הכל",מלאי!L83='לוח בקרה'!$E$5),OR('לוח בקרה'!$E$6="הכל",מלאי!O83='לוח בקרה'!$E$6),OR('לוח בקרה'!$E$7="הכל",מלאי!R83='לוח בקרה'!$E$7),OR('לוח בקרה'!$E$8="הכל",'לוח בקרה'!$E$8="",מלאי!W83='לוח בקרה'!$E$8),OR('לוח בקרה'!$E$9="הכל",'לוח בקרה'!$E$9="",ISNUMBER(SEARCH('לוח בקרה'!$E$9,מלאי!C83)))),1,0)</f>
        <v>1</v>
      </c>
      <c r="AE83" t="e">
        <f>IF(AND(מלאי!D83&lt;&gt;"",OR('לוח בקרה טכנו-מבצעי'!$B$4="הכל",מלאי!Z83='לוח בקרה טכנו-מבצעי'!$B$4,מלאי!AA83='לוח בקרה טכנו-מבצעי'!$B$4,מלאי!AB83='לוח בקרה טכנו-מבצעי'!$B$4,מלאי!AC83='לוח בקרה טכנו-מבצעי'!$B$4),OR('לוח בקרה טכנו-מבצעי'!$B$5="הכל",מלאי!A83='לוח בקרה טכנו-מבצעי'!$B$5),OR('לוח בקרה טכנו-מבצעי'!$B$6="הכל",מלאי!B83='לוח בקרה טכנו-מבצעי'!$B$6),OR('לוח בקרה טכנו-מבצעי'!$B$7="הכל",מלאי!F83='לוח בקרה טכנו-מבצעי'!$B$7,מלאי!G83='לוח בקרה טכנו-מבצעי'!$B$7),OR('לוח בקרה טכנו-מבצעי'!$B$8="הכל",מלאי!T83='לוח בקרה טכנו-מבצעי'!$B$8),OR('לוח בקרה טכנו-מבצעי'!$B$9="הכל",מלאי!Q83='לוח בקרה טכנו-מבצעי'!$B$9),OR('לוח בקרה טכנו-מבצעי'!$E$4="הכל",מלאי!J83='לוח בקרה טכנו-מבצעי'!$E$4),OR('לוח בקרה טכנו-מבצעי'!$E$5="הכל",מלאי!L83='לוח בקרה טכנו-מבצעי'!$E$5),OR('לוח בקרה טכנו-מבצעי'!$E$6="הכל",מלאי!O83='לוח בקרה טכנו-מבצעי'!$E$6),OR('לוח בקרה טכנו-מבצעי'!$E$7="הכל",מלאי!R83='לוח בקרה טכנו-מבצעי'!$E$7),OR('לוח בקרה טכנו-מבצעי'!$E$8="הכל",'לוח בקרה טכנו-מבצעי'!$E$8="",מלאי!W83='לוח בקרה טכנו-מבצעי'!$E$8),OR('לוח בקרה טכנו-מבצעי'!$E$9="הכל",'לוח בקרה טכנו-מבצעי'!$E$9="",ISNUMBER(SEARCH('לוח בקרה טכנו-מבצעי'!$E$9,מלאי!C83))),OR('לוח בקרה טכנו-מבצעי'!$B$10="הכל",מלאי!#REF!='לוח בקרה טכנו-מבצעי'!$B$10)),1,0)</f>
        <v>#REF!</v>
      </c>
      <c r="AF83">
        <f>IF(AD83=1,COUNTIF($AD$3:$AD83,1),"")</f>
        <v>26</v>
      </c>
      <c r="AG83" t="e">
        <f>IF(AE83=1,COUNTIF($AE$3:$AE83,1),"")</f>
        <v>#REF!</v>
      </c>
    </row>
    <row r="84" spans="1:33" ht="15" customHeight="1" x14ac:dyDescent="0.25">
      <c r="A84" s="19" t="s">
        <v>114</v>
      </c>
      <c r="B84" s="19" t="s">
        <v>121</v>
      </c>
      <c r="C84" s="19" t="s">
        <v>64</v>
      </c>
      <c r="D84" s="29" t="s">
        <v>334</v>
      </c>
      <c r="E84" s="19" t="str">
        <f>IFERROR(INDEX(הגדרות!$I$2:$I$47,MATCH(B84,הגדרות!$H$2:$H$47,0)),"")</f>
        <v>9021-00</v>
      </c>
      <c r="F84" s="19" t="s">
        <v>73</v>
      </c>
      <c r="G84" s="19"/>
      <c r="H84" s="19" t="s">
        <v>264</v>
      </c>
      <c r="I84" s="19" t="s">
        <v>264</v>
      </c>
      <c r="J84" s="19" t="s">
        <v>68</v>
      </c>
      <c r="K84" s="19" t="s">
        <v>68</v>
      </c>
      <c r="L84" s="19" t="s">
        <v>68</v>
      </c>
      <c r="M84" s="19" t="s">
        <v>68</v>
      </c>
      <c r="N84" s="19"/>
      <c r="O84" s="19" t="s">
        <v>68</v>
      </c>
      <c r="P84" s="29"/>
      <c r="Q84" s="19" t="s">
        <v>14</v>
      </c>
      <c r="R84" s="19"/>
      <c r="S84" s="19" t="s">
        <v>14</v>
      </c>
      <c r="T84" s="19" t="s">
        <v>69</v>
      </c>
      <c r="U84" s="19"/>
      <c r="V84" s="19"/>
      <c r="W84" s="19"/>
      <c r="X84" s="19"/>
      <c r="Y84" s="19"/>
      <c r="Z84" t="str">
        <f>IFERROR(INDEX(הגדרות!$B$2:$B$17,MATCH(H84,הגדרות!$A$2:$A$17,0)),"")</f>
        <v/>
      </c>
      <c r="AA84" t="str">
        <f>IFERROR(INDEX(הגדרות!$C$2:$C$17,MATCH(H84,הגדרות!$A$2:$A$17,0)),"")</f>
        <v/>
      </c>
      <c r="AB84" t="str">
        <f>IFERROR(INDEX(הגדרות!$B$2:$B$17,MATCH(I84,הגדרות!$A$2:$A$17,0)),"")</f>
        <v/>
      </c>
      <c r="AC84" t="str">
        <f>IFERROR(INDEX(הגדרות!$C$2:$C$17,MATCH(I84,הגדרות!$A$2:$A$17,0)),"")</f>
        <v/>
      </c>
      <c r="AD84">
        <f>IF(AND(מלאי!D84&lt;&gt;"",OR('לוח בקרה'!$B$4="הכל",מלאי!Z84='לוח בקרה'!$B$4,מלאי!AA84='לוח בקרה'!$B$4,מלאי!AB84='לוח בקרה'!$B$4,מלאי!AC84='לוח בקרה'!$B$4),OR('לוח בקרה'!$B$5="הכל",מלאי!A84='לוח בקרה'!$B$5),OR('לוח בקרה'!$B$6="הכל",מלאי!B84='לוח בקרה'!$B$6),OR('לוח בקרה'!$B$7="הכל",מלאי!F84='לוח בקרה'!$B$7,מלאי!G84='לוח בקרה'!$B$7),OR('לוח בקרה'!$B$8="הכל",מלאי!T84='לוח בקרה'!$B$8),OR('לוח בקרה'!$B$9="הכל",מלאי!Q84='לוח בקרה'!$B$9),OR('לוח בקרה'!$E$4="הכל",מלאי!J84='לוח בקרה'!$E$4),OR('לוח בקרה'!$E$5="הכל",מלאי!L84='לוח בקרה'!$E$5),OR('לוח בקרה'!$E$6="הכל",מלאי!O84='לוח בקרה'!$E$6),OR('לוח בקרה'!$E$7="הכל",מלאי!R84='לוח בקרה'!$E$7),OR('לוח בקרה'!$E$8="הכל",'לוח בקרה'!$E$8="",מלאי!W84='לוח בקרה'!$E$8),OR('לוח בקרה'!$E$9="הכל",'לוח בקרה'!$E$9="",ISNUMBER(SEARCH('לוח בקרה'!$E$9,מלאי!C84)))),1,0)</f>
        <v>0</v>
      </c>
      <c r="AE84" t="e">
        <f>IF(AND(מלאי!D84&lt;&gt;"",OR('לוח בקרה טכנו-מבצעי'!$B$4="הכל",מלאי!Z84='לוח בקרה טכנו-מבצעי'!$B$4,מלאי!AA84='לוח בקרה טכנו-מבצעי'!$B$4,מלאי!AB84='לוח בקרה טכנו-מבצעי'!$B$4,מלאי!AC84='לוח בקרה טכנו-מבצעי'!$B$4),OR('לוח בקרה טכנו-מבצעי'!$B$5="הכל",מלאי!A84='לוח בקרה טכנו-מבצעי'!$B$5),OR('לוח בקרה טכנו-מבצעי'!$B$6="הכל",מלאי!B84='לוח בקרה טכנו-מבצעי'!$B$6),OR('לוח בקרה טכנו-מבצעי'!$B$7="הכל",מלאי!F84='לוח בקרה טכנו-מבצעי'!$B$7,מלאי!G84='לוח בקרה טכנו-מבצעי'!$B$7),OR('לוח בקרה טכנו-מבצעי'!$B$8="הכל",מלאי!T84='לוח בקרה טכנו-מבצעי'!$B$8),OR('לוח בקרה טכנו-מבצעי'!$B$9="הכל",מלאי!Q84='לוח בקרה טכנו-מבצעי'!$B$9),OR('לוח בקרה טכנו-מבצעי'!$E$4="הכל",מלאי!J84='לוח בקרה טכנו-מבצעי'!$E$4),OR('לוח בקרה טכנו-מבצעי'!$E$5="הכל",מלאי!L84='לוח בקרה טכנו-מבצעי'!$E$5),OR('לוח בקרה טכנו-מבצעי'!$E$6="הכל",מלאי!O84='לוח בקרה טכנו-מבצעי'!$E$6),OR('לוח בקרה טכנו-מבצעי'!$E$7="הכל",מלאי!R84='לוח בקרה טכנו-מבצעי'!$E$7),OR('לוח בקרה טכנו-מבצעי'!$E$8="הכל",'לוח בקרה טכנו-מבצעי'!$E$8="",מלאי!W84='לוח בקרה טכנו-מבצעי'!$E$8),OR('לוח בקרה טכנו-מבצעי'!$E$9="הכל",'לוח בקרה טכנו-מבצעי'!$E$9="",ISNUMBER(SEARCH('לוח בקרה טכנו-מבצעי'!$E$9,מלאי!C84))),OR('לוח בקרה טכנו-מבצעי'!$B$10="הכל",מלאי!#REF!='לוח בקרה טכנו-מבצעי'!$B$10)),1,0)</f>
        <v>#REF!</v>
      </c>
      <c r="AF84" t="str">
        <f>IF(AD84=1,COUNTIF($AD$3:$AD84,1),"")</f>
        <v/>
      </c>
      <c r="AG84" t="e">
        <f>IF(AE84=1,COUNTIF($AE$3:$AE84,1),"")</f>
        <v>#REF!</v>
      </c>
    </row>
    <row r="85" spans="1:33" ht="15" customHeight="1" x14ac:dyDescent="0.25">
      <c r="A85" s="19" t="s">
        <v>114</v>
      </c>
      <c r="B85" s="19" t="s">
        <v>121</v>
      </c>
      <c r="C85" s="19" t="s">
        <v>64</v>
      </c>
      <c r="D85" s="29" t="s">
        <v>269</v>
      </c>
      <c r="E85" s="19" t="str">
        <f>IFERROR(INDEX(הגדרות!$I$2:$I$47,MATCH(B85,הגדרות!$H$2:$H$47,0)),"")</f>
        <v>9021-00</v>
      </c>
      <c r="F85" s="19" t="s">
        <v>65</v>
      </c>
      <c r="G85" s="19"/>
      <c r="H85" s="19"/>
      <c r="J85" s="19" t="s">
        <v>68</v>
      </c>
      <c r="K85" s="19" t="s">
        <v>68</v>
      </c>
      <c r="L85" s="19" t="s">
        <v>14</v>
      </c>
      <c r="M85" s="19" t="s">
        <v>14</v>
      </c>
      <c r="N85" s="19"/>
      <c r="O85" s="19" t="s">
        <v>14</v>
      </c>
      <c r="P85" s="19"/>
      <c r="Q85" s="19" t="s">
        <v>68</v>
      </c>
      <c r="R85" s="19"/>
      <c r="S85" s="19" t="s">
        <v>14</v>
      </c>
      <c r="T85" s="19" t="s">
        <v>69</v>
      </c>
      <c r="U85" s="29" t="s">
        <v>268</v>
      </c>
      <c r="V85" s="19"/>
      <c r="W85" s="19"/>
      <c r="X85" s="19"/>
      <c r="Y85" s="19"/>
      <c r="Z85" t="str">
        <f>IFERROR(INDEX(הגדרות!$B$2:$B$17,MATCH(H85,הגדרות!$A$2:$A$17,0)),"")</f>
        <v/>
      </c>
      <c r="AA85" t="str">
        <f>IFERROR(INDEX(הגדרות!$C$2:$C$17,MATCH(H85,הגדרות!$A$2:$A$17,0)),"")</f>
        <v/>
      </c>
      <c r="AB85" t="str">
        <f>IFERROR(INDEX(הגדרות!$B$2:$B$17,MATCH(I86,הגדרות!$A$2:$A$17,0)),"")</f>
        <v>מדברי</v>
      </c>
      <c r="AC85">
        <f>IFERROR(INDEX(הגדרות!$C$2:$C$17,MATCH(I86,הגדרות!$A$2:$A$17,0)),"")</f>
        <v>0</v>
      </c>
      <c r="AD85">
        <f>IF(AND(מלאי!D85&lt;&gt;"",OR('לוח בקרה'!$B$4="הכל",מלאי!Z85='לוח בקרה'!$B$4,מלאי!AA85='לוח בקרה'!$B$4,מלאי!AB85='לוח בקרה'!$B$4,מלאי!AC85='לוח בקרה'!$B$4),OR('לוח בקרה'!$B$5="הכל",מלאי!A85='לוח בקרה'!$B$5),OR('לוח בקרה'!$B$6="הכל",מלאי!B85='לוח בקרה'!$B$6),OR('לוח בקרה'!$B$7="הכל",מלאי!F85='לוח בקרה'!$B$7,מלאי!G85='לוח בקרה'!$B$7),OR('לוח בקרה'!$B$8="הכל",מלאי!T85='לוח בקרה'!$B$8),OR('לוח בקרה'!$B$9="הכל",מלאי!Q85='לוח בקרה'!$B$9),OR('לוח בקרה'!$E$4="הכל",מלאי!J85='לוח בקרה'!$E$4),OR('לוח בקרה'!$E$5="הכל",מלאי!L85='לוח בקרה'!$E$5),OR('לוח בקרה'!$E$6="הכל",מלאי!O85='לוח בקרה'!$E$6),OR('לוח בקרה'!$E$7="הכל",מלאי!R85='לוח בקרה'!$E$7),OR('לוח בקרה'!$E$8="הכל",'לוח בקרה'!$E$8="",מלאי!W85='לוח בקרה'!$E$8),OR('לוח בקרה'!$E$9="הכל",'לוח בקרה'!$E$9="",ISNUMBER(SEARCH('לוח בקרה'!$E$9,מלאי!C85)))),1,0)</f>
        <v>0</v>
      </c>
      <c r="AE85" t="e">
        <f>IF(AND(מלאי!D85&lt;&gt;"",OR('לוח בקרה טכנו-מבצעי'!$B$4="הכל",מלאי!Z85='לוח בקרה טכנו-מבצעי'!$B$4,מלאי!AA85='לוח בקרה טכנו-מבצעי'!$B$4,מלאי!AB85='לוח בקרה טכנו-מבצעי'!$B$4,מלאי!AC85='לוח בקרה טכנו-מבצעי'!$B$4),OR('לוח בקרה טכנו-מבצעי'!$B$5="הכל",מלאי!A85='לוח בקרה טכנו-מבצעי'!$B$5),OR('לוח בקרה טכנו-מבצעי'!$B$6="הכל",מלאי!B85='לוח בקרה טכנו-מבצעי'!$B$6),OR('לוח בקרה טכנו-מבצעי'!$B$7="הכל",מלאי!F85='לוח בקרה טכנו-מבצעי'!$B$7,מלאי!G85='לוח בקרה טכנו-מבצעי'!$B$7),OR('לוח בקרה טכנו-מבצעי'!$B$8="הכל",מלאי!T85='לוח בקרה טכנו-מבצעי'!$B$8),OR('לוח בקרה טכנו-מבצעי'!$B$9="הכל",מלאי!Q85='לוח בקרה טכנו-מבצעי'!$B$9),OR('לוח בקרה טכנו-מבצעי'!$E$4="הכל",מלאי!J85='לוח בקרה טכנו-מבצעי'!$E$4),OR('לוח בקרה טכנו-מבצעי'!$E$5="הכל",מלאי!L85='לוח בקרה טכנו-מבצעי'!$E$5),OR('לוח בקרה טכנו-מבצעי'!$E$6="הכל",מלאי!O85='לוח בקרה טכנו-מבצעי'!$E$6),OR('לוח בקרה טכנו-מבצעי'!$E$7="הכל",מלאי!R85='לוח בקרה טכנו-מבצעי'!$E$7),OR('לוח בקרה טכנו-מבצעי'!$E$8="הכל",'לוח בקרה טכנו-מבצעי'!$E$8="",מלאי!W85='לוח בקרה טכנו-מבצעי'!$E$8),OR('לוח בקרה טכנו-מבצעי'!$E$9="הכל",'לוח בקרה טכנו-מבצעי'!$E$9="",ISNUMBER(SEARCH('לוח בקרה טכנו-מבצעי'!$E$9,מלאי!C85))),OR('לוח בקרה טכנו-מבצעי'!$B$10="הכל",מלאי!#REF!='לוח בקרה טכנו-מבצעי'!$B$10)),1,0)</f>
        <v>#REF!</v>
      </c>
      <c r="AF85" t="str">
        <f>IF(AD85=1,COUNTIF($AD$3:$AD85,1),"")</f>
        <v/>
      </c>
      <c r="AG85" t="e">
        <f>IF(AE85=1,COUNTIF($AE$3:$AE85,1),"")</f>
        <v>#REF!</v>
      </c>
    </row>
    <row r="86" spans="1:33" ht="15" customHeight="1" x14ac:dyDescent="0.25">
      <c r="A86" s="19" t="s">
        <v>62</v>
      </c>
      <c r="B86" s="19" t="s">
        <v>90</v>
      </c>
      <c r="C86" s="19" t="s">
        <v>64</v>
      </c>
      <c r="D86" s="29" t="s">
        <v>270</v>
      </c>
      <c r="E86" s="19" t="str">
        <f>IFERROR(INDEX(הגדרות!$I$2:$I$47,MATCH(B86,הגדרות!$H$2:$H$47,0)),"")</f>
        <v>7018-00</v>
      </c>
      <c r="F86" s="29" t="s">
        <v>108</v>
      </c>
      <c r="G86" s="19"/>
      <c r="H86" s="19" t="s">
        <v>66</v>
      </c>
      <c r="I86" s="19" t="s">
        <v>67</v>
      </c>
      <c r="J86" s="19" t="s">
        <v>68</v>
      </c>
      <c r="K86" s="19" t="s">
        <v>68</v>
      </c>
      <c r="L86" s="19" t="s">
        <v>14</v>
      </c>
      <c r="M86" s="19" t="s">
        <v>14</v>
      </c>
      <c r="N86" s="19"/>
      <c r="O86" s="19" t="s">
        <v>14</v>
      </c>
      <c r="P86" s="19"/>
      <c r="Q86" s="19" t="s">
        <v>68</v>
      </c>
      <c r="R86" s="19"/>
      <c r="S86" s="19" t="s">
        <v>14</v>
      </c>
      <c r="T86" s="19" t="s">
        <v>69</v>
      </c>
      <c r="U86" s="29" t="s">
        <v>271</v>
      </c>
      <c r="V86" s="19"/>
      <c r="W86" s="19"/>
      <c r="X86" s="19"/>
      <c r="Y86" s="19"/>
      <c r="Z86" t="str">
        <f>IFERROR(INDEX(הגדרות!$B$2:$B$17,MATCH(H86,הגדרות!$A$2:$A$17,0)),"")</f>
        <v>מיוער</v>
      </c>
      <c r="AA86">
        <f>IFERROR(INDEX(הגדרות!$C$2:$C$17,MATCH(H86,הגדרות!$A$2:$A$17,0)),"")</f>
        <v>0</v>
      </c>
      <c r="AB86" t="str">
        <f>IFERROR(INDEX(הגדרות!$B$2:$B$17,MATCH(I87,הגדרות!$A$2:$A$17,0)),"")</f>
        <v/>
      </c>
      <c r="AC86" t="str">
        <f>IFERROR(INDEX(הגדרות!$C$2:$C$17,MATCH(I87,הגדרות!$A$2:$A$17,0)),"")</f>
        <v/>
      </c>
      <c r="AD86">
        <f>IF(AND(מלאי!D86&lt;&gt;"",OR('לוח בקרה'!$B$4="הכל",מלאי!Z86='לוח בקרה'!$B$4,מלאי!AA86='לוח בקרה'!$B$4,מלאי!AB86='לוח בקרה'!$B$4,מלאי!AC86='לוח בקרה'!$B$4),OR('לוח בקרה'!$B$5="הכל",מלאי!A86='לוח בקרה'!$B$5),OR('לוח בקרה'!$B$6="הכל",מלאי!B86='לוח בקרה'!$B$6),OR('לוח בקרה'!$B$7="הכל",מלאי!F86='לוח בקרה'!$B$7,מלאי!G86='לוח בקרה'!$B$7),OR('לוח בקרה'!$B$8="הכל",מלאי!T86='לוח בקרה'!$B$8),OR('לוח בקרה'!$B$9="הכל",מלאי!Q86='לוח בקרה'!$B$9),OR('לוח בקרה'!$E$4="הכל",מלאי!J86='לוח בקרה'!$E$4),OR('לוח בקרה'!$E$5="הכל",מלאי!L86='לוח בקרה'!$E$5),OR('לוח בקרה'!$E$6="הכל",מלאי!O86='לוח בקרה'!$E$6),OR('לוח בקרה'!$E$7="הכל",מלאי!R86='לוח בקרה'!$E$7),OR('לוח בקרה'!$E$8="הכל",'לוח בקרה'!$E$8="",מלאי!W86='לוח בקרה'!$E$8),OR('לוח בקרה'!$E$9="הכל",'לוח בקרה'!$E$9="",ISNUMBER(SEARCH('לוח בקרה'!$E$9,מלאי!C86)))),1,0)</f>
        <v>0</v>
      </c>
      <c r="AE86" t="e">
        <f>IF(AND(מלאי!D86&lt;&gt;"",OR('לוח בקרה טכנו-מבצעי'!$B$4="הכל",מלאי!Z86='לוח בקרה טכנו-מבצעי'!$B$4,מלאי!AA86='לוח בקרה טכנו-מבצעי'!$B$4,מלאי!AB86='לוח בקרה טכנו-מבצעי'!$B$4,מלאי!AC86='לוח בקרה טכנו-מבצעי'!$B$4),OR('לוח בקרה טכנו-מבצעי'!$B$5="הכל",מלאי!A86='לוח בקרה טכנו-מבצעי'!$B$5),OR('לוח בקרה טכנו-מבצעי'!$B$6="הכל",מלאי!B86='לוח בקרה טכנו-מבצעי'!$B$6),OR('לוח בקרה טכנו-מבצעי'!$B$7="הכל",מלאי!F86='לוח בקרה טכנו-מבצעי'!$B$7,מלאי!G86='לוח בקרה טכנו-מבצעי'!$B$7),OR('לוח בקרה טכנו-מבצעי'!$B$8="הכל",מלאי!T86='לוח בקרה טכנו-מבצעי'!$B$8),OR('לוח בקרה טכנו-מבצעי'!$B$9="הכל",מלאי!Q86='לוח בקרה טכנו-מבצעי'!$B$9),OR('לוח בקרה טכנו-מבצעי'!$E$4="הכל",מלאי!J86='לוח בקרה טכנו-מבצעי'!$E$4),OR('לוח בקרה טכנו-מבצעי'!$E$5="הכל",מלאי!L86='לוח בקרה טכנו-מבצעי'!$E$5),OR('לוח בקרה טכנו-מבצעי'!$E$6="הכל",מלאי!O86='לוח בקרה טכנו-מבצעי'!$E$6),OR('לוח בקרה טכנו-מבצעי'!$E$7="הכל",מלאי!R86='לוח בקרה טכנו-מבצעי'!$E$7),OR('לוח בקרה טכנו-מבצעי'!$E$8="הכל",'לוח בקרה טכנו-מבצעי'!$E$8="",מלאי!W86='לוח בקרה טכנו-מבצעי'!$E$8),OR('לוח בקרה טכנו-מבצעי'!$E$9="הכל",'לוח בקרה טכנו-מבצעי'!$E$9="",ISNUMBER(SEARCH('לוח בקרה טכנו-מבצעי'!$E$9,מלאי!C86))),OR('לוח בקרה טכנו-מבצעי'!$B$10="הכל",מלאי!#REF!='לוח בקרה טכנו-מבצעי'!$B$10)),1,0)</f>
        <v>#REF!</v>
      </c>
      <c r="AF86" t="str">
        <f>IF(AD86=1,COUNTIF($AD$3:$AD86,1),"")</f>
        <v/>
      </c>
      <c r="AG86" t="e">
        <f>IF(AE86=1,COUNTIF($AE$3:$AE86,1),"")</f>
        <v>#REF!</v>
      </c>
    </row>
    <row r="87" spans="1:33" ht="15" customHeight="1" x14ac:dyDescent="0.25">
      <c r="A87" s="17" t="s">
        <v>62</v>
      </c>
      <c r="B87" s="17" t="s">
        <v>83</v>
      </c>
      <c r="C87" s="17" t="s">
        <v>64</v>
      </c>
      <c r="D87" s="30" t="s">
        <v>285</v>
      </c>
      <c r="E87" s="17" t="str">
        <f>IFERROR(INDEX(הגדרות!$I$2:$I$47,MATCH(B87,הגדרות!$H$2:$H$47,0)),"")</f>
        <v>7004-01</v>
      </c>
      <c r="F87" s="17" t="s">
        <v>65</v>
      </c>
      <c r="G87" s="17"/>
      <c r="H87" s="17" t="s">
        <v>67</v>
      </c>
      <c r="I87" s="17"/>
      <c r="J87" s="17" t="s">
        <v>68</v>
      </c>
      <c r="K87" s="17"/>
      <c r="L87" s="17" t="s">
        <v>14</v>
      </c>
      <c r="M87" s="17"/>
      <c r="N87" s="17" t="s">
        <v>14</v>
      </c>
      <c r="O87" s="17" t="s">
        <v>14</v>
      </c>
      <c r="P87" s="30" t="s">
        <v>272</v>
      </c>
      <c r="Q87" s="17" t="s">
        <v>68</v>
      </c>
      <c r="R87" s="17"/>
      <c r="S87" s="17" t="s">
        <v>14</v>
      </c>
      <c r="T87" s="17" t="s">
        <v>69</v>
      </c>
      <c r="U87" s="30" t="s">
        <v>273</v>
      </c>
      <c r="V87" s="17"/>
      <c r="W87" s="17"/>
      <c r="X87" s="17"/>
      <c r="Y87" s="17"/>
      <c r="Z87" t="str">
        <f>IFERROR(INDEX(הגדרות!$B$2:$B$17,MATCH(H87,הגדרות!$A$2:$A$17,0)),"")</f>
        <v>מדברי</v>
      </c>
      <c r="AA87">
        <f>IFERROR(INDEX(הגדרות!$C$2:$C$17,MATCH(H87,הגדרות!$A$2:$A$17,0)),"")</f>
        <v>0</v>
      </c>
      <c r="AB87" t="str">
        <f>IFERROR(INDEX(הגדרות!$B$2:$B$17,MATCH(I87,הגדרות!$A$2:$A$17,0)),"")</f>
        <v/>
      </c>
      <c r="AC87" t="str">
        <f>IFERROR(INDEX(הגדרות!$C$2:$C$17,MATCH(I87,הגדרות!$A$2:$A$17,0)),"")</f>
        <v/>
      </c>
      <c r="AD87">
        <f>IF(AND(מלאי!D87&lt;&gt;"",OR('לוח בקרה'!$B$4="הכל",מלאי!Z87='לוח בקרה'!$B$4,מלאי!AA87='לוח בקרה'!$B$4,מלאי!AB87='לוח בקרה'!$B$4,מלאי!AC87='לוח בקרה'!$B$4),OR('לוח בקרה'!$B$5="הכל",מלאי!A87='לוח בקרה'!$B$5),OR('לוח בקרה'!$B$6="הכל",מלאי!B87='לוח בקרה'!$B$6),OR('לוח בקרה'!$B$7="הכל",מלאי!F87='לוח בקרה'!$B$7,מלאי!G87='לוח בקרה'!$B$7),OR('לוח בקרה'!$B$8="הכל",מלאי!T87='לוח בקרה'!$B$8),OR('לוח בקרה'!$B$9="הכל",מלאי!Q87='לוח בקרה'!$B$9),OR('לוח בקרה'!$E$4="הכל",מלאי!J87='לוח בקרה'!$E$4),OR('לוח בקרה'!$E$5="הכל",מלאי!L87='לוח בקרה'!$E$5),OR('לוח בקרה'!$E$6="הכל",מלאי!O87='לוח בקרה'!$E$6),OR('לוח בקרה'!$E$7="הכל",מלאי!R87='לוח בקרה'!$E$7),OR('לוח בקרה'!$E$8="הכל",'לוח בקרה'!$E$8="",מלאי!W87='לוח בקרה'!$E$8),OR('לוח בקרה'!$E$9="הכל",'לוח בקרה'!$E$9="",ISNUMBER(SEARCH('לוח בקרה'!$E$9,מלאי!C87)))),1,0)</f>
        <v>0</v>
      </c>
      <c r="AE87" t="e">
        <f>IF(AND(מלאי!D87&lt;&gt;"",OR('לוח בקרה טכנו-מבצעי'!$B$4="הכל",מלאי!Z87='לוח בקרה טכנו-מבצעי'!$B$4,מלאי!AA87='לוח בקרה טכנו-מבצעי'!$B$4,מלאי!AB87='לוח בקרה טכנו-מבצעי'!$B$4,מלאי!AC87='לוח בקרה טכנו-מבצעי'!$B$4),OR('לוח בקרה טכנו-מבצעי'!$B$5="הכל",מלאי!A87='לוח בקרה טכנו-מבצעי'!$B$5),OR('לוח בקרה טכנו-מבצעי'!$B$6="הכל",מלאי!B87='לוח בקרה טכנו-מבצעי'!$B$6),OR('לוח בקרה טכנו-מבצעי'!$B$7="הכל",מלאי!F87='לוח בקרה טכנו-מבצעי'!$B$7,מלאי!G87='לוח בקרה טכנו-מבצעי'!$B$7),OR('לוח בקרה טכנו-מבצעי'!$B$8="הכל",מלאי!T87='לוח בקרה טכנו-מבצעי'!$B$8),OR('לוח בקרה טכנו-מבצעי'!$B$9="הכל",מלאי!Q87='לוח בקרה טכנו-מבצעי'!$B$9),OR('לוח בקרה טכנו-מבצעי'!$E$4="הכל",מלאי!J87='לוח בקרה טכנו-מבצעי'!$E$4),OR('לוח בקרה טכנו-מבצעי'!$E$5="הכל",מלאי!L87='לוח בקרה טכנו-מבצעי'!$E$5),OR('לוח בקרה טכנו-מבצעי'!$E$6="הכל",מלאי!O87='לוח בקרה טכנו-מבצעי'!$E$6),OR('לוח בקרה טכנו-מבצעי'!$E$7="הכל",מלאי!R87='לוח בקרה טכנו-מבצעי'!$E$7),OR('לוח בקרה טכנו-מבצעי'!$E$8="הכל",'לוח בקרה טכנו-מבצעי'!$E$8="",מלאי!W87='לוח בקרה טכנו-מבצעי'!$E$8),OR('לוח בקרה טכנו-מבצעי'!$E$9="הכל",'לוח בקרה טכנו-מבצעי'!$E$9="",ISNUMBER(SEARCH('לוח בקרה טכנו-מבצעי'!$E$9,מלאי!C87))),OR('לוח בקרה טכנו-מבצעי'!$B$10="הכל",מלאי!#REF!='לוח בקרה טכנו-מבצעי'!$B$10)),1,0)</f>
        <v>#REF!</v>
      </c>
      <c r="AF87" t="str">
        <f>IF(AD87=1,COUNTIF($AD$3:$AD87,1),"")</f>
        <v/>
      </c>
      <c r="AG87" t="e">
        <f>IF(AE87=1,COUNTIF($AE$3:$AE87,1),"")</f>
        <v>#REF!</v>
      </c>
    </row>
    <row r="88" spans="1:33" ht="15" customHeight="1" x14ac:dyDescent="0.25">
      <c r="A88" s="17" t="s">
        <v>62</v>
      </c>
      <c r="B88" s="17" t="s">
        <v>83</v>
      </c>
      <c r="C88" s="30" t="s">
        <v>64</v>
      </c>
      <c r="D88" s="30" t="s">
        <v>286</v>
      </c>
      <c r="E88" s="17" t="str">
        <f>IFERROR(INDEX(הגדרות!$I$2:$I$47,MATCH(B88,הגדרות!$H$2:$H$47,0)),"")</f>
        <v>7004-01</v>
      </c>
      <c r="F88" s="17" t="s">
        <v>65</v>
      </c>
      <c r="G88" s="17" t="s">
        <v>73</v>
      </c>
      <c r="H88" s="17" t="s">
        <v>80</v>
      </c>
      <c r="I88" s="17" t="s">
        <v>95</v>
      </c>
      <c r="J88" s="17" t="s">
        <v>68</v>
      </c>
      <c r="K88" s="17" t="s">
        <v>68</v>
      </c>
      <c r="L88" s="17" t="s">
        <v>68</v>
      </c>
      <c r="M88" s="17" t="s">
        <v>68</v>
      </c>
      <c r="N88" s="17" t="s">
        <v>68</v>
      </c>
      <c r="O88" s="17" t="s">
        <v>68</v>
      </c>
      <c r="P88" s="30"/>
      <c r="Q88" s="17" t="s">
        <v>68</v>
      </c>
      <c r="R88" s="17"/>
      <c r="S88" s="17" t="s">
        <v>14</v>
      </c>
      <c r="T88" s="17" t="s">
        <v>69</v>
      </c>
      <c r="U88" s="30"/>
      <c r="V88" s="17"/>
      <c r="W88" s="17"/>
      <c r="X88" s="17"/>
      <c r="Y88" s="17"/>
      <c r="Z88" t="str">
        <f>IFERROR(INDEX(הגדרות!$B$2:$B$17,MATCH(H88,הגדרות!$A$2:$A$17,0)),"")</f>
        <v>מיוער</v>
      </c>
      <c r="AA88">
        <f>IFERROR(INDEX(הגדרות!$C$2:$C$17,MATCH(H88,הגדרות!$A$2:$A$17,0)),"")</f>
        <v>0</v>
      </c>
      <c r="AB88" t="str">
        <f>IFERROR(INDEX(הגדרות!$B$2:$B$17,MATCH(I88,הגדרות!$A$2:$A$17,0)),"")</f>
        <v>מיוער</v>
      </c>
      <c r="AC88">
        <f>IFERROR(INDEX(הגדרות!$C$2:$C$17,MATCH(I88,הגדרות!$A$2:$A$17,0)),"")</f>
        <v>0</v>
      </c>
      <c r="AD88">
        <f>IF(AND(מלאי!D88&lt;&gt;"",OR('לוח בקרה'!$B$4="הכל",מלאי!Z88='לוח בקרה'!$B$4,מלאי!AA88='לוח בקרה'!$B$4,מלאי!AB88='לוח בקרה'!$B$4,מלאי!AC88='לוח בקרה'!$B$4),OR('לוח בקרה'!$B$5="הכל",מלאי!A88='לוח בקרה'!$B$5),OR('לוח בקרה'!$B$6="הכל",מלאי!B88='לוח בקרה'!$B$6),OR('לוח בקרה'!$B$7="הכל",מלאי!F88='לוח בקרה'!$B$7,מלאי!G88='לוח בקרה'!$B$7),OR('לוח בקרה'!$B$8="הכל",מלאי!T88='לוח בקרה'!$B$8),OR('לוח בקרה'!$B$9="הכל",מלאי!Q88='לוח בקרה'!$B$9),OR('לוח בקרה'!$E$4="הכל",מלאי!J88='לוח בקרה'!$E$4),OR('לוח בקרה'!$E$5="הכל",מלאי!L88='לוח בקרה'!$E$5),OR('לוח בקרה'!$E$6="הכל",מלאי!O88='לוח בקרה'!$E$6),OR('לוח בקרה'!$E$7="הכל",מלאי!R88='לוח בקרה'!$E$7),OR('לוח בקרה'!$E$8="הכל",'לוח בקרה'!$E$8="",מלאי!W88='לוח בקרה'!$E$8),OR('לוח בקרה'!$E$9="הכל",'לוח בקרה'!$E$9="",ISNUMBER(SEARCH('לוח בקרה'!$E$9,מלאי!C88)))),1,0)</f>
        <v>0</v>
      </c>
      <c r="AE88" t="e">
        <f>IF(AND(מלאי!D88&lt;&gt;"",OR('לוח בקרה טכנו-מבצעי'!$B$4="הכל",מלאי!Z88='לוח בקרה טכנו-מבצעי'!$B$4,מלאי!AA88='לוח בקרה טכנו-מבצעי'!$B$4,מלאי!AB88='לוח בקרה טכנו-מבצעי'!$B$4,מלאי!AC88='לוח בקרה טכנו-מבצעי'!$B$4),OR('לוח בקרה טכנו-מבצעי'!$B$5="הכל",מלאי!A88='לוח בקרה טכנו-מבצעי'!$B$5),OR('לוח בקרה טכנו-מבצעי'!$B$6="הכל",מלאי!B88='לוח בקרה טכנו-מבצעי'!$B$6),OR('לוח בקרה טכנו-מבצעי'!$B$7="הכל",מלאי!F88='לוח בקרה טכנו-מבצעי'!$B$7,מלאי!G88='לוח בקרה טכנו-מבצעי'!$B$7),OR('לוח בקרה טכנו-מבצעי'!$B$8="הכל",מלאי!T88='לוח בקרה טכנו-מבצעי'!$B$8),OR('לוח בקרה טכנו-מבצעי'!$B$9="הכל",מלאי!Q88='לוח בקרה טכנו-מבצעי'!$B$9),OR('לוח בקרה טכנו-מבצעי'!$E$4="הכל",מלאי!J88='לוח בקרה טכנו-מבצעי'!$E$4),OR('לוח בקרה טכנו-מבצעי'!$E$5="הכל",מלאי!L88='לוח בקרה טכנו-מבצעי'!$E$5),OR('לוח בקרה טכנו-מבצעי'!$E$6="הכל",מלאי!O88='לוח בקרה טכנו-מבצעי'!$E$6),OR('לוח בקרה טכנו-מבצעי'!$E$7="הכל",מלאי!R88='לוח בקרה טכנו-מבצעי'!$E$7),OR('לוח בקרה טכנו-מבצעי'!$E$8="הכל",'לוח בקרה טכנו-מבצעי'!$E$8="",מלאי!W88='לוח בקרה טכנו-מבצעי'!$E$8),OR('לוח בקרה טכנו-מבצעי'!$E$9="הכל",'לוח בקרה טכנו-מבצעי'!$E$9="",ISNUMBER(SEARCH('לוח בקרה טכנו-מבצעי'!$E$9,מלאי!C88))),OR('לוח בקרה טכנו-מבצעי'!$B$10="הכל",מלאי!#REF!='לוח בקרה טכנו-מבצעי'!$B$10)),1,0)</f>
        <v>#REF!</v>
      </c>
      <c r="AF88" t="str">
        <f>IF(AD88=1,COUNTIF($AD$3:$AD88,1),"")</f>
        <v/>
      </c>
      <c r="AG88" t="e">
        <f>IF(AE88=1,COUNTIF($AE$3:$AE88,1),"")</f>
        <v>#REF!</v>
      </c>
    </row>
    <row r="89" spans="1:33" ht="15" customHeight="1" x14ac:dyDescent="0.25">
      <c r="A89" s="19" t="s">
        <v>62</v>
      </c>
      <c r="B89" s="19" t="s">
        <v>63</v>
      </c>
      <c r="C89" s="29" t="s">
        <v>71</v>
      </c>
      <c r="D89" s="29" t="s">
        <v>284</v>
      </c>
      <c r="E89" s="19" t="str">
        <f>IFERROR(INDEX(הגדרות!$I$2:$I$47,MATCH(B89,הגדרות!$H$2:$H$47,0)),"")</f>
        <v>7031-01</v>
      </c>
      <c r="F89" s="19" t="s">
        <v>65</v>
      </c>
      <c r="G89" s="19"/>
      <c r="H89" s="19" t="s">
        <v>66</v>
      </c>
      <c r="I89" s="19" t="s">
        <v>67</v>
      </c>
      <c r="J89" s="17" t="s">
        <v>68</v>
      </c>
      <c r="K89" s="17" t="s">
        <v>68</v>
      </c>
      <c r="L89" s="17" t="s">
        <v>68</v>
      </c>
      <c r="M89" s="17" t="s">
        <v>68</v>
      </c>
      <c r="N89" s="19" t="s">
        <v>68</v>
      </c>
      <c r="O89" s="19" t="s">
        <v>68</v>
      </c>
      <c r="P89" s="19"/>
      <c r="Q89" s="19"/>
      <c r="R89" s="19"/>
      <c r="S89" s="19" t="s">
        <v>14</v>
      </c>
      <c r="T89" s="19" t="s">
        <v>69</v>
      </c>
      <c r="U89" s="19"/>
      <c r="V89" s="19"/>
      <c r="W89" s="19"/>
      <c r="X89" s="19"/>
      <c r="Y89" s="19"/>
      <c r="Z89" t="str">
        <f>IFERROR(INDEX(הגדרות!$B$2:$B$17,MATCH(H89,הגדרות!$A$2:$A$17,0)),"")</f>
        <v>מיוער</v>
      </c>
      <c r="AA89">
        <f>IFERROR(INDEX(הגדרות!$C$2:$C$17,MATCH(H89,הגדרות!$A$2:$A$17,0)),"")</f>
        <v>0</v>
      </c>
      <c r="AB89" t="str">
        <f>IFERROR(INDEX(הגדרות!$B$2:$B$17,MATCH(I89,הגדרות!$A$2:$A$17,0)),"")</f>
        <v>מדברי</v>
      </c>
      <c r="AC89">
        <f>IFERROR(INDEX(הגדרות!$C$2:$C$17,MATCH(I89,הגדרות!$A$2:$A$17,0)),"")</f>
        <v>0</v>
      </c>
      <c r="AD89">
        <f>IF(AND(מלאי!D89&lt;&gt;"",OR('לוח בקרה'!$B$4="הכל",מלאי!Z89='לוח בקרה'!$B$4,מלאי!AA89='לוח בקרה'!$B$4,מלאי!AB89='לוח בקרה'!$B$4,מלאי!AC89='לוח בקרה'!$B$4),OR('לוח בקרה'!$B$5="הכל",מלאי!A89='לוח בקרה'!$B$5),OR('לוח בקרה'!$B$6="הכל",מלאי!B89='לוח בקרה'!$B$6),OR('לוח בקרה'!$B$7="הכל",מלאי!F89='לוח בקרה'!$B$7,מלאי!G89='לוח בקרה'!$B$7),OR('לוח בקרה'!$B$8="הכל",מלאי!T89='לוח בקרה'!$B$8),OR('לוח בקרה'!$B$9="הכל",מלאי!Q89='לוח בקרה'!$B$9),OR('לוח בקרה'!$E$4="הכל",מלאי!J89='לוח בקרה'!$E$4),OR('לוח בקרה'!$E$5="הכל",מלאי!L89='לוח בקרה'!$E$5),OR('לוח בקרה'!$E$6="הכל",מלאי!O89='לוח בקרה'!$E$6),OR('לוח בקרה'!$E$7="הכל",מלאי!R89='לוח בקרה'!$E$7),OR('לוח בקרה'!$E$8="הכל",'לוח בקרה'!$E$8="",מלאי!W89='לוח בקרה'!$E$8),OR('לוח בקרה'!$E$9="הכל",'לוח בקרה'!$E$9="",ISNUMBER(SEARCH('לוח בקרה'!$E$9,מלאי!C89)))),1,0)</f>
        <v>0</v>
      </c>
      <c r="AE89" t="e">
        <f>IF(AND(מלאי!D89&lt;&gt;"",OR('לוח בקרה טכנו-מבצעי'!$B$4="הכל",מלאי!Z89='לוח בקרה טכנו-מבצעי'!$B$4,מלאי!AA89='לוח בקרה טכנו-מבצעי'!$B$4,מלאי!AB89='לוח בקרה טכנו-מבצעי'!$B$4,מלאי!AC89='לוח בקרה טכנו-מבצעי'!$B$4),OR('לוח בקרה טכנו-מבצעי'!$B$5="הכל",מלאי!A89='לוח בקרה טכנו-מבצעי'!$B$5),OR('לוח בקרה טכנו-מבצעי'!$B$6="הכל",מלאי!B89='לוח בקרה טכנו-מבצעי'!$B$6),OR('לוח בקרה טכנו-מבצעי'!$B$7="הכל",מלאי!F89='לוח בקרה טכנו-מבצעי'!$B$7,מלאי!G89='לוח בקרה טכנו-מבצעי'!$B$7),OR('לוח בקרה טכנו-מבצעי'!$B$8="הכל",מלאי!T89='לוח בקרה טכנו-מבצעי'!$B$8),OR('לוח בקרה טכנו-מבצעי'!$B$9="הכל",מלאי!Q89='לוח בקרה טכנו-מבצעי'!$B$9),OR('לוח בקרה טכנו-מבצעי'!$E$4="הכל",מלאי!J89='לוח בקרה טכנו-מבצעי'!$E$4),OR('לוח בקרה טכנו-מבצעי'!$E$5="הכל",מלאי!L89='לוח בקרה טכנו-מבצעי'!$E$5),OR('לוח בקרה טכנו-מבצעי'!$E$6="הכל",מלאי!O89='לוח בקרה טכנו-מבצעי'!$E$6),OR('לוח בקרה טכנו-מבצעי'!$E$7="הכל",מלאי!R89='לוח בקרה טכנו-מבצעי'!$E$7),OR('לוח בקרה טכנו-מבצעי'!$E$8="הכל",'לוח בקרה טכנו-מבצעי'!$E$8="",מלאי!W89='לוח בקרה טכנו-מבצעי'!$E$8),OR('לוח בקרה טכנו-מבצעי'!$E$9="הכל",'לוח בקרה טכנו-מבצעי'!$E$9="",ISNUMBER(SEARCH('לוח בקרה טכנו-מבצעי'!$E$9,מלאי!C89))),OR('לוח בקרה טכנו-מבצעי'!$B$10="הכל",מלאי!#REF!='לוח בקרה טכנו-מבצעי'!$B$10)),1,0)</f>
        <v>#REF!</v>
      </c>
      <c r="AF89" t="str">
        <f>IF(AD89=1,COUNTIF($AD$3:$AD89,1),"")</f>
        <v/>
      </c>
      <c r="AG89" t="e">
        <f>IF(AE89=1,COUNTIF($AE$3:$AE89,1),"")</f>
        <v>#REF!</v>
      </c>
    </row>
    <row r="90" spans="1:33" ht="31.5" customHeight="1" x14ac:dyDescent="0.25">
      <c r="A90" s="17" t="s">
        <v>62</v>
      </c>
      <c r="B90" s="17" t="s">
        <v>335</v>
      </c>
      <c r="C90" s="30" t="s">
        <v>274</v>
      </c>
      <c r="D90" s="30" t="s">
        <v>296</v>
      </c>
      <c r="E90" s="17" t="str">
        <f>IFERROR(INDEX(הגדרות!$I$2:$I$47,MATCH(B90,הגדרות!$H$2:$H$47,0)),"")</f>
        <v/>
      </c>
      <c r="F90" s="17" t="s">
        <v>79</v>
      </c>
      <c r="G90" s="17"/>
      <c r="H90" s="17" t="s">
        <v>77</v>
      </c>
      <c r="I90" s="17" t="s">
        <v>80</v>
      </c>
      <c r="J90" s="17" t="s">
        <v>68</v>
      </c>
      <c r="K90" s="17" t="s">
        <v>68</v>
      </c>
      <c r="L90" s="17" t="s">
        <v>68</v>
      </c>
      <c r="M90" s="17" t="s">
        <v>68</v>
      </c>
      <c r="N90" s="19" t="s">
        <v>68</v>
      </c>
      <c r="O90" s="17" t="s">
        <v>14</v>
      </c>
      <c r="P90" s="17"/>
      <c r="Q90" s="17" t="s">
        <v>68</v>
      </c>
      <c r="R90" s="17"/>
      <c r="S90" s="17"/>
      <c r="T90" s="17" t="s">
        <v>69</v>
      </c>
      <c r="U90" s="17"/>
      <c r="V90" s="17"/>
      <c r="W90" s="17"/>
      <c r="X90" s="17"/>
      <c r="Y90" s="17"/>
      <c r="Z90" t="str">
        <f>IFERROR(INDEX(הגדרות!$B$2:$B$17,MATCH(H90,הגדרות!$A$2:$A$17,0)),"")</f>
        <v>מדברי</v>
      </c>
      <c r="AA90">
        <f>IFERROR(INDEX(הגדרות!$C$2:$C$17,MATCH(H90,הגדרות!$A$2:$A$17,0)),"")</f>
        <v>0</v>
      </c>
      <c r="AB90" t="str">
        <f>IFERROR(INDEX(הגדרות!$B$2:$B$17,MATCH(I90,הגדרות!$A$2:$A$17,0)),"")</f>
        <v>מיוער</v>
      </c>
      <c r="AC90">
        <f>IFERROR(INDEX(הגדרות!$C$2:$C$17,MATCH(I90,הגדרות!$A$2:$A$17,0)),"")</f>
        <v>0</v>
      </c>
      <c r="AD90">
        <f>IF(AND(מלאי!D90&lt;&gt;"",OR('לוח בקרה'!$B$4="הכל",מלאי!Z90='לוח בקרה'!$B$4,מלאי!AA90='לוח בקרה'!$B$4,מלאי!AB90='לוח בקרה'!$B$4,מלאי!AC90='לוח בקרה'!$B$4),OR('לוח בקרה'!$B$5="הכל",מלאי!A90='לוח בקרה'!$B$5),OR('לוח בקרה'!$B$6="הכל",מלאי!B90='לוח בקרה'!$B$6),OR('לוח בקרה'!$B$7="הכל",מלאי!F90='לוח בקרה'!$B$7,מלאי!G90='לוח בקרה'!$B$7),OR('לוח בקרה'!$B$8="הכל",מלאי!T90='לוח בקרה'!$B$8),OR('לוח בקרה'!$B$9="הכל",מלאי!Q90='לוח בקרה'!$B$9),OR('לוח בקרה'!$E$4="הכל",מלאי!J90='לוח בקרה'!$E$4),OR('לוח בקרה'!$E$5="הכל",מלאי!L90='לוח בקרה'!$E$5),OR('לוח בקרה'!$E$6="הכל",מלאי!O90='לוח בקרה'!$E$6),OR('לוח בקרה'!$E$7="הכל",מלאי!R90='לוח בקרה'!$E$7),OR('לוח בקרה'!$E$8="הכל",'לוח בקרה'!$E$8="",מלאי!W90='לוח בקרה'!$E$8),OR('לוח בקרה'!$E$9="הכל",'לוח בקרה'!$E$9="",ISNUMBER(SEARCH('לוח בקרה'!$E$9,מלאי!C90)))),1,0)</f>
        <v>0</v>
      </c>
      <c r="AE90" t="e">
        <f>IF(AND(מלאי!D90&lt;&gt;"",OR('לוח בקרה טכנו-מבצעי'!$B$4="הכל",מלאי!Z90='לוח בקרה טכנו-מבצעי'!$B$4,מלאי!AA90='לוח בקרה טכנו-מבצעי'!$B$4,מלאי!AB90='לוח בקרה טכנו-מבצעי'!$B$4,מלאי!AC90='לוח בקרה טכנו-מבצעי'!$B$4),OR('לוח בקרה טכנו-מבצעי'!$B$5="הכל",מלאי!A90='לוח בקרה טכנו-מבצעי'!$B$5),OR('לוח בקרה טכנו-מבצעי'!$B$6="הכל",מלאי!B90='לוח בקרה טכנו-מבצעי'!$B$6),OR('לוח בקרה טכנו-מבצעי'!$B$7="הכל",מלאי!F90='לוח בקרה טכנו-מבצעי'!$B$7,מלאי!G90='לוח בקרה טכנו-מבצעי'!$B$7),OR('לוח בקרה טכנו-מבצעי'!$B$8="הכל",מלאי!T90='לוח בקרה טכנו-מבצעי'!$B$8),OR('לוח בקרה טכנו-מבצעי'!$B$9="הכל",מלאי!Q90='לוח בקרה טכנו-מבצעי'!$B$9),OR('לוח בקרה טכנו-מבצעי'!$E$4="הכל",מלאי!J90='לוח בקרה טכנו-מבצעי'!$E$4),OR('לוח בקרה טכנו-מבצעי'!$E$5="הכל",מלאי!L90='לוח בקרה טכנו-מבצעי'!$E$5),OR('לוח בקרה טכנו-מבצעי'!$E$6="הכל",מלאי!O90='לוח בקרה טכנו-מבצעי'!$E$6),OR('לוח בקרה טכנו-מבצעי'!$E$7="הכל",מלאי!R90='לוח בקרה טכנו-מבצעי'!$E$7),OR('לוח בקרה טכנו-מבצעי'!$E$8="הכל",'לוח בקרה טכנו-מבצעי'!$E$8="",מלאי!W90='לוח בקרה טכנו-מבצעי'!$E$8),OR('לוח בקרה טכנו-מבצעי'!$E$9="הכל",'לוח בקרה טכנו-מבצעי'!$E$9="",ISNUMBER(SEARCH('לוח בקרה טכנו-מבצעי'!$E$9,מלאי!C90))),OR('לוח בקרה טכנו-מבצעי'!$B$10="הכל",מלאי!#REF!='לוח בקרה טכנו-מבצעי'!$B$10)),1,0)</f>
        <v>#REF!</v>
      </c>
      <c r="AF90" t="str">
        <f>IF(AD90=1,COUNTIF($AD$3:$AD90,1),"")</f>
        <v/>
      </c>
      <c r="AG90" t="e">
        <f>IF(AE90=1,COUNTIF($AE$3:$AE90,1),"")</f>
        <v>#REF!</v>
      </c>
    </row>
    <row r="91" spans="1:33" ht="15" customHeight="1" x14ac:dyDescent="0.25">
      <c r="A91" s="19" t="s">
        <v>106</v>
      </c>
      <c r="B91" t="s">
        <v>217</v>
      </c>
      <c r="C91" s="30" t="s">
        <v>64</v>
      </c>
      <c r="D91" s="19" t="s">
        <v>336</v>
      </c>
      <c r="E91" s="19" t="str">
        <f>IFERROR(INDEX(הגדרות!$I$2:$I$47,MATCH(B91,הגדרות!$H$2:$H$47,0)),"")</f>
        <v>9004-01</v>
      </c>
      <c r="F91" s="19" t="s">
        <v>108</v>
      </c>
      <c r="G91" s="19"/>
      <c r="H91" s="19" t="s">
        <v>96</v>
      </c>
      <c r="I91" s="19" t="s">
        <v>67</v>
      </c>
      <c r="J91" s="17" t="s">
        <v>68</v>
      </c>
      <c r="K91" s="17" t="s">
        <v>68</v>
      </c>
      <c r="L91" s="17" t="s">
        <v>68</v>
      </c>
      <c r="M91" s="17" t="s">
        <v>68</v>
      </c>
      <c r="N91" s="19" t="s">
        <v>68</v>
      </c>
      <c r="O91" s="19"/>
      <c r="P91" s="19"/>
      <c r="Q91" s="19"/>
      <c r="R91" s="19"/>
      <c r="S91" s="19"/>
      <c r="T91" s="19" t="s">
        <v>69</v>
      </c>
      <c r="U91" s="19"/>
      <c r="V91" s="19"/>
      <c r="W91" s="19"/>
      <c r="X91" s="19"/>
      <c r="Y91" s="19"/>
      <c r="Z91" t="str">
        <f>IFERROR(INDEX(הגדרות!$B$2:$B$17,MATCH(H91,הגדרות!$A$2:$A$17,0)),"")</f>
        <v>מדברי</v>
      </c>
      <c r="AA91">
        <f>IFERROR(INDEX(הגדרות!$C$2:$C$17,MATCH(H91,הגדרות!$A$2:$A$17,0)),"")</f>
        <v>0</v>
      </c>
      <c r="AB91" t="str">
        <f>IFERROR(INDEX(הגדרות!$B$2:$B$17,MATCH(I91,הגדרות!$A$2:$A$17,0)),"")</f>
        <v>מדברי</v>
      </c>
      <c r="AC91">
        <f>IFERROR(INDEX(הגדרות!$C$2:$C$17,MATCH(I91,הגדרות!$A$2:$A$17,0)),"")</f>
        <v>0</v>
      </c>
      <c r="AD91">
        <f>IF(AND(מלאי!D91&lt;&gt;"",OR('לוח בקרה'!$B$4="הכל",מלאי!Z91='לוח בקרה'!$B$4,מלאי!AA91='לוח בקרה'!$B$4,מלאי!AB91='לוח בקרה'!$B$4,מלאי!AC91='לוח בקרה'!$B$4),OR('לוח בקרה'!$B$5="הכל",מלאי!A91='לוח בקרה'!$B$5),OR('לוח בקרה'!$B$6="הכל",מלאי!B91='לוח בקרה'!$B$6),OR('לוח בקרה'!$B$7="הכל",מלאי!F91='לוח בקרה'!$B$7,מלאי!G91='לוח בקרה'!$B$7),OR('לוח בקרה'!$B$8="הכל",מלאי!T91='לוח בקרה'!$B$8),OR('לוח בקרה'!$B$9="הכל",מלאי!Q91='לוח בקרה'!$B$9),OR('לוח בקרה'!$E$4="הכל",מלאי!J91='לוח בקרה'!$E$4),OR('לוח בקרה'!$E$5="הכל",מלאי!L91='לוח בקרה'!$E$5),OR('לוח בקרה'!$E$6="הכל",מלאי!O91='לוח בקרה'!$E$6),OR('לוח בקרה'!$E$7="הכל",מלאי!R91='לוח בקרה'!$E$7),OR('לוח בקרה'!$E$8="הכל",'לוח בקרה'!$E$8="",מלאי!W91='לוח בקרה'!$E$8),OR('לוח בקרה'!$E$9="הכל",'לוח בקרה'!$E$9="",ISNUMBER(SEARCH('לוח בקרה'!$E$9,מלאי!C91)))),1,0)</f>
        <v>0</v>
      </c>
      <c r="AE91" t="e">
        <f>IF(AND(מלאי!D91&lt;&gt;"",OR('לוח בקרה טכנו-מבצעי'!$B$4="הכל",מלאי!Z91='לוח בקרה טכנו-מבצעי'!$B$4,מלאי!AA91='לוח בקרה טכנו-מבצעי'!$B$4,מלאי!AB91='לוח בקרה טכנו-מבצעי'!$B$4,מלאי!AC91='לוח בקרה טכנו-מבצעי'!$B$4),OR('לוח בקרה טכנו-מבצעי'!$B$5="הכל",מלאי!A91='לוח בקרה טכנו-מבצעי'!$B$5),OR('לוח בקרה טכנו-מבצעי'!$B$6="הכל",מלאי!B91='לוח בקרה טכנו-מבצעי'!$B$6),OR('לוח בקרה טכנו-מבצעי'!$B$7="הכל",מלאי!F91='לוח בקרה טכנו-מבצעי'!$B$7,מלאי!G91='לוח בקרה טכנו-מבצעי'!$B$7),OR('לוח בקרה טכנו-מבצעי'!$B$8="הכל",מלאי!T91='לוח בקרה טכנו-מבצעי'!$B$8),OR('לוח בקרה טכנו-מבצעי'!$B$9="הכל",מלאי!Q91='לוח בקרה טכנו-מבצעי'!$B$9),OR('לוח בקרה טכנו-מבצעי'!$E$4="הכל",מלאי!J91='לוח בקרה טכנו-מבצעי'!$E$4),OR('לוח בקרה טכנו-מבצעי'!$E$5="הכל",מלאי!L91='לוח בקרה טכנו-מבצעי'!$E$5),OR('לוח בקרה טכנו-מבצעי'!$E$6="הכל",מלאי!O91='לוח בקרה טכנו-מבצעי'!$E$6),OR('לוח בקרה טכנו-מבצעי'!$E$7="הכל",מלאי!R91='לוח בקרה טכנו-מבצעי'!$E$7),OR('לוח בקרה טכנו-מבצעי'!$E$8="הכל",'לוח בקרה טכנו-מבצעי'!$E$8="",מלאי!W91='לוח בקרה טכנו-מבצעי'!$E$8),OR('לוח בקרה טכנו-מבצעי'!$E$9="הכל",'לוח בקרה טכנו-מבצעי'!$E$9="",ISNUMBER(SEARCH('לוח בקרה טכנו-מבצעי'!$E$9,מלאי!C91))),OR('לוח בקרה טכנו-מבצעי'!$B$10="הכל",מלאי!#REF!='לוח בקרה טכנו-מבצעי'!$B$10)),1,0)</f>
        <v>#REF!</v>
      </c>
      <c r="AF91" t="str">
        <f>IF(AD91=1,COUNTIF($AD$3:$AD91,1),"")</f>
        <v/>
      </c>
      <c r="AG91" t="e">
        <f>IF(AE91=1,COUNTIF($AE$3:$AE91,1),"")</f>
        <v>#REF!</v>
      </c>
    </row>
    <row r="92" spans="1:33" ht="15" customHeight="1" x14ac:dyDescent="0.25">
      <c r="A92" s="17" t="s">
        <v>106</v>
      </c>
      <c r="B92" s="17" t="s">
        <v>217</v>
      </c>
      <c r="C92" s="30" t="s">
        <v>64</v>
      </c>
      <c r="D92" t="s">
        <v>426</v>
      </c>
      <c r="E92" s="17" t="str">
        <f>IFERROR(INDEX(הגדרות!$I$2:$I$47,MATCH(B92,הגדרות!$H$2:$H$47,0)),"")</f>
        <v>9004-01</v>
      </c>
      <c r="F92" s="17" t="s">
        <v>108</v>
      </c>
      <c r="G92" s="17"/>
      <c r="H92" s="19" t="s">
        <v>96</v>
      </c>
      <c r="I92" s="19" t="s">
        <v>67</v>
      </c>
      <c r="J92" s="17" t="s">
        <v>68</v>
      </c>
      <c r="K92" s="17" t="s">
        <v>68</v>
      </c>
      <c r="L92" s="17" t="s">
        <v>68</v>
      </c>
      <c r="M92" s="17" t="s">
        <v>68</v>
      </c>
      <c r="N92" s="19" t="s">
        <v>68</v>
      </c>
      <c r="O92" s="17"/>
      <c r="P92" s="17"/>
      <c r="Q92" s="17"/>
      <c r="R92" s="17"/>
      <c r="S92" s="17"/>
      <c r="T92" s="17" t="s">
        <v>69</v>
      </c>
      <c r="U92" s="17"/>
      <c r="V92" s="17"/>
      <c r="W92" s="17"/>
      <c r="X92" s="17"/>
      <c r="Y92" s="17"/>
      <c r="Z92" t="str">
        <f>IFERROR(INDEX(הגדרות!$B$2:$B$17,MATCH(H92,הגדרות!$A$2:$A$17,0)),"")</f>
        <v>מדברי</v>
      </c>
      <c r="AA92">
        <f>IFERROR(INDEX(הגדרות!$C$2:$C$17,MATCH(H92,הגדרות!$A$2:$A$17,0)),"")</f>
        <v>0</v>
      </c>
      <c r="AB92" t="str">
        <f>IFERROR(INDEX(הגדרות!$B$2:$B$17,MATCH(I92,הגדרות!$A$2:$A$17,0)),"")</f>
        <v>מדברי</v>
      </c>
      <c r="AC92">
        <f>IFERROR(INDEX(הגדרות!$C$2:$C$17,MATCH(I92,הגדרות!$A$2:$A$17,0)),"")</f>
        <v>0</v>
      </c>
      <c r="AD92">
        <f>IF(AND(מלאי!D92&lt;&gt;"",OR('לוח בקרה'!$B$4="הכל",מלאי!Z92='לוח בקרה'!$B$4,מלאי!AA92='לוח בקרה'!$B$4,מלאי!AB92='לוח בקרה'!$B$4,מלאי!AC92='לוח בקרה'!$B$4),OR('לוח בקרה'!$B$5="הכל",מלאי!A92='לוח בקרה'!$B$5),OR('לוח בקרה'!$B$6="הכל",מלאי!B92='לוח בקרה'!$B$6),OR('לוח בקרה'!$B$7="הכל",מלאי!F92='לוח בקרה'!$B$7,מלאי!G92='לוח בקרה'!$B$7),OR('לוח בקרה'!$B$8="הכל",מלאי!T92='לוח בקרה'!$B$8),OR('לוח בקרה'!$B$9="הכל",מלאי!Q92='לוח בקרה'!$B$9),OR('לוח בקרה'!$E$4="הכל",מלאי!J92='לוח בקרה'!$E$4),OR('לוח בקרה'!$E$5="הכל",מלאי!L92='לוח בקרה'!$E$5),OR('לוח בקרה'!$E$6="הכל",מלאי!O92='לוח בקרה'!$E$6),OR('לוח בקרה'!$E$7="הכל",מלאי!R92='לוח בקרה'!$E$7),OR('לוח בקרה'!$E$8="הכל",'לוח בקרה'!$E$8="",מלאי!W92='לוח בקרה'!$E$8),OR('לוח בקרה'!$E$9="הכל",'לוח בקרה'!$E$9="",ISNUMBER(SEARCH('לוח בקרה'!$E$9,מלאי!C92)))),1,0)</f>
        <v>0</v>
      </c>
      <c r="AE92" t="e">
        <f>IF(AND(מלאי!D92&lt;&gt;"",OR('לוח בקרה טכנו-מבצעי'!$B$4="הכל",מלאי!Z92='לוח בקרה טכנו-מבצעי'!$B$4,מלאי!AA92='לוח בקרה טכנו-מבצעי'!$B$4,מלאי!AB92='לוח בקרה טכנו-מבצעי'!$B$4,מלאי!AC92='לוח בקרה טכנו-מבצעי'!$B$4),OR('לוח בקרה טכנו-מבצעי'!$B$5="הכל",מלאי!A92='לוח בקרה טכנו-מבצעי'!$B$5),OR('לוח בקרה טכנו-מבצעי'!$B$6="הכל",מלאי!B92='לוח בקרה טכנו-מבצעי'!$B$6),OR('לוח בקרה טכנו-מבצעי'!$B$7="הכל",מלאי!F92='לוח בקרה טכנו-מבצעי'!$B$7,מלאי!G92='לוח בקרה טכנו-מבצעי'!$B$7),OR('לוח בקרה טכנו-מבצעי'!$B$8="הכל",מלאי!T92='לוח בקרה טכנו-מבצעי'!$B$8),OR('לוח בקרה טכנו-מבצעי'!$B$9="הכל",מלאי!Q92='לוח בקרה טכנו-מבצעי'!$B$9),OR('לוח בקרה טכנו-מבצעי'!$E$4="הכל",מלאי!J92='לוח בקרה טכנו-מבצעי'!$E$4),OR('לוח בקרה טכנו-מבצעי'!$E$5="הכל",מלאי!L92='לוח בקרה טכנו-מבצעי'!$E$5),OR('לוח בקרה טכנו-מבצעי'!$E$6="הכל",מלאי!O92='לוח בקרה טכנו-מבצעי'!$E$6),OR('לוח בקרה טכנו-מבצעי'!$E$7="הכל",מלאי!R92='לוח בקרה טכנו-מבצעי'!$E$7),OR('לוח בקרה טכנו-מבצעי'!$E$8="הכל",'לוח בקרה טכנו-מבצעי'!$E$8="",מלאי!W92='לוח בקרה טכנו-מבצעי'!$E$8),OR('לוח בקרה טכנו-מבצעי'!$E$9="הכל",'לוח בקרה טכנו-מבצעי'!$E$9="",ISNUMBER(SEARCH('לוח בקרה טכנו-מבצעי'!$E$9,מלאי!C92))),OR('לוח בקרה טכנו-מבצעי'!$B$10="הכל",מלאי!#REF!='לוח בקרה טכנו-מבצעי'!$B$10)),1,0)</f>
        <v>#REF!</v>
      </c>
      <c r="AF92" t="str">
        <f>IF(AD92=1,COUNTIF($AD$3:$AD92,1),"")</f>
        <v/>
      </c>
      <c r="AG92" t="e">
        <f>IF(AE92=1,COUNTIF($AE$3:$AE92,1),"")</f>
        <v>#REF!</v>
      </c>
    </row>
    <row r="93" spans="1:33" ht="15" customHeight="1" x14ac:dyDescent="0.25">
      <c r="A93" s="19" t="s">
        <v>62</v>
      </c>
      <c r="B93" t="s">
        <v>204</v>
      </c>
      <c r="C93" s="30" t="s">
        <v>64</v>
      </c>
      <c r="D93" t="s">
        <v>353</v>
      </c>
      <c r="E93" s="19">
        <f>IFERROR(INDEX(הגדרות!$I$2:$I$47,MATCH(B93,הגדרות!$H$2:$H$47,0)),"")</f>
        <v>0</v>
      </c>
      <c r="F93" s="19" t="s">
        <v>79</v>
      </c>
      <c r="G93" s="19"/>
      <c r="H93" t="s">
        <v>194</v>
      </c>
      <c r="I93" s="19"/>
      <c r="J93" s="19" t="s">
        <v>68</v>
      </c>
      <c r="K93" s="19" t="s">
        <v>68</v>
      </c>
      <c r="L93" s="19" t="s">
        <v>68</v>
      </c>
      <c r="M93" s="19" t="s">
        <v>68</v>
      </c>
      <c r="N93" s="19" t="s">
        <v>14</v>
      </c>
      <c r="O93" s="19"/>
      <c r="P93" s="19"/>
      <c r="Q93" s="19"/>
      <c r="R93" s="19"/>
      <c r="S93" s="19"/>
      <c r="T93" s="17" t="s">
        <v>69</v>
      </c>
      <c r="U93" s="19"/>
      <c r="V93" s="19"/>
      <c r="W93" s="19"/>
      <c r="X93" s="19"/>
      <c r="Y93" s="19"/>
      <c r="Z93" t="str">
        <f>IFERROR(INDEX(הגדרות!$B$2:$B$17,MATCH(H93,הגדרות!$A$2:$A$17,0)),"")</f>
        <v>שלג</v>
      </c>
      <c r="AA93">
        <f>IFERROR(INDEX(הגדרות!$C$2:$C$17,MATCH(H93,הגדרות!$A$2:$A$17,0)),"")</f>
        <v>0</v>
      </c>
      <c r="AB93" t="str">
        <f>IFERROR(INDEX(הגדרות!$B$2:$B$17,MATCH(I93,הגדרות!$A$2:$A$17,0)),"")</f>
        <v/>
      </c>
      <c r="AC93" t="str">
        <f>IFERROR(INDEX(הגדרות!$C$2:$C$17,MATCH(I93,הגדרות!$A$2:$A$17,0)),"")</f>
        <v/>
      </c>
      <c r="AD93" t="e">
        <f>IF(AND(מלאי!#REF!&lt;&gt;"",OR('לוח בקרה'!$B$4="הכל",מלאי!Z93='לוח בקרה'!$B$4,מלאי!AA93='לוח בקרה'!$B$4,מלאי!AB93='לוח בקרה'!$B$4,מלאי!AC93='לוח בקרה'!$B$4),OR('לוח בקרה'!$B$5="הכל",מלאי!A93='לוח בקרה'!$B$5),OR('לוח בקרה'!$B$6="הכל",מלאי!B93='לוח בקרה'!$B$6),OR('לוח בקרה'!$B$7="הכל",מלאי!F93='לוח בקרה'!$B$7,מלאי!G93='לוח בקרה'!$B$7),OR('לוח בקרה'!$B$8="הכל",מלאי!T93='לוח בקרה'!$B$8),OR('לוח בקרה'!$B$9="הכל",מלאי!Q93='לוח בקרה'!$B$9),OR('לוח בקרה'!$E$4="הכל",מלאי!J93='לוח בקרה'!$E$4),OR('לוח בקרה'!$E$5="הכל",מלאי!L93='לוח בקרה'!$E$5),OR('לוח בקרה'!$E$6="הכל",מלאי!O93='לוח בקרה'!$E$6),OR('לוח בקרה'!$E$7="הכל",מלאי!R93='לוח בקרה'!$E$7),OR('לוח בקרה'!$E$8="הכל",'לוח בקרה'!$E$8="",מלאי!W93='לוח בקרה'!$E$8),OR('לוח בקרה'!$E$9="הכל",'לוח בקרה'!$E$9="",ISNUMBER(SEARCH('לוח בקרה'!$E$9,מלאי!C93)))),1,0)</f>
        <v>#REF!</v>
      </c>
      <c r="AE93" t="e">
        <f>IF(AND(מלאי!#REF!&lt;&gt;"",OR('לוח בקרה טכנו-מבצעי'!$B$4="הכל",מלאי!Z93='לוח בקרה טכנו-מבצעי'!$B$4,מלאי!AA93='לוח בקרה טכנו-מבצעי'!$B$4,מלאי!AB93='לוח בקרה טכנו-מבצעי'!$B$4,מלאי!AC93='לוח בקרה טכנו-מבצעי'!$B$4),OR('לוח בקרה טכנו-מבצעי'!$B$5="הכל",מלאי!A93='לוח בקרה טכנו-מבצעי'!$B$5),OR('לוח בקרה טכנו-מבצעי'!$B$6="הכל",מלאי!B93='לוח בקרה טכנו-מבצעי'!$B$6),OR('לוח בקרה טכנו-מבצעי'!$B$7="הכל",מלאי!F93='לוח בקרה טכנו-מבצעי'!$B$7,מלאי!G93='לוח בקרה טכנו-מבצעי'!$B$7),OR('לוח בקרה טכנו-מבצעי'!$B$8="הכל",מלאי!T93='לוח בקרה טכנו-מבצעי'!$B$8),OR('לוח בקרה טכנו-מבצעי'!$B$9="הכל",מלאי!Q93='לוח בקרה טכנו-מבצעי'!$B$9),OR('לוח בקרה טכנו-מבצעי'!$E$4="הכל",מלאי!J93='לוח בקרה טכנו-מבצעי'!$E$4),OR('לוח בקרה טכנו-מבצעי'!$E$5="הכל",מלאי!L93='לוח בקרה טכנו-מבצעי'!$E$5),OR('לוח בקרה טכנו-מבצעי'!$E$6="הכל",מלאי!O93='לוח בקרה טכנו-מבצעי'!$E$6),OR('לוח בקרה טכנו-מבצעי'!$E$7="הכל",מלאי!R93='לוח בקרה טכנו-מבצעי'!$E$7),OR('לוח בקרה טכנו-מבצעי'!$E$8="הכל",'לוח בקרה טכנו-מבצעי'!$E$8="",מלאי!W93='לוח בקרה טכנו-מבצעי'!$E$8),OR('לוח בקרה טכנו-מבצעי'!$E$9="הכל",'לוח בקרה טכנו-מבצעי'!$E$9="",ISNUMBER(SEARCH('לוח בקרה טכנו-מבצעי'!$E$9,מלאי!C93))),OR('לוח בקרה טכנו-מבצעי'!$B$10="הכל",מלאי!#REF!='לוח בקרה טכנו-מבצעי'!$B$10)),1,0)</f>
        <v>#REF!</v>
      </c>
      <c r="AF93" t="e">
        <f>IF(AD93=1,COUNTIF($AD$3:$AD93,1),"")</f>
        <v>#REF!</v>
      </c>
      <c r="AG93" t="e">
        <f>IF(AE93=1,COUNTIF($AE$3:$AE93,1),"")</f>
        <v>#REF!</v>
      </c>
    </row>
    <row r="94" spans="1:33" ht="15" customHeight="1" x14ac:dyDescent="0.25">
      <c r="A94" s="17" t="s">
        <v>62</v>
      </c>
      <c r="B94" s="17" t="s">
        <v>204</v>
      </c>
      <c r="C94" s="30" t="s">
        <v>64</v>
      </c>
      <c r="D94" t="s">
        <v>352</v>
      </c>
      <c r="E94" s="17">
        <f>IFERROR(INDEX(הגדרות!$I$2:$I$47,MATCH(B94,הגדרות!$H$2:$H$47,0)),"")</f>
        <v>0</v>
      </c>
      <c r="F94" s="19" t="s">
        <v>79</v>
      </c>
      <c r="G94" s="17"/>
      <c r="H94" s="19" t="s">
        <v>194</v>
      </c>
      <c r="I94" s="17"/>
      <c r="J94" s="19" t="s">
        <v>68</v>
      </c>
      <c r="K94" s="19" t="s">
        <v>68</v>
      </c>
      <c r="L94" s="19" t="s">
        <v>68</v>
      </c>
      <c r="M94" s="19" t="s">
        <v>68</v>
      </c>
      <c r="N94" s="19" t="s">
        <v>68</v>
      </c>
      <c r="O94" s="17"/>
      <c r="P94" s="17"/>
      <c r="Q94" s="17"/>
      <c r="R94" s="17"/>
      <c r="S94" s="17"/>
      <c r="T94" s="19" t="s">
        <v>69</v>
      </c>
      <c r="U94" s="17"/>
      <c r="V94" s="17"/>
      <c r="W94" s="17"/>
      <c r="X94" s="17"/>
      <c r="Y94" s="17"/>
      <c r="Z94" t="str">
        <f>IFERROR(INDEX(הגדרות!$B$2:$B$17,MATCH(H94,הגדרות!$A$2:$A$17,0)),"")</f>
        <v>שלג</v>
      </c>
      <c r="AA94">
        <f>IFERROR(INDEX(הגדרות!$C$2:$C$17,MATCH(H94,הגדרות!$A$2:$A$17,0)),"")</f>
        <v>0</v>
      </c>
      <c r="AB94" t="str">
        <f>IFERROR(INDEX(הגדרות!$B$2:$B$17,MATCH(I94,הגדרות!$A$2:$A$17,0)),"")</f>
        <v/>
      </c>
      <c r="AC94" t="str">
        <f>IFERROR(INDEX(הגדרות!$C$2:$C$17,MATCH(I94,הגדרות!$A$2:$A$17,0)),"")</f>
        <v/>
      </c>
      <c r="AD94">
        <f>IF(AND(מלאי!D99&lt;&gt;"",OR('לוח בקרה'!$B$4="הכל",מלאי!Z94='לוח בקרה'!$B$4,מלאי!AA94='לוח בקרה'!$B$4,מלאי!AB94='לוח בקרה'!$B$4,מלאי!AC94='לוח בקרה'!$B$4),OR('לוח בקרה'!$B$5="הכל",מלאי!A94='לוח בקרה'!$B$5),OR('לוח בקרה'!$B$6="הכל",מלאי!B94='לוח בקרה'!$B$6),OR('לוח בקרה'!$B$7="הכל",מלאי!F94='לוח בקרה'!$B$7,מלאי!G94='לוח בקרה'!$B$7),OR('לוח בקרה'!$B$8="הכל",מלאי!T94='לוח בקרה'!$B$8),OR('לוח בקרה'!$B$9="הכל",מלאי!Q94='לוח בקרה'!$B$9),OR('לוח בקרה'!$E$4="הכל",מלאי!J94='לוח בקרה'!$E$4),OR('לוח בקרה'!$E$5="הכל",מלאי!L94='לוח בקרה'!$E$5),OR('לוח בקרה'!$E$6="הכל",מלאי!O94='לוח בקרה'!$E$6),OR('לוח בקרה'!$E$7="הכל",מלאי!R94='לוח בקרה'!$E$7),OR('לוח בקרה'!$E$8="הכל",'לוח בקרה'!$E$8="",מלאי!W94='לוח בקרה'!$E$8),OR('לוח בקרה'!$E$9="הכל",'לוח בקרה'!$E$9="",ISNUMBER(SEARCH('לוח בקרה'!$E$9,מלאי!C94)))),1,0)</f>
        <v>0</v>
      </c>
      <c r="AE94" t="e">
        <f>IF(AND(מלאי!D99&lt;&gt;"",OR('לוח בקרה טכנו-מבצעי'!$B$4="הכל",מלאי!Z94='לוח בקרה טכנו-מבצעי'!$B$4,מלאי!AA94='לוח בקרה טכנו-מבצעי'!$B$4,מלאי!AB94='לוח בקרה טכנו-מבצעי'!$B$4,מלאי!AC94='לוח בקרה טכנו-מבצעי'!$B$4),OR('לוח בקרה טכנו-מבצעי'!$B$5="הכל",מלאי!A94='לוח בקרה טכנו-מבצעי'!$B$5),OR('לוח בקרה טכנו-מבצעי'!$B$6="הכל",מלאי!B94='לוח בקרה טכנו-מבצעי'!$B$6),OR('לוח בקרה טכנו-מבצעי'!$B$7="הכל",מלאי!F94='לוח בקרה טכנו-מבצעי'!$B$7,מלאי!G94='לוח בקרה טכנו-מבצעי'!$B$7),OR('לוח בקרה טכנו-מבצעי'!$B$8="הכל",מלאי!T94='לוח בקרה טכנו-מבצעי'!$B$8),OR('לוח בקרה טכנו-מבצעי'!$B$9="הכל",מלאי!Q94='לוח בקרה טכנו-מבצעי'!$B$9),OR('לוח בקרה טכנו-מבצעי'!$E$4="הכל",מלאי!J94='לוח בקרה טכנו-מבצעי'!$E$4),OR('לוח בקרה טכנו-מבצעי'!$E$5="הכל",מלאי!L94='לוח בקרה טכנו-מבצעי'!$E$5),OR('לוח בקרה טכנו-מבצעי'!$E$6="הכל",מלאי!O94='לוח בקרה טכנו-מבצעי'!$E$6),OR('לוח בקרה טכנו-מבצעי'!$E$7="הכל",מלאי!R94='לוח בקרה טכנו-מבצעי'!$E$7),OR('לוח בקרה טכנו-מבצעי'!$E$8="הכל",'לוח בקרה טכנו-מבצעי'!$E$8="",מלאי!W94='לוח בקרה טכנו-מבצעי'!$E$8),OR('לוח בקרה טכנו-מבצעי'!$E$9="הכל",'לוח בקרה טכנו-מבצעי'!$E$9="",ISNUMBER(SEARCH('לוח בקרה טכנו-מבצעי'!$E$9,מלאי!C94))),OR('לוח בקרה טכנו-מבצעי'!$B$10="הכל",מלאי!#REF!='לוח בקרה טכנו-מבצעי'!$B$10)),1,0)</f>
        <v>#REF!</v>
      </c>
      <c r="AF94" t="str">
        <f>IF(AD94=1,COUNTIF($AD$3:$AD94,1),"")</f>
        <v/>
      </c>
      <c r="AG94" t="e">
        <f>IF(AE94=1,COUNTIF($AE$3:$AE94,1),"")</f>
        <v>#REF!</v>
      </c>
    </row>
    <row r="95" spans="1:33" ht="15" customHeight="1" x14ac:dyDescent="0.25">
      <c r="A95" s="19" t="s">
        <v>62</v>
      </c>
      <c r="B95" s="19" t="s">
        <v>204</v>
      </c>
      <c r="C95" s="30" t="s">
        <v>64</v>
      </c>
      <c r="D95" t="s">
        <v>337</v>
      </c>
      <c r="E95" s="19">
        <f>IFERROR(INDEX(הגדרות!$I$2:$I$47,MATCH(B95,הגדרות!$H$2:$H$47,0)),"")</f>
        <v>0</v>
      </c>
      <c r="F95" s="19" t="s">
        <v>79</v>
      </c>
      <c r="G95" s="19"/>
      <c r="H95" s="19" t="s">
        <v>197</v>
      </c>
      <c r="I95" s="19"/>
      <c r="J95" s="19" t="s">
        <v>68</v>
      </c>
      <c r="K95" s="19" t="s">
        <v>68</v>
      </c>
      <c r="L95" s="19" t="s">
        <v>68</v>
      </c>
      <c r="M95" s="19" t="s">
        <v>68</v>
      </c>
      <c r="N95" s="19" t="s">
        <v>68</v>
      </c>
      <c r="O95" s="19"/>
      <c r="P95" s="19"/>
      <c r="Q95" s="19"/>
      <c r="R95" s="19"/>
      <c r="S95" s="19"/>
      <c r="T95" s="17" t="s">
        <v>69</v>
      </c>
      <c r="U95" s="19"/>
      <c r="V95" s="19"/>
      <c r="W95" s="19"/>
      <c r="X95" s="19"/>
      <c r="Y95" s="19"/>
      <c r="Z95" t="str">
        <f>IFERROR(INDEX(הגדרות!$B$2:$B$17,MATCH(H95,הגדרות!$A$2:$A$17,0)),"")</f>
        <v>שלג</v>
      </c>
      <c r="AA95">
        <f>IFERROR(INDEX(הגדרות!$C$2:$C$17,MATCH(H95,הגדרות!$A$2:$A$17,0)),"")</f>
        <v>0</v>
      </c>
      <c r="AB95" t="str">
        <f>IFERROR(INDEX(הגדרות!$B$2:$B$17,MATCH(I95,הגדרות!$A$2:$A$17,0)),"")</f>
        <v/>
      </c>
      <c r="AC95" t="str">
        <f>IFERROR(INDEX(הגדרות!$C$2:$C$17,MATCH(I95,הגדרות!$A$2:$A$17,0)),"")</f>
        <v/>
      </c>
      <c r="AD95">
        <f>IF(AND(מלאי!D95&lt;&gt;"",OR('לוח בקרה'!$B$4="הכל",מלאי!Z95='לוח בקרה'!$B$4,מלאי!AA95='לוח בקרה'!$B$4,מלאי!AB95='לוח בקרה'!$B$4,מלאי!AC95='לוח בקרה'!$B$4),OR('לוח בקרה'!$B$5="הכל",מלאי!A95='לוח בקרה'!$B$5),OR('לוח בקרה'!$B$6="הכל",מלאי!B95='לוח בקרה'!$B$6),OR('לוח בקרה'!$B$7="הכל",מלאי!F95='לוח בקרה'!$B$7,מלאי!G95='לוח בקרה'!$B$7),OR('לוח בקרה'!$B$8="הכל",מלאי!T95='לוח בקרה'!$B$8),OR('לוח בקרה'!$B$9="הכל",מלאי!Q95='לוח בקרה'!$B$9),OR('לוח בקרה'!$E$4="הכל",מלאי!J95='לוח בקרה'!$E$4),OR('לוח בקרה'!$E$5="הכל",מלאי!L95='לוח בקרה'!$E$5),OR('לוח בקרה'!$E$6="הכל",מלאי!O95='לוח בקרה'!$E$6),OR('לוח בקרה'!$E$7="הכל",מלאי!R95='לוח בקרה'!$E$7),OR('לוח בקרה'!$E$8="הכל",'לוח בקרה'!$E$8="",מלאי!W95='לוח בקרה'!$E$8),OR('לוח בקרה'!$E$9="הכל",'לוח בקרה'!$E$9="",ISNUMBER(SEARCH('לוח בקרה'!$E$9,מלאי!C95)))),1,0)</f>
        <v>0</v>
      </c>
      <c r="AE95" t="e">
        <f>IF(AND(מלאי!D95&lt;&gt;"",OR('לוח בקרה טכנו-מבצעי'!$B$4="הכל",מלאי!Z95='לוח בקרה טכנו-מבצעי'!$B$4,מלאי!AA95='לוח בקרה טכנו-מבצעי'!$B$4,מלאי!AB95='לוח בקרה טכנו-מבצעי'!$B$4,מלאי!AC95='לוח בקרה טכנו-מבצעי'!$B$4),OR('לוח בקרה טכנו-מבצעי'!$B$5="הכל",מלאי!A95='לוח בקרה טכנו-מבצעי'!$B$5),OR('לוח בקרה טכנו-מבצעי'!$B$6="הכל",מלאי!B95='לוח בקרה טכנו-מבצעי'!$B$6),OR('לוח בקרה טכנו-מבצעי'!$B$7="הכל",מלאי!F95='לוח בקרה טכנו-מבצעי'!$B$7,מלאי!G95='לוח בקרה טכנו-מבצעי'!$B$7),OR('לוח בקרה טכנו-מבצעי'!$B$8="הכל",מלאי!T95='לוח בקרה טכנו-מבצעי'!$B$8),OR('לוח בקרה טכנו-מבצעי'!$B$9="הכל",מלאי!Q95='לוח בקרה טכנו-מבצעי'!$B$9),OR('לוח בקרה טכנו-מבצעי'!$E$4="הכל",מלאי!J95='לוח בקרה טכנו-מבצעי'!$E$4),OR('לוח בקרה טכנו-מבצעי'!$E$5="הכל",מלאי!L95='לוח בקרה טכנו-מבצעי'!$E$5),OR('לוח בקרה טכנו-מבצעי'!$E$6="הכל",מלאי!O95='לוח בקרה טכנו-מבצעי'!$E$6),OR('לוח בקרה טכנו-מבצעי'!$E$7="הכל",מלאי!R95='לוח בקרה טכנו-מבצעי'!$E$7),OR('לוח בקרה טכנו-מבצעי'!$E$8="הכל",'לוח בקרה טכנו-מבצעי'!$E$8="",מלאי!W95='לוח בקרה טכנו-מבצעי'!$E$8),OR('לוח בקרה טכנו-מבצעי'!$E$9="הכל",'לוח בקרה טכנו-מבצעי'!$E$9="",ISNUMBER(SEARCH('לוח בקרה טכנו-מבצעי'!$E$9,מלאי!C95))),OR('לוח בקרה טכנו-מבצעי'!$B$10="הכל",מלאי!#REF!='לוח בקרה טכנו-מבצעי'!$B$10)),1,0)</f>
        <v>#REF!</v>
      </c>
      <c r="AF95" t="str">
        <f>IF(AD95=1,COUNTIF($AD$3:$AD95,1),"")</f>
        <v/>
      </c>
      <c r="AG95" t="e">
        <f>IF(AE95=1,COUNTIF($AE$3:$AE95,1),"")</f>
        <v>#REF!</v>
      </c>
    </row>
    <row r="96" spans="1:33" ht="15" customHeight="1" x14ac:dyDescent="0.25">
      <c r="A96" s="17" t="s">
        <v>62</v>
      </c>
      <c r="B96" s="17" t="s">
        <v>198</v>
      </c>
      <c r="C96" s="30" t="s">
        <v>64</v>
      </c>
      <c r="D96" t="s">
        <v>338</v>
      </c>
      <c r="E96" s="17" t="str">
        <f>IFERROR(INDEX(הגדרות!$I$2:$I$47,MATCH(B96,הגדרות!$H$2:$H$47,0)),"")</f>
        <v>7051-00</v>
      </c>
      <c r="F96" s="19" t="s">
        <v>79</v>
      </c>
      <c r="G96" s="17"/>
      <c r="H96" s="17" t="s">
        <v>197</v>
      </c>
      <c r="I96" s="17"/>
      <c r="J96" s="19" t="s">
        <v>68</v>
      </c>
      <c r="K96" s="19" t="s">
        <v>68</v>
      </c>
      <c r="L96" s="19" t="s">
        <v>68</v>
      </c>
      <c r="M96" s="19" t="s">
        <v>68</v>
      </c>
      <c r="N96" s="19" t="s">
        <v>14</v>
      </c>
      <c r="O96" s="17"/>
      <c r="P96" s="30" t="s">
        <v>348</v>
      </c>
      <c r="Q96" s="17"/>
      <c r="R96" s="17"/>
      <c r="S96" s="17"/>
      <c r="T96" s="17" t="s">
        <v>69</v>
      </c>
      <c r="U96" s="17"/>
      <c r="V96" s="17"/>
      <c r="W96" s="17"/>
      <c r="X96" s="17"/>
      <c r="Y96" s="17"/>
      <c r="Z96" t="str">
        <f>IFERROR(INDEX(הגדרות!$B$2:$B$17,MATCH(H96,הגדרות!$A$2:$A$17,0)),"")</f>
        <v>שלג</v>
      </c>
      <c r="AA96">
        <f>IFERROR(INDEX(הגדרות!$C$2:$C$17,MATCH(H96,הגדרות!$A$2:$A$17,0)),"")</f>
        <v>0</v>
      </c>
      <c r="AB96" t="str">
        <f>IFERROR(INDEX(הגדרות!$B$2:$B$17,MATCH(I96,הגדרות!$A$2:$A$17,0)),"")</f>
        <v/>
      </c>
      <c r="AC96" t="str">
        <f>IFERROR(INDEX(הגדרות!$C$2:$C$17,MATCH(I96,הגדרות!$A$2:$A$17,0)),"")</f>
        <v/>
      </c>
      <c r="AD96">
        <f>IF(AND(מלאי!D96&lt;&gt;"",OR('לוח בקרה'!$B$4="הכל",מלאי!Z96='לוח בקרה'!$B$4,מלאי!AA96='לוח בקרה'!$B$4,מלאי!AB96='לוח בקרה'!$B$4,מלאי!AC96='לוח בקרה'!$B$4),OR('לוח בקרה'!$B$5="הכל",מלאי!A96='לוח בקרה'!$B$5),OR('לוח בקרה'!$B$6="הכל",מלאי!B96='לוח בקרה'!$B$6),OR('לוח בקרה'!$B$7="הכל",מלאי!F96='לוח בקרה'!$B$7,מלאי!G96='לוח בקרה'!$B$7),OR('לוח בקרה'!$B$8="הכל",מלאי!T96='לוח בקרה'!$B$8),OR('לוח בקרה'!$B$9="הכל",מלאי!Q96='לוח בקרה'!$B$9),OR('לוח בקרה'!$E$4="הכל",מלאי!J96='לוח בקרה'!$E$4),OR('לוח בקרה'!$E$5="הכל",מלאי!L96='לוח בקרה'!$E$5),OR('לוח בקרה'!$E$6="הכל",מלאי!O96='לוח בקרה'!$E$6),OR('לוח בקרה'!$E$7="הכל",מלאי!R96='לוח בקרה'!$E$7),OR('לוח בקרה'!$E$8="הכל",'לוח בקרה'!$E$8="",מלאי!W96='לוח בקרה'!$E$8),OR('לוח בקרה'!$E$9="הכל",'לוח בקרה'!$E$9="",ISNUMBER(SEARCH('לוח בקרה'!$E$9,מלאי!C96)))),1,0)</f>
        <v>0</v>
      </c>
      <c r="AE96" t="e">
        <f>IF(AND(מלאי!D96&lt;&gt;"",OR('לוח בקרה טכנו-מבצעי'!$B$4="הכל",מלאי!Z96='לוח בקרה טכנו-מבצעי'!$B$4,מלאי!AA96='לוח בקרה טכנו-מבצעי'!$B$4,מלאי!AB96='לוח בקרה טכנו-מבצעי'!$B$4,מלאי!AC96='לוח בקרה טכנו-מבצעי'!$B$4),OR('לוח בקרה טכנו-מבצעי'!$B$5="הכל",מלאי!A96='לוח בקרה טכנו-מבצעי'!$B$5),OR('לוח בקרה טכנו-מבצעי'!$B$6="הכל",מלאי!B96='לוח בקרה טכנו-מבצעי'!$B$6),OR('לוח בקרה טכנו-מבצעי'!$B$7="הכל",מלאי!F96='לוח בקרה טכנו-מבצעי'!$B$7,מלאי!G96='לוח בקרה טכנו-מבצעי'!$B$7),OR('לוח בקרה טכנו-מבצעי'!$B$8="הכל",מלאי!T96='לוח בקרה טכנו-מבצעי'!$B$8),OR('לוח בקרה טכנו-מבצעי'!$B$9="הכל",מלאי!Q96='לוח בקרה טכנו-מבצעי'!$B$9),OR('לוח בקרה טכנו-מבצעי'!$E$4="הכל",מלאי!J96='לוח בקרה טכנו-מבצעי'!$E$4),OR('לוח בקרה טכנו-מבצעי'!$E$5="הכל",מלאי!L96='לוח בקרה טכנו-מבצעי'!$E$5),OR('לוח בקרה טכנו-מבצעי'!$E$6="הכל",מלאי!O96='לוח בקרה טכנו-מבצעי'!$E$6),OR('לוח בקרה טכנו-מבצעי'!$E$7="הכל",מלאי!R96='לוח בקרה טכנו-מבצעי'!$E$7),OR('לוח בקרה טכנו-מבצעי'!$E$8="הכל",'לוח בקרה טכנו-מבצעי'!$E$8="",מלאי!W96='לוח בקרה טכנו-מבצעי'!$E$8),OR('לוח בקרה טכנו-מבצעי'!$E$9="הכל",'לוח בקרה טכנו-מבצעי'!$E$9="",ISNUMBER(SEARCH('לוח בקרה טכנו-מבצעי'!$E$9,מלאי!C96))),OR('לוח בקרה טכנו-מבצעי'!$B$10="הכל",מלאי!#REF!='לוח בקרה טכנו-מבצעי'!$B$10)),1,0)</f>
        <v>#REF!</v>
      </c>
      <c r="AF96" t="str">
        <f>IF(AD96=1,COUNTIF($AD$3:$AD96,1),"")</f>
        <v/>
      </c>
      <c r="AG96" t="e">
        <f>IF(AE96=1,COUNTIF($AE$3:$AE96,1),"")</f>
        <v>#REF!</v>
      </c>
    </row>
    <row r="97" spans="1:33" ht="15" customHeight="1" x14ac:dyDescent="0.25">
      <c r="A97" s="23" t="s">
        <v>62</v>
      </c>
      <c r="B97" t="s">
        <v>198</v>
      </c>
      <c r="C97" s="30" t="s">
        <v>64</v>
      </c>
      <c r="D97" t="s">
        <v>340</v>
      </c>
      <c r="E97" s="19" t="str">
        <f>IFERROR(INDEX(הגדרות!$I$2:$I$47,MATCH(B97,הגדרות!$H$2:$H$47,0)),"")</f>
        <v>7051-00</v>
      </c>
      <c r="F97" s="19" t="s">
        <v>79</v>
      </c>
      <c r="G97" s="19"/>
      <c r="H97" s="19" t="s">
        <v>197</v>
      </c>
      <c r="I97" s="19"/>
      <c r="J97" s="19" t="s">
        <v>68</v>
      </c>
      <c r="K97" s="19" t="s">
        <v>68</v>
      </c>
      <c r="L97" s="19" t="s">
        <v>68</v>
      </c>
      <c r="M97" s="19" t="s">
        <v>68</v>
      </c>
      <c r="N97" s="19" t="s">
        <v>68</v>
      </c>
      <c r="O97" s="19"/>
      <c r="P97" s="19"/>
      <c r="Q97" s="19"/>
      <c r="R97" s="19"/>
      <c r="S97" s="19"/>
      <c r="T97" s="19" t="s">
        <v>69</v>
      </c>
      <c r="U97" s="19"/>
      <c r="V97" s="19"/>
      <c r="W97" s="19"/>
      <c r="X97" s="19"/>
      <c r="Y97" s="19"/>
      <c r="Z97" t="str">
        <f>IFERROR(INDEX(הגדרות!$B$2:$B$17,MATCH(H97,הגדרות!$A$2:$A$17,0)),"")</f>
        <v>שלג</v>
      </c>
      <c r="AA97">
        <f>IFERROR(INDEX(הגדרות!$C$2:$C$17,MATCH(H97,הגדרות!$A$2:$A$17,0)),"")</f>
        <v>0</v>
      </c>
      <c r="AB97" t="str">
        <f>IFERROR(INDEX(הגדרות!$B$2:$B$17,MATCH(I97,הגדרות!$A$2:$A$17,0)),"")</f>
        <v/>
      </c>
      <c r="AC97" t="str">
        <f>IFERROR(INDEX(הגדרות!$C$2:$C$17,MATCH(I97,הגדרות!$A$2:$A$17,0)),"")</f>
        <v/>
      </c>
      <c r="AD97">
        <f>IF(AND(מלאי!D97&lt;&gt;"",OR('לוח בקרה'!$B$4="הכל",מלאי!Z97='לוח בקרה'!$B$4,מלאי!AA97='לוח בקרה'!$B$4,מלאי!AB97='לוח בקרה'!$B$4,מלאי!AC97='לוח בקרה'!$B$4),OR('לוח בקרה'!$B$5="הכל",מלאי!A97='לוח בקרה'!$B$5),OR('לוח בקרה'!$B$6="הכל",מלאי!B97='לוח בקרה'!$B$6),OR('לוח בקרה'!$B$7="הכל",מלאי!F97='לוח בקרה'!$B$7,מלאי!G97='לוח בקרה'!$B$7),OR('לוח בקרה'!$B$8="הכל",מלאי!T97='לוח בקרה'!$B$8),OR('לוח בקרה'!$B$9="הכל",מלאי!Q97='לוח בקרה'!$B$9),OR('לוח בקרה'!$E$4="הכל",מלאי!J97='לוח בקרה'!$E$4),OR('לוח בקרה'!$E$5="הכל",מלאי!L97='לוח בקרה'!$E$5),OR('לוח בקרה'!$E$6="הכל",מלאי!O97='לוח בקרה'!$E$6),OR('לוח בקרה'!$E$7="הכל",מלאי!R97='לוח בקרה'!$E$7),OR('לוח בקרה'!$E$8="הכל",'לוח בקרה'!$E$8="",מלאי!W97='לוח בקרה'!$E$8),OR('לוח בקרה'!$E$9="הכל",'לוח בקרה'!$E$9="",ISNUMBER(SEARCH('לוח בקרה'!$E$9,מלאי!C97)))),1,0)</f>
        <v>0</v>
      </c>
      <c r="AE97" t="e">
        <f>IF(AND(מלאי!D97&lt;&gt;"",OR('לוח בקרה טכנו-מבצעי'!$B$4="הכל",מלאי!Z97='לוח בקרה טכנו-מבצעי'!$B$4,מלאי!AA97='לוח בקרה טכנו-מבצעי'!$B$4,מלאי!AB97='לוח בקרה טכנו-מבצעי'!$B$4,מלאי!AC97='לוח בקרה טכנו-מבצעי'!$B$4),OR('לוח בקרה טכנו-מבצעי'!$B$5="הכל",מלאי!A97='לוח בקרה טכנו-מבצעי'!$B$5),OR('לוח בקרה טכנו-מבצעי'!$B$6="הכל",מלאי!B97='לוח בקרה טכנו-מבצעי'!$B$6),OR('לוח בקרה טכנו-מבצעי'!$B$7="הכל",מלאי!F97='לוח בקרה טכנו-מבצעי'!$B$7,מלאי!G97='לוח בקרה טכנו-מבצעי'!$B$7),OR('לוח בקרה טכנו-מבצעי'!$B$8="הכל",מלאי!T97='לוח בקרה טכנו-מבצעי'!$B$8),OR('לוח בקרה טכנו-מבצעי'!$B$9="הכל",מלאי!Q97='לוח בקרה טכנו-מבצעי'!$B$9),OR('לוח בקרה טכנו-מבצעי'!$E$4="הכל",מלאי!J97='לוח בקרה טכנו-מבצעי'!$E$4),OR('לוח בקרה טכנו-מבצעי'!$E$5="הכל",מלאי!L97='לוח בקרה טכנו-מבצעי'!$E$5),OR('לוח בקרה טכנו-מבצעי'!$E$6="הכל",מלאי!O97='לוח בקרה טכנו-מבצעי'!$E$6),OR('לוח בקרה טכנו-מבצעי'!$E$7="הכל",מלאי!R97='לוח בקרה טכנו-מבצעי'!$E$7),OR('לוח בקרה טכנו-מבצעי'!$E$8="הכל",'לוח בקרה טכנו-מבצעי'!$E$8="",מלאי!W97='לוח בקרה טכנו-מבצעי'!$E$8),OR('לוח בקרה טכנו-מבצעי'!$E$9="הכל",'לוח בקרה טכנו-מבצעי'!$E$9="",ISNUMBER(SEARCH('לוח בקרה טכנו-מבצעי'!$E$9,מלאי!C97))),OR('לוח בקרה טכנו-מבצעי'!$B$10="הכל",מלאי!#REF!='לוח בקרה טכנו-מבצעי'!$B$10)),1,0)</f>
        <v>#REF!</v>
      </c>
      <c r="AF97" t="str">
        <f>IF(AD97=1,COUNTIF($AD$3:$AD97,1),"")</f>
        <v/>
      </c>
      <c r="AG97" t="e">
        <f>IF(AE97=1,COUNTIF($AE$3:$AE97,1),"")</f>
        <v>#REF!</v>
      </c>
    </row>
    <row r="98" spans="1:33" ht="15" customHeight="1" x14ac:dyDescent="0.25">
      <c r="A98" s="23" t="s">
        <v>62</v>
      </c>
      <c r="B98" s="19" t="s">
        <v>198</v>
      </c>
      <c r="C98" s="30" t="s">
        <v>64</v>
      </c>
      <c r="D98" t="s">
        <v>341</v>
      </c>
      <c r="E98" s="19" t="str">
        <f>IFERROR(INDEX(הגדרות!$I$2:$I$47,MATCH(B98,הגדרות!$H$2:$H$47,0)),"")</f>
        <v>7051-00</v>
      </c>
      <c r="F98" s="19" t="s">
        <v>79</v>
      </c>
      <c r="G98" s="19"/>
      <c r="H98" s="19" t="s">
        <v>197</v>
      </c>
      <c r="I98" s="19"/>
      <c r="J98" s="19" t="s">
        <v>68</v>
      </c>
      <c r="K98" s="19" t="s">
        <v>68</v>
      </c>
      <c r="L98" s="19" t="s">
        <v>68</v>
      </c>
      <c r="M98" s="19" t="s">
        <v>68</v>
      </c>
      <c r="N98" s="19" t="s">
        <v>68</v>
      </c>
      <c r="O98" s="19"/>
      <c r="P98" s="19"/>
      <c r="Q98" s="19"/>
      <c r="R98" s="19"/>
      <c r="S98" s="19"/>
      <c r="T98" s="19" t="s">
        <v>69</v>
      </c>
      <c r="U98" s="19"/>
      <c r="V98" s="19"/>
      <c r="W98" s="19"/>
      <c r="X98" s="19"/>
      <c r="Y98" s="19"/>
      <c r="Z98" t="str">
        <f>IFERROR(INDEX(הגדרות!$B$2:$B$17,MATCH(H98,הגדרות!$A$2:$A$17,0)),"")</f>
        <v>שלג</v>
      </c>
      <c r="AA98">
        <f>IFERROR(INDEX(הגדרות!$C$2:$C$17,MATCH(H98,הגדרות!$A$2:$A$17,0)),"")</f>
        <v>0</v>
      </c>
      <c r="AB98" t="str">
        <f>IFERROR(INDEX(הגדרות!$B$2:$B$17,MATCH(I98,הגדרות!$A$2:$A$17,0)),"")</f>
        <v/>
      </c>
      <c r="AC98" t="str">
        <f>IFERROR(INDEX(הגדרות!$C$2:$C$17,MATCH(I98,הגדרות!$A$2:$A$17,0)),"")</f>
        <v/>
      </c>
      <c r="AD98">
        <f>IF(AND(מלאי!D98&lt;&gt;"",OR('לוח בקרה'!$B$4="הכל",מלאי!Z98='לוח בקרה'!$B$4,מלאי!AA98='לוח בקרה'!$B$4,מלאי!AB98='לוח בקרה'!$B$4,מלאי!AC98='לוח בקרה'!$B$4),OR('לוח בקרה'!$B$5="הכל",מלאי!A98='לוח בקרה'!$B$5),OR('לוח בקרה'!$B$6="הכל",מלאי!B98='לוח בקרה'!$B$6),OR('לוח בקרה'!$B$7="הכל",מלאי!F98='לוח בקרה'!$B$7,מלאי!G98='לוח בקרה'!$B$7),OR('לוח בקרה'!$B$8="הכל",מלאי!T98='לוח בקרה'!$B$8),OR('לוח בקרה'!$B$9="הכל",מלאי!Q98='לוח בקרה'!$B$9),OR('לוח בקרה'!$E$4="הכל",מלאי!J98='לוח בקרה'!$E$4),OR('לוח בקרה'!$E$5="הכל",מלאי!L98='לוח בקרה'!$E$5),OR('לוח בקרה'!$E$6="הכל",מלאי!O98='לוח בקרה'!$E$6),OR('לוח בקרה'!$E$7="הכל",מלאי!R98='לוח בקרה'!$E$7),OR('לוח בקרה'!$E$8="הכל",'לוח בקרה'!$E$8="",מלאי!W98='לוח בקרה'!$E$8),OR('לוח בקרה'!$E$9="הכל",'לוח בקרה'!$E$9="",ISNUMBER(SEARCH('לוח בקרה'!$E$9,מלאי!C98)))),1,0)</f>
        <v>0</v>
      </c>
      <c r="AE98" t="e">
        <f>IF(AND(מלאי!D98&lt;&gt;"",OR('לוח בקרה טכנו-מבצעי'!$B$4="הכל",מלאי!Z98='לוח בקרה טכנו-מבצעי'!$B$4,מלאי!AA98='לוח בקרה טכנו-מבצעי'!$B$4,מלאי!AB98='לוח בקרה טכנו-מבצעי'!$B$4,מלאי!AC98='לוח בקרה טכנו-מבצעי'!$B$4),OR('לוח בקרה טכנו-מבצעי'!$B$5="הכל",מלאי!A98='לוח בקרה טכנו-מבצעי'!$B$5),OR('לוח בקרה טכנו-מבצעי'!$B$6="הכל",מלאי!B98='לוח בקרה טכנו-מבצעי'!$B$6),OR('לוח בקרה טכנו-מבצעי'!$B$7="הכל",מלאי!F98='לוח בקרה טכנו-מבצעי'!$B$7,מלאי!G98='לוח בקרה טכנו-מבצעי'!$B$7),OR('לוח בקרה טכנו-מבצעי'!$B$8="הכל",מלאי!T98='לוח בקרה טכנו-מבצעי'!$B$8),OR('לוח בקרה טכנו-מבצעי'!$B$9="הכל",מלאי!Q98='לוח בקרה טכנו-מבצעי'!$B$9),OR('לוח בקרה טכנו-מבצעי'!$E$4="הכל",מלאי!J98='לוח בקרה טכנו-מבצעי'!$E$4),OR('לוח בקרה טכנו-מבצעי'!$E$5="הכל",מלאי!L98='לוח בקרה טכנו-מבצעי'!$E$5),OR('לוח בקרה טכנו-מבצעי'!$E$6="הכל",מלאי!O98='לוח בקרה טכנו-מבצעי'!$E$6),OR('לוח בקרה טכנו-מבצעי'!$E$7="הכל",מלאי!R98='לוח בקרה טכנו-מבצעי'!$E$7),OR('לוח בקרה טכנו-מבצעי'!$E$8="הכל",'לוח בקרה טכנו-מבצעי'!$E$8="",מלאי!W98='לוח בקרה טכנו-מבצעי'!$E$8),OR('לוח בקרה טכנו-מבצעי'!$E$9="הכל",'לוח בקרה טכנו-מבצעי'!$E$9="",ISNUMBER(SEARCH('לוח בקרה טכנו-מבצעי'!$E$9,מלאי!C98))),OR('לוח בקרה טכנו-מבצעי'!$B$10="הכל",מלאי!#REF!='לוח בקרה טכנו-מבצעי'!$B$10)),1,0)</f>
        <v>#REF!</v>
      </c>
      <c r="AF98" t="str">
        <f>IF(AD98=1,COUNTIF($AD$3:$AD98,1),"")</f>
        <v/>
      </c>
      <c r="AG98" t="e">
        <f>IF(AE98=1,COUNTIF($AE$3:$AE98,1),"")</f>
        <v>#REF!</v>
      </c>
    </row>
    <row r="99" spans="1:33" ht="15" customHeight="1" x14ac:dyDescent="0.25">
      <c r="A99" s="17" t="s">
        <v>62</v>
      </c>
      <c r="B99" s="30" t="s">
        <v>198</v>
      </c>
      <c r="C99" s="30" t="s">
        <v>64</v>
      </c>
      <c r="D99" t="s">
        <v>350</v>
      </c>
      <c r="E99" s="17" t="str">
        <f>IFERROR(INDEX(הגדרות!$I$2:$I$47,MATCH(B99,הגדרות!$H$2:$H$47,0)),"")</f>
        <v>7051-00</v>
      </c>
      <c r="F99" s="17" t="s">
        <v>79</v>
      </c>
      <c r="G99" s="17"/>
      <c r="H99" s="17" t="s">
        <v>194</v>
      </c>
      <c r="I99" s="17"/>
      <c r="J99" s="19" t="s">
        <v>68</v>
      </c>
      <c r="K99" s="19" t="s">
        <v>68</v>
      </c>
      <c r="L99" s="19" t="s">
        <v>68</v>
      </c>
      <c r="M99" s="19" t="s">
        <v>68</v>
      </c>
      <c r="N99" s="19" t="s">
        <v>68</v>
      </c>
      <c r="O99" s="17"/>
      <c r="P99" s="17"/>
      <c r="Q99" s="17"/>
      <c r="R99" s="17"/>
      <c r="S99" s="17"/>
      <c r="T99" s="17" t="s">
        <v>69</v>
      </c>
      <c r="U99" s="17"/>
      <c r="V99" s="17"/>
      <c r="W99" s="17"/>
      <c r="X99" s="17"/>
      <c r="Y99" s="17"/>
      <c r="Z99" t="str">
        <f>IFERROR(INDEX(הגדרות!$B$2:$B$17,MATCH(H99,הגדרות!$A$2:$A$17,0)),"")</f>
        <v>שלג</v>
      </c>
      <c r="AA99">
        <f>IFERROR(INDEX(הגדרות!$C$2:$C$17,MATCH(H99,הגדרות!$A$2:$A$17,0)),"")</f>
        <v>0</v>
      </c>
      <c r="AB99" t="str">
        <f>IFERROR(INDEX(הגדרות!$B$2:$B$17,MATCH(I99,הגדרות!$A$2:$A$17,0)),"")</f>
        <v/>
      </c>
      <c r="AC99" t="str">
        <f>IFERROR(INDEX(הגדרות!$C$2:$C$17,MATCH(I99,הגדרות!$A$2:$A$17,0)),"")</f>
        <v/>
      </c>
      <c r="AD99">
        <f>IF(AND(מלאי!D93&lt;&gt;"",OR('לוח בקרה'!$B$4="הכל",מלאי!Z99='לוח בקרה'!$B$4,מלאי!AA99='לוח בקרה'!$B$4,מלאי!AB99='לוח בקרה'!$B$4,מלאי!AC99='לוח בקרה'!$B$4),OR('לוח בקרה'!$B$5="הכל",מלאי!A99='לוח בקרה'!$B$5),OR('לוח בקרה'!$B$6="הכל",מלאי!B99='לוח בקרה'!$B$6),OR('לוח בקרה'!$B$7="הכל",מלאי!F99='לוח בקרה'!$B$7,מלאי!G99='לוח בקרה'!$B$7),OR('לוח בקרה'!$B$8="הכל",מלאי!T99='לוח בקרה'!$B$8),OR('לוח בקרה'!$B$9="הכל",מלאי!Q99='לוח בקרה'!$B$9),OR('לוח בקרה'!$E$4="הכל",מלאי!J99='לוח בקרה'!$E$4),OR('לוח בקרה'!$E$5="הכל",מלאי!L99='לוח בקרה'!$E$5),OR('לוח בקרה'!$E$6="הכל",מלאי!O99='לוח בקרה'!$E$6),OR('לוח בקרה'!$E$7="הכל",מלאי!R99='לוח בקרה'!$E$7),OR('לוח בקרה'!$E$8="הכל",'לוח בקרה'!$E$8="",מלאי!W99='לוח בקרה'!$E$8),OR('לוח בקרה'!$E$9="הכל",'לוח בקרה'!$E$9="",ISNUMBER(SEARCH('לוח בקרה'!$E$9,מלאי!C99)))),1,0)</f>
        <v>0</v>
      </c>
      <c r="AE99" t="e">
        <f>IF(AND(מלאי!D93&lt;&gt;"",OR('לוח בקרה טכנו-מבצעי'!$B$4="הכל",מלאי!Z99='לוח בקרה טכנו-מבצעי'!$B$4,מלאי!AA99='לוח בקרה טכנו-מבצעי'!$B$4,מלאי!AB99='לוח בקרה טכנו-מבצעי'!$B$4,מלאי!AC99='לוח בקרה טכנו-מבצעי'!$B$4),OR('לוח בקרה טכנו-מבצעי'!$B$5="הכל",מלאי!A99='לוח בקרה טכנו-מבצעי'!$B$5),OR('לוח בקרה טכנו-מבצעי'!$B$6="הכל",מלאי!B99='לוח בקרה טכנו-מבצעי'!$B$6),OR('לוח בקרה טכנו-מבצעי'!$B$7="הכל",מלאי!F99='לוח בקרה טכנו-מבצעי'!$B$7,מלאי!G99='לוח בקרה טכנו-מבצעי'!$B$7),OR('לוח בקרה טכנו-מבצעי'!$B$8="הכל",מלאי!T99='לוח בקרה טכנו-מבצעי'!$B$8),OR('לוח בקרה טכנו-מבצעי'!$B$9="הכל",מלאי!Q99='לוח בקרה טכנו-מבצעי'!$B$9),OR('לוח בקרה טכנו-מבצעי'!$E$4="הכל",מלאי!J99='לוח בקרה טכנו-מבצעי'!$E$4),OR('לוח בקרה טכנו-מבצעי'!$E$5="הכל",מלאי!L99='לוח בקרה טכנו-מבצעי'!$E$5),OR('לוח בקרה טכנו-מבצעי'!$E$6="הכל",מלאי!O99='לוח בקרה טכנו-מבצעי'!$E$6),OR('לוח בקרה טכנו-מבצעי'!$E$7="הכל",מלאי!R99='לוח בקרה טכנו-מבצעי'!$E$7),OR('לוח בקרה טכנו-מבצעי'!$E$8="הכל",'לוח בקרה טכנו-מבצעי'!$E$8="",מלאי!W99='לוח בקרה טכנו-מבצעי'!$E$8),OR('לוח בקרה טכנו-מבצעי'!$E$9="הכל",'לוח בקרה טכנו-מבצעי'!$E$9="",ISNUMBER(SEARCH('לוח בקרה טכנו-מבצעי'!$E$9,מלאי!C99))),OR('לוח בקרה טכנו-מבצעי'!$B$10="הכל",מלאי!#REF!='לוח בקרה טכנו-מבצעי'!$B$10)),1,0)</f>
        <v>#REF!</v>
      </c>
      <c r="AF99" t="str">
        <f>IF(AD99=1,COUNTIF($AD$3:$AD99,1),"")</f>
        <v/>
      </c>
      <c r="AG99" t="e">
        <f>IF(AE99=1,COUNTIF($AE$3:$AE99,1),"")</f>
        <v>#REF!</v>
      </c>
    </row>
    <row r="100" spans="1:33" ht="15" customHeight="1" x14ac:dyDescent="0.25">
      <c r="A100" s="17" t="s">
        <v>62</v>
      </c>
      <c r="B100" t="s">
        <v>198</v>
      </c>
      <c r="C100" s="30" t="s">
        <v>64</v>
      </c>
      <c r="D100" t="s">
        <v>351</v>
      </c>
      <c r="E100" s="19" t="str">
        <f>IFERROR(INDEX(הגדרות!$I$2:$I$47,MATCH(B100,הגדרות!$H$2:$H$47,0)),"")</f>
        <v>7051-00</v>
      </c>
      <c r="F100" s="19" t="s">
        <v>79</v>
      </c>
      <c r="G100" s="19"/>
      <c r="H100" s="19" t="s">
        <v>194</v>
      </c>
      <c r="I100" s="19"/>
      <c r="J100" s="19" t="s">
        <v>68</v>
      </c>
      <c r="K100" s="19" t="s">
        <v>68</v>
      </c>
      <c r="L100" s="19" t="s">
        <v>68</v>
      </c>
      <c r="M100" s="19" t="s">
        <v>68</v>
      </c>
      <c r="N100" s="19" t="s">
        <v>14</v>
      </c>
      <c r="O100" s="19"/>
      <c r="P100" s="30" t="s">
        <v>348</v>
      </c>
      <c r="Q100" s="19"/>
      <c r="R100" s="19"/>
      <c r="S100" s="19"/>
      <c r="T100" s="17" t="s">
        <v>69</v>
      </c>
      <c r="U100" s="19"/>
      <c r="V100" s="19"/>
      <c r="W100" s="19"/>
      <c r="X100" s="19"/>
      <c r="Y100" s="19"/>
      <c r="Z100" t="str">
        <f>IFERROR(INDEX(הגדרות!$B$2:$B$17,MATCH(H100,הגדרות!$A$2:$A$17,0)),"")</f>
        <v>שלג</v>
      </c>
      <c r="AA100">
        <f>IFERROR(INDEX(הגדרות!$C$2:$C$17,MATCH(H100,הגדרות!$A$2:$A$17,0)),"")</f>
        <v>0</v>
      </c>
      <c r="AB100" t="str">
        <f>IFERROR(INDEX(הגדרות!$B$2:$B$17,MATCH(I100,הגדרות!$A$2:$A$17,0)),"")</f>
        <v/>
      </c>
      <c r="AC100" t="str">
        <f>IFERROR(INDEX(הגדרות!$C$2:$C$17,MATCH(I100,הגדרות!$A$2:$A$17,0)),"")</f>
        <v/>
      </c>
      <c r="AD100">
        <f>IF(AND(מלאי!D100&lt;&gt;"",OR('לוח בקרה'!$B$4="הכל",מלאי!Z100='לוח בקרה'!$B$4,מלאי!AA100='לוח בקרה'!$B$4,מלאי!AB100='לוח בקרה'!$B$4,מלאי!AC100='לוח בקרה'!$B$4),OR('לוח בקרה'!$B$5="הכל",מלאי!A100='לוח בקרה'!$B$5),OR('לוח בקרה'!$B$6="הכל",מלאי!B100='לוח בקרה'!$B$6),OR('לוח בקרה'!$B$7="הכל",מלאי!F100='לוח בקרה'!$B$7,מלאי!G100='לוח בקרה'!$B$7),OR('לוח בקרה'!$B$8="הכל",מלאי!T100='לוח בקרה'!$B$8),OR('לוח בקרה'!$B$9="הכל",מלאי!Q100='לוח בקרה'!$B$9),OR('לוח בקרה'!$E$4="הכל",מלאי!J100='לוח בקרה'!$E$4),OR('לוח בקרה'!$E$5="הכל",מלאי!L100='לוח בקרה'!$E$5),OR('לוח בקרה'!$E$6="הכל",מלאי!O100='לוח בקרה'!$E$6),OR('לוח בקרה'!$E$7="הכל",מלאי!R100='לוח בקרה'!$E$7),OR('לוח בקרה'!$E$8="הכל",'לוח בקרה'!$E$8="",מלאי!W100='לוח בקרה'!$E$8),OR('לוח בקרה'!$E$9="הכל",'לוח בקרה'!$E$9="",ISNUMBER(SEARCH('לוח בקרה'!$E$9,מלאי!C100)))),1,0)</f>
        <v>0</v>
      </c>
      <c r="AE100" t="e">
        <f>IF(AND(מלאי!D100&lt;&gt;"",OR('לוח בקרה טכנו-מבצעי'!$B$4="הכל",מלאי!Z100='לוח בקרה טכנו-מבצעי'!$B$4,מלאי!AA100='לוח בקרה טכנו-מבצעי'!$B$4,מלאי!AB100='לוח בקרה טכנו-מבצעי'!$B$4,מלאי!AC100='לוח בקרה טכנו-מבצעי'!$B$4),OR('לוח בקרה טכנו-מבצעי'!$B$5="הכל",מלאי!A100='לוח בקרה טכנו-מבצעי'!$B$5),OR('לוח בקרה טכנו-מבצעי'!$B$6="הכל",מלאי!B100='לוח בקרה טכנו-מבצעי'!$B$6),OR('לוח בקרה טכנו-מבצעי'!$B$7="הכל",מלאי!F100='לוח בקרה טכנו-מבצעי'!$B$7,מלאי!G100='לוח בקרה טכנו-מבצעי'!$B$7),OR('לוח בקרה טכנו-מבצעי'!$B$8="הכל",מלאי!T100='לוח בקרה טכנו-מבצעי'!$B$8),OR('לוח בקרה טכנו-מבצעי'!$B$9="הכל",מלאי!Q100='לוח בקרה טכנו-מבצעי'!$B$9),OR('לוח בקרה טכנו-מבצעי'!$E$4="הכל",מלאי!J100='לוח בקרה טכנו-מבצעי'!$E$4),OR('לוח בקרה טכנו-מבצעי'!$E$5="הכל",מלאי!L100='לוח בקרה טכנו-מבצעי'!$E$5),OR('לוח בקרה טכנו-מבצעי'!$E$6="הכל",מלאי!O100='לוח בקרה טכנו-מבצעי'!$E$6),OR('לוח בקרה טכנו-מבצעי'!$E$7="הכל",מלאי!R100='לוח בקרה טכנו-מבצעי'!$E$7),OR('לוח בקרה טכנו-מבצעי'!$E$8="הכל",'לוח בקרה טכנו-מבצעי'!$E$8="",מלאי!W100='לוח בקרה טכנו-מבצעי'!$E$8),OR('לוח בקרה טכנו-מבצעי'!$E$9="הכל",'לוח בקרה טכנו-מבצעי'!$E$9="",ISNUMBER(SEARCH('לוח בקרה טכנו-מבצעי'!$E$9,מלאי!C100))),OR('לוח בקרה טכנו-מבצעי'!$B$10="הכל",מלאי!#REF!='לוח בקרה טכנו-מבצעי'!$B$10)),1,0)</f>
        <v>#REF!</v>
      </c>
      <c r="AF100" t="str">
        <f>IF(AD100=1,COUNTIF($AD$3:$AD100,1),"")</f>
        <v/>
      </c>
      <c r="AG100" t="e">
        <f>IF(AE100=1,COUNTIF($AE$3:$AE100,1),"")</f>
        <v>#REF!</v>
      </c>
    </row>
    <row r="101" spans="1:33" ht="15" customHeight="1" x14ac:dyDescent="0.25">
      <c r="A101" s="19" t="s">
        <v>62</v>
      </c>
      <c r="B101" t="s">
        <v>201</v>
      </c>
      <c r="C101" s="30" t="s">
        <v>64</v>
      </c>
      <c r="D101" t="s">
        <v>354</v>
      </c>
      <c r="E101" s="17" t="str">
        <f>IFERROR(INDEX(הגדרות!$I$2:$I$47,MATCH(B101,הגדרות!$H$2:$H$47,0)),"")</f>
        <v>7052-00</v>
      </c>
      <c r="F101" s="19" t="s">
        <v>79</v>
      </c>
      <c r="G101" s="17"/>
      <c r="H101" s="17" t="s">
        <v>197</v>
      </c>
      <c r="I101" s="17"/>
      <c r="J101" s="19" t="s">
        <v>68</v>
      </c>
      <c r="K101" s="19" t="s">
        <v>68</v>
      </c>
      <c r="L101" s="19" t="s">
        <v>68</v>
      </c>
      <c r="M101" s="19" t="s">
        <v>68</v>
      </c>
      <c r="N101" s="19" t="s">
        <v>68</v>
      </c>
      <c r="O101" s="17"/>
      <c r="P101" s="17"/>
      <c r="Q101" s="17"/>
      <c r="R101" s="17"/>
      <c r="S101" s="17"/>
      <c r="T101" s="19" t="s">
        <v>69</v>
      </c>
      <c r="U101" s="17"/>
      <c r="V101" s="17"/>
      <c r="W101" s="17"/>
      <c r="X101" s="17"/>
      <c r="Y101" s="17"/>
      <c r="Z101" t="str">
        <f>IFERROR(INDEX(הגדרות!$B$2:$B$17,MATCH(H101,הגדרות!$A$2:$A$17,0)),"")</f>
        <v>שלג</v>
      </c>
      <c r="AA101">
        <f>IFERROR(INDEX(הגדרות!$C$2:$C$17,MATCH(H101,הגדרות!$A$2:$A$17,0)),"")</f>
        <v>0</v>
      </c>
      <c r="AB101" t="str">
        <f>IFERROR(INDEX(הגדרות!$B$2:$B$17,MATCH(I101,הגדרות!$A$2:$A$17,0)),"")</f>
        <v/>
      </c>
      <c r="AC101" t="str">
        <f>IFERROR(INDEX(הגדרות!$C$2:$C$17,MATCH(I101,הגדרות!$A$2:$A$17,0)),"")</f>
        <v/>
      </c>
      <c r="AD101">
        <f>IF(AND(מלאי!D101&lt;&gt;"",OR('לוח בקרה'!$B$4="הכל",מלאי!Z101='לוח בקרה'!$B$4,מלאי!AA101='לוח בקרה'!$B$4,מלאי!AB101='לוח בקרה'!$B$4,מלאי!AC101='לוח בקרה'!$B$4),OR('לוח בקרה'!$B$5="הכל",מלאי!A101='לוח בקרה'!$B$5),OR('לוח בקרה'!$B$6="הכל",מלאי!B101='לוח בקרה'!$B$6),OR('לוח בקרה'!$B$7="הכל",מלאי!F101='לוח בקרה'!$B$7,מלאי!G101='לוח בקרה'!$B$7),OR('לוח בקרה'!$B$8="הכל",מלאי!T101='לוח בקרה'!$B$8),OR('לוח בקרה'!$B$9="הכל",מלאי!Q101='לוח בקרה'!$B$9),OR('לוח בקרה'!$E$4="הכל",מלאי!J101='לוח בקרה'!$E$4),OR('לוח בקרה'!$E$5="הכל",מלאי!L101='לוח בקרה'!$E$5),OR('לוח בקרה'!$E$6="הכל",מלאי!O101='לוח בקרה'!$E$6),OR('לוח בקרה'!$E$7="הכל",מלאי!R101='לוח בקרה'!$E$7),OR('לוח בקרה'!$E$8="הכל",'לוח בקרה'!$E$8="",מלאי!W101='לוח בקרה'!$E$8),OR('לוח בקרה'!$E$9="הכל",'לוח בקרה'!$E$9="",ISNUMBER(SEARCH('לוח בקרה'!$E$9,מלאי!C101)))),1,0)</f>
        <v>0</v>
      </c>
      <c r="AE101" t="e">
        <f>IF(AND(מלאי!D101&lt;&gt;"",OR('לוח בקרה טכנו-מבצעי'!$B$4="הכל",מלאי!Z101='לוח בקרה טכנו-מבצעי'!$B$4,מלאי!AA101='לוח בקרה טכנו-מבצעי'!$B$4,מלאי!AB101='לוח בקרה טכנו-מבצעי'!$B$4,מלאי!AC101='לוח בקרה טכנו-מבצעי'!$B$4),OR('לוח בקרה טכנו-מבצעי'!$B$5="הכל",מלאי!A101='לוח בקרה טכנו-מבצעי'!$B$5),OR('לוח בקרה טכנו-מבצעי'!$B$6="הכל",מלאי!B101='לוח בקרה טכנו-מבצעי'!$B$6),OR('לוח בקרה טכנו-מבצעי'!$B$7="הכל",מלאי!F101='לוח בקרה טכנו-מבצעי'!$B$7,מלאי!G101='לוח בקרה טכנו-מבצעי'!$B$7),OR('לוח בקרה טכנו-מבצעי'!$B$8="הכל",מלאי!T101='לוח בקרה טכנו-מבצעי'!$B$8),OR('לוח בקרה טכנו-מבצעי'!$B$9="הכל",מלאי!Q101='לוח בקרה טכנו-מבצעי'!$B$9),OR('לוח בקרה טכנו-מבצעי'!$E$4="הכל",מלאי!J101='לוח בקרה טכנו-מבצעי'!$E$4),OR('לוח בקרה טכנו-מבצעי'!$E$5="הכל",מלאי!L101='לוח בקרה טכנו-מבצעי'!$E$5),OR('לוח בקרה טכנו-מבצעי'!$E$6="הכל",מלאי!O101='לוח בקרה טכנו-מבצעי'!$E$6),OR('לוח בקרה טכנו-מבצעי'!$E$7="הכל",מלאי!R101='לוח בקרה טכנו-מבצעי'!$E$7),OR('לוח בקרה טכנו-מבצעי'!$E$8="הכל",'לוח בקרה טכנו-מבצעי'!$E$8="",מלאי!W101='לוח בקרה טכנו-מבצעי'!$E$8),OR('לוח בקרה טכנו-מבצעי'!$E$9="הכל",'לוח בקרה טכנו-מבצעי'!$E$9="",ISNUMBER(SEARCH('לוח בקרה טכנו-מבצעי'!$E$9,מלאי!C101))),OR('לוח בקרה טכנו-מבצעי'!$B$10="הכל",מלאי!#REF!='לוח בקרה טכנו-מבצעי'!$B$10)),1,0)</f>
        <v>#REF!</v>
      </c>
      <c r="AF101" t="str">
        <f>IF(AD101=1,COUNTIF($AD$3:$AD101,1),"")</f>
        <v/>
      </c>
      <c r="AG101" t="e">
        <f>IF(AE101=1,COUNTIF($AE$3:$AE101,1),"")</f>
        <v>#REF!</v>
      </c>
    </row>
    <row r="102" spans="1:33" ht="15" customHeight="1" x14ac:dyDescent="0.25">
      <c r="A102" s="17" t="s">
        <v>62</v>
      </c>
      <c r="B102" s="19" t="s">
        <v>201</v>
      </c>
      <c r="C102" s="30" t="s">
        <v>64</v>
      </c>
      <c r="D102" t="s">
        <v>357</v>
      </c>
      <c r="E102" s="19" t="str">
        <f>IFERROR(INDEX(הגדרות!$I$2:$I$47,MATCH(B102,הגדרות!$H$2:$H$47,0)),"")</f>
        <v>7052-00</v>
      </c>
      <c r="F102" s="19" t="s">
        <v>79</v>
      </c>
      <c r="G102" s="19"/>
      <c r="H102" s="19" t="s">
        <v>194</v>
      </c>
      <c r="I102" s="19"/>
      <c r="J102" s="19" t="s">
        <v>68</v>
      </c>
      <c r="K102" s="19" t="s">
        <v>68</v>
      </c>
      <c r="L102" s="19" t="s">
        <v>68</v>
      </c>
      <c r="M102" s="19" t="s">
        <v>68</v>
      </c>
      <c r="N102" s="19" t="s">
        <v>14</v>
      </c>
      <c r="O102" s="19"/>
      <c r="P102" s="30" t="s">
        <v>348</v>
      </c>
      <c r="Q102" s="19"/>
      <c r="R102" s="19"/>
      <c r="S102" s="19"/>
      <c r="T102" s="17" t="s">
        <v>69</v>
      </c>
      <c r="U102" s="19"/>
      <c r="V102" s="19"/>
      <c r="W102" s="19"/>
      <c r="X102" s="19"/>
      <c r="Y102" s="19"/>
      <c r="Z102" t="str">
        <f>IFERROR(INDEX(הגדרות!$B$2:$B$17,MATCH(H102,הגדרות!$A$2:$A$17,0)),"")</f>
        <v>שלג</v>
      </c>
      <c r="AA102">
        <f>IFERROR(INDEX(הגדרות!$C$2:$C$17,MATCH(H102,הגדרות!$A$2:$A$17,0)),"")</f>
        <v>0</v>
      </c>
      <c r="AB102" t="str">
        <f>IFERROR(INDEX(הגדרות!$B$2:$B$17,MATCH(I102,הגדרות!$A$2:$A$17,0)),"")</f>
        <v/>
      </c>
      <c r="AC102" t="str">
        <f>IFERROR(INDEX(הגדרות!$C$2:$C$17,MATCH(I102,הגדרות!$A$2:$A$17,0)),"")</f>
        <v/>
      </c>
      <c r="AD102">
        <f>IF(AND(מלאי!D102&lt;&gt;"",OR('לוח בקרה'!$B$4="הכל",מלאי!Z102='לוח בקרה'!$B$4,מלאי!AA102='לוח בקרה'!$B$4,מלאי!AB102='לוח בקרה'!$B$4,מלאי!AC102='לוח בקרה'!$B$4),OR('לוח בקרה'!$B$5="הכל",מלאי!A102='לוח בקרה'!$B$5),OR('לוח בקרה'!$B$6="הכל",מלאי!B102='לוח בקרה'!$B$6),OR('לוח בקרה'!$B$7="הכל",מלאי!F102='לוח בקרה'!$B$7,מלאי!G102='לוח בקרה'!$B$7),OR('לוח בקרה'!$B$8="הכל",מלאי!T102='לוח בקרה'!$B$8),OR('לוח בקרה'!$B$9="הכל",מלאי!Q102='לוח בקרה'!$B$9),OR('לוח בקרה'!$E$4="הכל",מלאי!J102='לוח בקרה'!$E$4),OR('לוח בקרה'!$E$5="הכל",מלאי!L102='לוח בקרה'!$E$5),OR('לוח בקרה'!$E$6="הכל",מלאי!O102='לוח בקרה'!$E$6),OR('לוח בקרה'!$E$7="הכל",מלאי!R102='לוח בקרה'!$E$7),OR('לוח בקרה'!$E$8="הכל",'לוח בקרה'!$E$8="",מלאי!W102='לוח בקרה'!$E$8),OR('לוח בקרה'!$E$9="הכל",'לוח בקרה'!$E$9="",ISNUMBER(SEARCH('לוח בקרה'!$E$9,מלאי!C102)))),1,0)</f>
        <v>0</v>
      </c>
      <c r="AE102" t="e">
        <f>IF(AND(מלאי!D102&lt;&gt;"",OR('לוח בקרה טכנו-מבצעי'!$B$4="הכל",מלאי!Z102='לוח בקרה טכנו-מבצעי'!$B$4,מלאי!AA102='לוח בקרה טכנו-מבצעי'!$B$4,מלאי!AB102='לוח בקרה טכנו-מבצעי'!$B$4,מלאי!AC102='לוח בקרה טכנו-מבצעי'!$B$4),OR('לוח בקרה טכנו-מבצעי'!$B$5="הכל",מלאי!A102='לוח בקרה טכנו-מבצעי'!$B$5),OR('לוח בקרה טכנו-מבצעי'!$B$6="הכל",מלאי!B102='לוח בקרה טכנו-מבצעי'!$B$6),OR('לוח בקרה טכנו-מבצעי'!$B$7="הכל",מלאי!F102='לוח בקרה טכנו-מבצעי'!$B$7,מלאי!G102='לוח בקרה טכנו-מבצעי'!$B$7),OR('לוח בקרה טכנו-מבצעי'!$B$8="הכל",מלאי!T102='לוח בקרה טכנו-מבצעי'!$B$8),OR('לוח בקרה טכנו-מבצעי'!$B$9="הכל",מלאי!Q102='לוח בקרה טכנו-מבצעי'!$B$9),OR('לוח בקרה טכנו-מבצעי'!$E$4="הכל",מלאי!J102='לוח בקרה טכנו-מבצעי'!$E$4),OR('לוח בקרה טכנו-מבצעי'!$E$5="הכל",מלאי!L102='לוח בקרה טכנו-מבצעי'!$E$5),OR('לוח בקרה טכנו-מבצעי'!$E$6="הכל",מלאי!O102='לוח בקרה טכנו-מבצעי'!$E$6),OR('לוח בקרה טכנו-מבצעי'!$E$7="הכל",מלאי!R102='לוח בקרה טכנו-מבצעי'!$E$7),OR('לוח בקרה טכנו-מבצעי'!$E$8="הכל",'לוח בקרה טכנו-מבצעי'!$E$8="",מלאי!W102='לוח בקרה טכנו-מבצעי'!$E$8),OR('לוח בקרה טכנו-מבצעי'!$E$9="הכל",'לוח בקרה טכנו-מבצעי'!$E$9="",ISNUMBER(SEARCH('לוח בקרה טכנו-מבצעי'!$E$9,מלאי!C102))),OR('לוח בקרה טכנו-מבצעי'!$B$10="הכל",מלאי!#REF!='לוח בקרה טכנו-מבצעי'!$B$10)),1,0)</f>
        <v>#REF!</v>
      </c>
      <c r="AF102" t="str">
        <f>IF(AD102=1,COUNTIF($AD$3:$AD102,1),"")</f>
        <v/>
      </c>
      <c r="AG102" t="e">
        <f>IF(AE102=1,COUNTIF($AE$3:$AE102,1),"")</f>
        <v>#REF!</v>
      </c>
    </row>
    <row r="103" spans="1:33" ht="15" customHeight="1" x14ac:dyDescent="0.25">
      <c r="A103" s="17" t="s">
        <v>176</v>
      </c>
      <c r="B103" s="17" t="s">
        <v>234</v>
      </c>
      <c r="C103" s="17" t="s">
        <v>342</v>
      </c>
      <c r="D103" s="17" t="s">
        <v>347</v>
      </c>
      <c r="E103" s="17">
        <f>IFERROR(INDEX(הגדרות!$I$2:$I$47,MATCH(B103,הגדרות!$H$2:$H$47,0)),"")</f>
        <v>0</v>
      </c>
      <c r="F103" s="17" t="s">
        <v>343</v>
      </c>
      <c r="G103" s="17"/>
      <c r="H103" s="17" t="s">
        <v>92</v>
      </c>
      <c r="I103" s="17"/>
      <c r="J103" s="17" t="s">
        <v>68</v>
      </c>
      <c r="K103" s="17"/>
      <c r="L103" s="17"/>
      <c r="M103" s="17"/>
      <c r="N103" s="17"/>
      <c r="O103" s="17"/>
      <c r="P103" s="17" t="s">
        <v>349</v>
      </c>
      <c r="Q103" s="17"/>
      <c r="R103" s="17" t="s">
        <v>179</v>
      </c>
      <c r="S103" s="17"/>
      <c r="T103" s="17" t="s">
        <v>69</v>
      </c>
      <c r="U103" s="17"/>
      <c r="V103" s="17"/>
      <c r="W103" s="17"/>
      <c r="X103" s="17"/>
      <c r="Y103" s="17"/>
      <c r="Z103" t="str">
        <f>IFERROR(INDEX(הגדרות!$B$2:$B$17,MATCH(H103,הגדרות!$A$2:$A$17,0)),"")</f>
        <v>ימי</v>
      </c>
      <c r="AA103">
        <f>IFERROR(INDEX(הגדרות!$C$2:$C$17,MATCH(H103,הגדרות!$A$2:$A$17,0)),"")</f>
        <v>0</v>
      </c>
      <c r="AB103" t="str">
        <f>IFERROR(INDEX(הגדרות!$B$2:$B$17,MATCH(I103,הגדרות!$A$2:$A$17,0)),"")</f>
        <v/>
      </c>
      <c r="AC103" t="str">
        <f>IFERROR(INDEX(הגדרות!$C$2:$C$17,MATCH(I103,הגדרות!$A$2:$A$17,0)),"")</f>
        <v/>
      </c>
      <c r="AD103">
        <f>IF(AND(מלאי!D103&lt;&gt;"",OR('לוח בקרה'!$B$4="הכל",מלאי!Z103='לוח בקרה'!$B$4,מלאי!AA103='לוח בקרה'!$B$4,מלאי!AB103='לוח בקרה'!$B$4,מלאי!AC103='לוח בקרה'!$B$4),OR('לוח בקרה'!$B$5="הכל",מלאי!A103='לוח בקרה'!$B$5),OR('לוח בקרה'!$B$6="הכל",מלאי!B103='לוח בקרה'!$B$6),OR('לוח בקרה'!$B$7="הכל",מלאי!F103='לוח בקרה'!$B$7,מלאי!G103='לוח בקרה'!$B$7),OR('לוח בקרה'!$B$8="הכל",מלאי!T103='לוח בקרה'!$B$8),OR('לוח בקרה'!$B$9="הכל",מלאי!Q103='לוח בקרה'!$B$9),OR('לוח בקרה'!$E$4="הכל",מלאי!J103='לוח בקרה'!$E$4),OR('לוח בקרה'!$E$5="הכל",מלאי!L103='לוח בקרה'!$E$5),OR('לוח בקרה'!$E$6="הכל",מלאי!O103='לוח בקרה'!$E$6),OR('לוח בקרה'!$E$7="הכל",מלאי!R103='לוח בקרה'!$E$7),OR('לוח בקרה'!$E$8="הכל",'לוח בקרה'!$E$8="",מלאי!W103='לוח בקרה'!$E$8),OR('לוח בקרה'!$E$9="הכל",'לוח בקרה'!$E$9="",ISNUMBER(SEARCH('לוח בקרה'!$E$9,מלאי!C103)))),1,0)</f>
        <v>0</v>
      </c>
      <c r="AE103" t="e">
        <f>IF(AND(מלאי!D103&lt;&gt;"",OR('לוח בקרה טכנו-מבצעי'!$B$4="הכל",מלאי!Z103='לוח בקרה טכנו-מבצעי'!$B$4,מלאי!AA103='לוח בקרה טכנו-מבצעי'!$B$4,מלאי!AB103='לוח בקרה טכנו-מבצעי'!$B$4,מלאי!AC103='לוח בקרה טכנו-מבצעי'!$B$4),OR('לוח בקרה טכנו-מבצעי'!$B$5="הכל",מלאי!A103='לוח בקרה טכנו-מבצעי'!$B$5),OR('לוח בקרה טכנו-מבצעי'!$B$6="הכל",מלאי!B103='לוח בקרה טכנו-מבצעי'!$B$6),OR('לוח בקרה טכנו-מבצעי'!$B$7="הכל",מלאי!F103='לוח בקרה טכנו-מבצעי'!$B$7,מלאי!G103='לוח בקרה טכנו-מבצעי'!$B$7),OR('לוח בקרה טכנו-מבצעי'!$B$8="הכל",מלאי!T103='לוח בקרה טכנו-מבצעי'!$B$8),OR('לוח בקרה טכנו-מבצעי'!$B$9="הכל",מלאי!Q103='לוח בקרה טכנו-מבצעי'!$B$9),OR('לוח בקרה טכנו-מבצעי'!$E$4="הכל",מלאי!J103='לוח בקרה טכנו-מבצעי'!$E$4),OR('לוח בקרה טכנו-מבצעי'!$E$5="הכל",מלאי!L103='לוח בקרה טכנו-מבצעי'!$E$5),OR('לוח בקרה טכנו-מבצעי'!$E$6="הכל",מלאי!O103='לוח בקרה טכנו-מבצעי'!$E$6),OR('לוח בקרה טכנו-מבצעי'!$E$7="הכל",מלאי!R103='לוח בקרה טכנו-מבצעי'!$E$7),OR('לוח בקרה טכנו-מבצעי'!$E$8="הכל",'לוח בקרה טכנו-מבצעי'!$E$8="",מלאי!W103='לוח בקרה טכנו-מבצעי'!$E$8),OR('לוח בקרה טכנו-מבצעי'!$E$9="הכל",'לוח בקרה טכנו-מבצעי'!$E$9="",ISNUMBER(SEARCH('לוח בקרה טכנו-מבצעי'!$E$9,מלאי!C103))),OR('לוח בקרה טכנו-מבצעי'!$B$10="הכל",מלאי!#REF!='לוח בקרה טכנו-מבצעי'!$B$10)),1,0)</f>
        <v>#REF!</v>
      </c>
      <c r="AF103" t="str">
        <f>IF(AD103=1,COUNTIF($AD$3:$AD103,1),"")</f>
        <v/>
      </c>
      <c r="AG103" t="e">
        <f>IF(AE103=1,COUNTIF($AE$3:$AE103,1),"")</f>
        <v>#REF!</v>
      </c>
    </row>
    <row r="104" spans="1:33" ht="15" customHeight="1" x14ac:dyDescent="0.25">
      <c r="A104" s="19" t="s">
        <v>62</v>
      </c>
      <c r="B104" t="s">
        <v>226</v>
      </c>
      <c r="C104" s="30" t="s">
        <v>64</v>
      </c>
      <c r="D104" t="s">
        <v>346</v>
      </c>
      <c r="E104" s="19" t="str">
        <f>IFERROR(INDEX(הגדרות!$I$2:$I$47,MATCH(B104,הגדרות!$H$2:$H$47,0)),"")</f>
        <v>5004-00</v>
      </c>
      <c r="F104" s="19" t="s">
        <v>65</v>
      </c>
      <c r="G104" s="19"/>
      <c r="H104" s="19" t="s">
        <v>194</v>
      </c>
      <c r="I104" s="19"/>
      <c r="J104" s="19" t="s">
        <v>68</v>
      </c>
      <c r="K104" s="19" t="s">
        <v>68</v>
      </c>
      <c r="L104" s="19" t="s">
        <v>68</v>
      </c>
      <c r="M104" s="19" t="s">
        <v>68</v>
      </c>
      <c r="N104" s="19" t="s">
        <v>68</v>
      </c>
      <c r="O104" s="19"/>
      <c r="P104" s="19"/>
      <c r="Q104" s="19"/>
      <c r="R104" s="19"/>
      <c r="S104" s="19"/>
      <c r="T104" s="17" t="s">
        <v>69</v>
      </c>
      <c r="U104" s="19"/>
      <c r="V104" s="19"/>
      <c r="W104" s="19"/>
      <c r="X104" s="19"/>
      <c r="Y104" s="19"/>
      <c r="Z104" t="str">
        <f>IFERROR(INDEX(הגדרות!$B$2:$B$17,MATCH(H104,הגדרות!$A$2:$A$17,0)),"")</f>
        <v>שלג</v>
      </c>
      <c r="AA104">
        <f>IFERROR(INDEX(הגדרות!$C$2:$C$17,MATCH(H104,הגדרות!$A$2:$A$17,0)),"")</f>
        <v>0</v>
      </c>
      <c r="AB104" t="str">
        <f>IFERROR(INDEX(הגדרות!$B$2:$B$17,MATCH(I104,הגדרות!$A$2:$A$17,0)),"")</f>
        <v/>
      </c>
      <c r="AC104" t="str">
        <f>IFERROR(INDEX(הגדרות!$C$2:$C$17,MATCH(I104,הגדרות!$A$2:$A$17,0)),"")</f>
        <v/>
      </c>
      <c r="AD104">
        <f>IF(AND(מלאי!D104&lt;&gt;"",OR('לוח בקרה'!$B$4="הכל",מלאי!Z104='לוח בקרה'!$B$4,מלאי!AA104='לוח בקרה'!$B$4,מלאי!AB104='לוח בקרה'!$B$4,מלאי!AC104='לוח בקרה'!$B$4),OR('לוח בקרה'!$B$5="הכל",מלאי!A104='לוח בקרה'!$B$5),OR('לוח בקרה'!$B$6="הכל",מלאי!B104='לוח בקרה'!$B$6),OR('לוח בקרה'!$B$7="הכל",מלאי!F104='לוח בקרה'!$B$7,מלאי!G104='לוח בקרה'!$B$7),OR('לוח בקרה'!$B$8="הכל",מלאי!T104='לוח בקרה'!$B$8),OR('לוח בקרה'!$B$9="הכל",מלאי!Q104='לוח בקרה'!$B$9),OR('לוח בקרה'!$E$4="הכל",מלאי!J104='לוח בקרה'!$E$4),OR('לוח בקרה'!$E$5="הכל",מלאי!L104='לוח בקרה'!$E$5),OR('לוח בקרה'!$E$6="הכל",מלאי!O104='לוח בקרה'!$E$6),OR('לוח בקרה'!$E$7="הכל",מלאי!R104='לוח בקרה'!$E$7),OR('לוח בקרה'!$E$8="הכל",'לוח בקרה'!$E$8="",מלאי!W104='לוח בקרה'!$E$8),OR('לוח בקרה'!$E$9="הכל",'לוח בקרה'!$E$9="",ISNUMBER(SEARCH('לוח בקרה'!$E$9,מלאי!C104)))),1,0)</f>
        <v>0</v>
      </c>
      <c r="AE104" t="e">
        <f>IF(AND(מלאי!D104&lt;&gt;"",OR('לוח בקרה טכנו-מבצעי'!$B$4="הכל",מלאי!Z104='לוח בקרה טכנו-מבצעי'!$B$4,מלאי!AA104='לוח בקרה טכנו-מבצעי'!$B$4,מלאי!AB104='לוח בקרה טכנו-מבצעי'!$B$4,מלאי!AC104='לוח בקרה טכנו-מבצעי'!$B$4),OR('לוח בקרה טכנו-מבצעי'!$B$5="הכל",מלאי!A104='לוח בקרה טכנו-מבצעי'!$B$5),OR('לוח בקרה טכנו-מבצעי'!$B$6="הכל",מלאי!B104='לוח בקרה טכנו-מבצעי'!$B$6),OR('לוח בקרה טכנו-מבצעי'!$B$7="הכל",מלאי!F104='לוח בקרה טכנו-מבצעי'!$B$7,מלאי!G104='לוח בקרה טכנו-מבצעי'!$B$7),OR('לוח בקרה טכנו-מבצעי'!$B$8="הכל",מלאי!T104='לוח בקרה טכנו-מבצעי'!$B$8),OR('לוח בקרה טכנו-מבצעי'!$B$9="הכל",מלאי!Q104='לוח בקרה טכנו-מבצעי'!$B$9),OR('לוח בקרה טכנו-מבצעי'!$E$4="הכל",מלאי!J104='לוח בקרה טכנו-מבצעי'!$E$4),OR('לוח בקרה טכנו-מבצעי'!$E$5="הכל",מלאי!L104='לוח בקרה טכנו-מבצעי'!$E$5),OR('לוח בקרה טכנו-מבצעי'!$E$6="הכל",מלאי!O104='לוח בקרה טכנו-מבצעי'!$E$6),OR('לוח בקרה טכנו-מבצעי'!$E$7="הכל",מלאי!R104='לוח בקרה טכנו-מבצעי'!$E$7),OR('לוח בקרה טכנו-מבצעי'!$E$8="הכל",'לוח בקרה טכנו-מבצעי'!$E$8="",מלאי!W104='לוח בקרה טכנו-מבצעי'!$E$8),OR('לוח בקרה טכנו-מבצעי'!$E$9="הכל",'לוח בקרה טכנו-מבצעי'!$E$9="",ISNUMBER(SEARCH('לוח בקרה טכנו-מבצעי'!$E$9,מלאי!C104))),OR('לוח בקרה טכנו-מבצעי'!$B$10="הכל",מלאי!#REF!='לוח בקרה טכנו-מבצעי'!$B$10)),1,0)</f>
        <v>#REF!</v>
      </c>
      <c r="AF104" t="str">
        <f>IF(AD104=1,COUNTIF($AD$3:$AD104,1),"")</f>
        <v/>
      </c>
      <c r="AG104" t="e">
        <f>IF(AE104=1,COUNTIF($AE$3:$AE104,1),"")</f>
        <v>#REF!</v>
      </c>
    </row>
    <row r="105" spans="1:33" ht="15" customHeight="1" x14ac:dyDescent="0.25">
      <c r="A105" s="17" t="s">
        <v>114</v>
      </c>
      <c r="B105" t="s">
        <v>207</v>
      </c>
      <c r="C105" s="30" t="s">
        <v>64</v>
      </c>
      <c r="D105" s="29" t="s">
        <v>344</v>
      </c>
      <c r="E105" s="17">
        <f>IFERROR(INDEX(הגדרות!$I$2:$I$47,MATCH(B105,הגדרות!$H$2:$H$47,0)),"")</f>
        <v>0</v>
      </c>
      <c r="F105" s="17" t="s">
        <v>79</v>
      </c>
      <c r="G105" s="17"/>
      <c r="H105" s="17" t="s">
        <v>197</v>
      </c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 t="s">
        <v>69</v>
      </c>
      <c r="U105" s="17"/>
      <c r="V105" s="17"/>
      <c r="W105" s="17"/>
      <c r="X105" s="17"/>
      <c r="Y105" s="17"/>
      <c r="Z105" t="str">
        <f>IFERROR(INDEX(הגדרות!$B$2:$B$17,MATCH(H105,הגדרות!$A$2:$A$17,0)),"")</f>
        <v>שלג</v>
      </c>
      <c r="AA105">
        <f>IFERROR(INDEX(הגדרות!$C$2:$C$17,MATCH(H105,הגדרות!$A$2:$A$17,0)),"")</f>
        <v>0</v>
      </c>
      <c r="AB105" t="str">
        <f>IFERROR(INDEX(הגדרות!$B$2:$B$17,MATCH(I105,הגדרות!$A$2:$A$17,0)),"")</f>
        <v/>
      </c>
      <c r="AC105" t="str">
        <f>IFERROR(INDEX(הגדרות!$C$2:$C$17,MATCH(I105,הגדרות!$A$2:$A$17,0)),"")</f>
        <v/>
      </c>
      <c r="AD105">
        <f>IF(AND(מלאי!D105&lt;&gt;"",OR('לוח בקרה'!$B$4="הכל",מלאי!Z105='לוח בקרה'!$B$4,מלאי!AA105='לוח בקרה'!$B$4,מלאי!AB105='לוח בקרה'!$B$4,מלאי!AC105='לוח בקרה'!$B$4),OR('לוח בקרה'!$B$5="הכל",מלאי!A105='לוח בקרה'!$B$5),OR('לוח בקרה'!$B$6="הכל",מלאי!B105='לוח בקרה'!$B$6),OR('לוח בקרה'!$B$7="הכל",מלאי!F105='לוח בקרה'!$B$7,מלאי!G105='לוח בקרה'!$B$7),OR('לוח בקרה'!$B$8="הכל",מלאי!T105='לוח בקרה'!$B$8),OR('לוח בקרה'!$B$9="הכל",מלאי!Q105='לוח בקרה'!$B$9),OR('לוח בקרה'!$E$4="הכל",מלאי!J105='לוח בקרה'!$E$4),OR('לוח בקרה'!$E$5="הכל",מלאי!L105='לוח בקרה'!$E$5),OR('לוח בקרה'!$E$6="הכל",מלאי!O105='לוח בקרה'!$E$6),OR('לוח בקרה'!$E$7="הכל",מלאי!R105='לוח בקרה'!$E$7),OR('לוח בקרה'!$E$8="הכל",'לוח בקרה'!$E$8="",מלאי!W105='לוח בקרה'!$E$8),OR('לוח בקרה'!$E$9="הכל",'לוח בקרה'!$E$9="",ISNUMBER(SEARCH('לוח בקרה'!$E$9,מלאי!C105)))),1,0)</f>
        <v>0</v>
      </c>
      <c r="AE105" t="e">
        <f>IF(AND(מלאי!D105&lt;&gt;"",OR('לוח בקרה טכנו-מבצעי'!$B$4="הכל",מלאי!Z105='לוח בקרה טכנו-מבצעי'!$B$4,מלאי!AA105='לוח בקרה טכנו-מבצעי'!$B$4,מלאי!AB105='לוח בקרה טכנו-מבצעי'!$B$4,מלאי!AC105='לוח בקרה טכנו-מבצעי'!$B$4),OR('לוח בקרה טכנו-מבצעי'!$B$5="הכל",מלאי!A105='לוח בקרה טכנו-מבצעי'!$B$5),OR('לוח בקרה טכנו-מבצעי'!$B$6="הכל",מלאי!B105='לוח בקרה טכנו-מבצעי'!$B$6),OR('לוח בקרה טכנו-מבצעי'!$B$7="הכל",מלאי!F105='לוח בקרה טכנו-מבצעי'!$B$7,מלאי!G105='לוח בקרה טכנו-מבצעי'!$B$7),OR('לוח בקרה טכנו-מבצעי'!$B$8="הכל",מלאי!T105='לוח בקרה טכנו-מבצעי'!$B$8),OR('לוח בקרה טכנו-מבצעי'!$B$9="הכל",מלאי!Q105='לוח בקרה טכנו-מבצעי'!$B$9),OR('לוח בקרה טכנו-מבצעי'!$E$4="הכל",מלאי!J105='לוח בקרה טכנו-מבצעי'!$E$4),OR('לוח בקרה טכנו-מבצעי'!$E$5="הכל",מלאי!L105='לוח בקרה טכנו-מבצעי'!$E$5),OR('לוח בקרה טכנו-מבצעי'!$E$6="הכל",מלאי!O105='לוח בקרה טכנו-מבצעי'!$E$6),OR('לוח בקרה טכנו-מבצעי'!$E$7="הכל",מלאי!R105='לוח בקרה טכנו-מבצעי'!$E$7),OR('לוח בקרה טכנו-מבצעי'!$E$8="הכל",'לוח בקרה טכנו-מבצעי'!$E$8="",מלאי!W105='לוח בקרה טכנו-מבצעי'!$E$8),OR('לוח בקרה טכנו-מבצעי'!$E$9="הכל",'לוח בקרה טכנו-מבצעי'!$E$9="",ISNUMBER(SEARCH('לוח בקרה טכנו-מבצעי'!$E$9,מלאי!C105))),OR('לוח בקרה טכנו-מבצעי'!$B$10="הכל",מלאי!#REF!='לוח בקרה טכנו-מבצעי'!$B$10)),1,0)</f>
        <v>#REF!</v>
      </c>
      <c r="AF105" t="str">
        <f>IF(AD105=1,COUNTIF($AD$3:$AD105,1),"")</f>
        <v/>
      </c>
      <c r="AG105" t="e">
        <f>IF(AE105=1,COUNTIF($AE$3:$AE105,1),"")</f>
        <v>#REF!</v>
      </c>
    </row>
    <row r="106" spans="1:33" ht="15" customHeight="1" x14ac:dyDescent="0.25">
      <c r="A106" s="30" t="s">
        <v>176</v>
      </c>
      <c r="B106" s="30" t="s">
        <v>235</v>
      </c>
      <c r="C106" s="30" t="s">
        <v>355</v>
      </c>
      <c r="D106" s="30" t="s">
        <v>363</v>
      </c>
      <c r="E106" s="30">
        <f>IFERROR(INDEX(הגדרות!$I$2:$I$47,MATCH(B106,הגדרות!$H$2:$H$47,0)),"")</f>
        <v>0</v>
      </c>
      <c r="F106" s="30" t="s">
        <v>343</v>
      </c>
      <c r="G106" s="30"/>
      <c r="H106" s="30" t="s">
        <v>100</v>
      </c>
      <c r="I106" s="30"/>
      <c r="J106" s="30" t="s">
        <v>68</v>
      </c>
      <c r="K106" s="30"/>
      <c r="L106" s="30"/>
      <c r="M106" s="30"/>
      <c r="N106" s="30"/>
      <c r="O106" s="30"/>
      <c r="P106" s="30" t="s">
        <v>349</v>
      </c>
      <c r="Q106" s="30"/>
      <c r="R106" s="30" t="s">
        <v>179</v>
      </c>
      <c r="S106" s="30"/>
      <c r="T106" s="30" t="s">
        <v>69</v>
      </c>
      <c r="U106" s="30"/>
      <c r="V106" s="30"/>
      <c r="W106" s="30"/>
      <c r="X106" s="30"/>
      <c r="Y106" s="30"/>
      <c r="Z106" t="str">
        <f>IFERROR(INDEX(הגדרות!$B$2:$B$17,MATCH(H106,הגדרות!$A$2:$A$17,0)),"")</f>
        <v>מיוער</v>
      </c>
      <c r="AA106">
        <f>IFERROR(INDEX(הגדרות!$C$2:$C$17,MATCH(H106,הגדרות!$A$2:$A$17,0)),"")</f>
        <v>0</v>
      </c>
      <c r="AB106" t="str">
        <f>IFERROR(INDEX(הגדרות!$B$2:$B$17,MATCH(I106,הגדרות!$A$2:$A$17,0)),"")</f>
        <v/>
      </c>
      <c r="AC106" t="str">
        <f>IFERROR(INDEX(הגדרות!$C$2:$C$17,MATCH(I106,הגדרות!$A$2:$A$17,0)),"")</f>
        <v/>
      </c>
      <c r="AD106">
        <f>IF(AND(מלאי!D106&lt;&gt;"",OR('לוח בקרה'!$B$4="הכל",מלאי!Z106='לוח בקרה'!$B$4,מלאי!AA106='לוח בקרה'!$B$4,מלאי!AB106='לוח בקרה'!$B$4,מלאי!AC106='לוח בקרה'!$B$4),OR('לוח בקרה'!$B$5="הכל",מלאי!A106='לוח בקרה'!$B$5),OR('לוח בקרה'!$B$6="הכל",מלאי!B106='לוח בקרה'!$B$6),OR('לוח בקרה'!$B$7="הכל",מלאי!F106='לוח בקרה'!$B$7,מלאי!G106='לוח בקרה'!$B$7),OR('לוח בקרה'!$B$8="הכל",מלאי!T106='לוח בקרה'!$B$8),OR('לוח בקרה'!$B$9="הכל",מלאי!Q106='לוח בקרה'!$B$9),OR('לוח בקרה'!$E$4="הכל",מלאי!J106='לוח בקרה'!$E$4),OR('לוח בקרה'!$E$5="הכל",מלאי!L106='לוח בקרה'!$E$5),OR('לוח בקרה'!$E$6="הכל",מלאי!O106='לוח בקרה'!$E$6),OR('לוח בקרה'!$E$7="הכל",מלאי!R106='לוח בקרה'!$E$7),OR('לוח בקרה'!$E$8="הכל",'לוח בקרה'!$E$8="",מלאי!W106='לוח בקרה'!$E$8),OR('לוח בקרה'!$E$9="הכל",'לוח בקרה'!$E$9="",ISNUMBER(SEARCH('לוח בקרה'!$E$9,מלאי!C106)))),1,0)</f>
        <v>0</v>
      </c>
      <c r="AE106" t="e">
        <f>IF(AND(מלאי!D106&lt;&gt;"",OR('לוח בקרה טכנו-מבצעי'!$B$4="הכל",מלאי!Z106='לוח בקרה טכנו-מבצעי'!$B$4,מלאי!AA106='לוח בקרה טכנו-מבצעי'!$B$4,מלאי!AB106='לוח בקרה טכנו-מבצעי'!$B$4,מלאי!AC106='לוח בקרה טכנו-מבצעי'!$B$4),OR('לוח בקרה טכנו-מבצעי'!$B$5="הכל",מלאי!A106='לוח בקרה טכנו-מבצעי'!$B$5),OR('לוח בקרה טכנו-מבצעי'!$B$6="הכל",מלאי!B106='לוח בקרה טכנו-מבצעי'!$B$6),OR('לוח בקרה טכנו-מבצעי'!$B$7="הכל",מלאי!F106='לוח בקרה טכנו-מבצעי'!$B$7,מלאי!G106='לוח בקרה טכנו-מבצעי'!$B$7),OR('לוח בקרה טכנו-מבצעי'!$B$8="הכל",מלאי!T106='לוח בקרה טכנו-מבצעי'!$B$8),OR('לוח בקרה טכנו-מבצעי'!$B$9="הכל",מלאי!Q106='לוח בקרה טכנו-מבצעי'!$B$9),OR('לוח בקרה טכנו-מבצעי'!$E$4="הכל",מלאי!J106='לוח בקרה טכנו-מבצעי'!$E$4),OR('לוח בקרה טכנו-מבצעי'!$E$5="הכל",מלאי!L106='לוח בקרה טכנו-מבצעי'!$E$5),OR('לוח בקרה טכנו-מבצעי'!$E$6="הכל",מלאי!O106='לוח בקרה טכנו-מבצעי'!$E$6),OR('לוח בקרה טכנו-מבצעי'!$E$7="הכל",מלאי!R106='לוח בקרה טכנו-מבצעי'!$E$7),OR('לוח בקרה טכנו-מבצעי'!$E$8="הכל",'לוח בקרה טכנו-מבצעי'!$E$8="",מלאי!W106='לוח בקרה טכנו-מבצעי'!$E$8),OR('לוח בקרה טכנו-מבצעי'!$E$9="הכל",'לוח בקרה טכנו-מבצעי'!$E$9="",ISNUMBER(SEARCH('לוח בקרה טכנו-מבצעי'!$E$9,מלאי!C106))),OR('לוח בקרה טכנו-מבצעי'!$B$10="הכל",מלאי!#REF!='לוח בקרה טכנו-מבצעי'!$B$10)),1,0)</f>
        <v>#REF!</v>
      </c>
      <c r="AF106" t="str">
        <f>IF(AD106=1,COUNTIF($AD$3:$AD106,1),"")</f>
        <v/>
      </c>
      <c r="AG106" t="e">
        <f>IF(AE106=1,COUNTIF($AE$3:$AE106,1),"")</f>
        <v>#REF!</v>
      </c>
    </row>
    <row r="107" spans="1:33" ht="15" customHeight="1" x14ac:dyDescent="0.25">
      <c r="A107" s="17" t="s">
        <v>62</v>
      </c>
      <c r="B107" s="17" t="s">
        <v>226</v>
      </c>
      <c r="C107" s="30" t="s">
        <v>64</v>
      </c>
      <c r="D107" s="29" t="s">
        <v>358</v>
      </c>
      <c r="E107" s="17" t="str">
        <f>IFERROR(INDEX(הגדרות!$I$2:$I$47,MATCH(B107,הגדרות!$H$2:$H$47,0)),"")</f>
        <v>5004-00</v>
      </c>
      <c r="F107" s="17" t="s">
        <v>79</v>
      </c>
      <c r="G107" s="17"/>
      <c r="H107" s="17" t="s">
        <v>197</v>
      </c>
      <c r="I107" s="17"/>
      <c r="J107" s="19" t="s">
        <v>68</v>
      </c>
      <c r="K107" s="19" t="s">
        <v>68</v>
      </c>
      <c r="L107" s="19" t="s">
        <v>68</v>
      </c>
      <c r="M107" s="19" t="s">
        <v>68</v>
      </c>
      <c r="N107" s="19" t="s">
        <v>68</v>
      </c>
      <c r="O107" s="17"/>
      <c r="P107" s="17" t="s">
        <v>356</v>
      </c>
      <c r="Q107" s="17"/>
      <c r="R107" s="17" t="s">
        <v>183</v>
      </c>
      <c r="S107" s="17"/>
      <c r="T107" s="17" t="s">
        <v>69</v>
      </c>
      <c r="U107" s="17"/>
      <c r="V107" s="17"/>
      <c r="W107" s="17"/>
      <c r="X107" s="17"/>
      <c r="Y107" s="17"/>
      <c r="Z107" t="str">
        <f>IFERROR(INDEX(הגדרות!$B$2:$B$17,MATCH(H107,הגדרות!$A$2:$A$17,0)),"")</f>
        <v>שלג</v>
      </c>
      <c r="AA107">
        <f>IFERROR(INDEX(הגדרות!$C$2:$C$17,MATCH(H107,הגדרות!$A$2:$A$17,0)),"")</f>
        <v>0</v>
      </c>
      <c r="AB107" t="str">
        <f>IFERROR(INDEX(הגדרות!$B$2:$B$17,MATCH(I107,הגדרות!$A$2:$A$17,0)),"")</f>
        <v/>
      </c>
      <c r="AC107" t="str">
        <f>IFERROR(INDEX(הגדרות!$C$2:$C$17,MATCH(I107,הגדרות!$A$2:$A$17,0)),"")</f>
        <v/>
      </c>
      <c r="AD107">
        <f>IF(AND(מלאי!D107&lt;&gt;"",OR('לוח בקרה'!$B$4="הכל",מלאי!Z107='לוח בקרה'!$B$4,מלאי!AA107='לוח בקרה'!$B$4,מלאי!AB107='לוח בקרה'!$B$4,מלאי!AC107='לוח בקרה'!$B$4),OR('לוח בקרה'!$B$5="הכל",מלאי!A107='לוח בקרה'!$B$5),OR('לוח בקרה'!$B$6="הכל",מלאי!B107='לוח בקרה'!$B$6),OR('לוח בקרה'!$B$7="הכל",מלאי!F107='לוח בקרה'!$B$7,מלאי!G107='לוח בקרה'!$B$7),OR('לוח בקרה'!$B$8="הכל",מלאי!T107='לוח בקרה'!$B$8),OR('לוח בקרה'!$B$9="הכל",מלאי!Q107='לוח בקרה'!$B$9),OR('לוח בקרה'!$E$4="הכל",מלאי!J107='לוח בקרה'!$E$4),OR('לוח בקרה'!$E$5="הכל",מלאי!L107='לוח בקרה'!$E$5),OR('לוח בקרה'!$E$6="הכל",מלאי!O107='לוח בקרה'!$E$6),OR('לוח בקרה'!$E$7="הכל",מלאי!R107='לוח בקרה'!$E$7),OR('לוח בקרה'!$E$8="הכל",'לוח בקרה'!$E$8="",מלאי!W107='לוח בקרה'!$E$8),OR('לוח בקרה'!$E$9="הכל",'לוח בקרה'!$E$9="",ISNUMBER(SEARCH('לוח בקרה'!$E$9,מלאי!C107)))),1,0)</f>
        <v>0</v>
      </c>
      <c r="AE107" t="e">
        <f>IF(AND(מלאי!D107&lt;&gt;"",OR('לוח בקרה טכנו-מבצעי'!$B$4="הכל",מלאי!Z107='לוח בקרה טכנו-מבצעי'!$B$4,מלאי!AA107='לוח בקרה טכנו-מבצעי'!$B$4,מלאי!AB107='לוח בקרה טכנו-מבצעי'!$B$4,מלאי!AC107='לוח בקרה טכנו-מבצעי'!$B$4),OR('לוח בקרה טכנו-מבצעי'!$B$5="הכל",מלאי!A107='לוח בקרה טכנו-מבצעי'!$B$5),OR('לוח בקרה טכנו-מבצעי'!$B$6="הכל",מלאי!B107='לוח בקרה טכנו-מבצעי'!$B$6),OR('לוח בקרה טכנו-מבצעי'!$B$7="הכל",מלאי!F107='לוח בקרה טכנו-מבצעי'!$B$7,מלאי!G107='לוח בקרה טכנו-מבצעי'!$B$7),OR('לוח בקרה טכנו-מבצעי'!$B$8="הכל",מלאי!T107='לוח בקרה טכנו-מבצעי'!$B$8),OR('לוח בקרה טכנו-מבצעי'!$B$9="הכל",מלאי!Q107='לוח בקרה טכנו-מבצעי'!$B$9),OR('לוח בקרה טכנו-מבצעי'!$E$4="הכל",מלאי!J107='לוח בקרה טכנו-מבצעי'!$E$4),OR('לוח בקרה טכנו-מבצעי'!$E$5="הכל",מלאי!L107='לוח בקרה טכנו-מבצעי'!$E$5),OR('לוח בקרה טכנו-מבצעי'!$E$6="הכל",מלאי!O107='לוח בקרה טכנו-מבצעי'!$E$6),OR('לוח בקרה טכנו-מבצעי'!$E$7="הכל",מלאי!R107='לוח בקרה טכנו-מבצעי'!$E$7),OR('לוח בקרה טכנו-מבצעי'!$E$8="הכל",'לוח בקרה טכנו-מבצעי'!$E$8="",מלאי!W107='לוח בקרה טכנו-מבצעי'!$E$8),OR('לוח בקרה טכנו-מבצעי'!$E$9="הכל",'לוח בקרה טכנו-מבצעי'!$E$9="",ISNUMBER(SEARCH('לוח בקרה טכנו-מבצעי'!$E$9,מלאי!C107))),OR('לוח בקרה טכנו-מבצעי'!$B$10="הכל",מלאי!#REF!='לוח בקרה טכנו-מבצעי'!$B$10)),1,0)</f>
        <v>#REF!</v>
      </c>
      <c r="AF107" t="str">
        <f>IF(AD107=1,COUNTIF($AD$3:$AD107,1),"")</f>
        <v/>
      </c>
      <c r="AG107" t="e">
        <f>IF(AE107=1,COUNTIF($AE$3:$AE107,1),"")</f>
        <v>#REF!</v>
      </c>
    </row>
    <row r="108" spans="1:33" ht="15" customHeight="1" x14ac:dyDescent="0.25">
      <c r="A108" s="19" t="s">
        <v>62</v>
      </c>
      <c r="B108" s="19" t="s">
        <v>204</v>
      </c>
      <c r="C108" s="30" t="s">
        <v>64</v>
      </c>
      <c r="D108" t="s">
        <v>449</v>
      </c>
      <c r="E108" s="19">
        <f>IFERROR(INDEX(הגדרות!$I$2:$I$47,MATCH(B108,הגדרות!$H$2:$H$47,0)),"")</f>
        <v>0</v>
      </c>
      <c r="F108" s="17" t="s">
        <v>79</v>
      </c>
      <c r="G108" s="19"/>
      <c r="H108" s="19" t="s">
        <v>197</v>
      </c>
      <c r="I108" s="19"/>
      <c r="J108" s="19" t="s">
        <v>68</v>
      </c>
      <c r="K108" s="19" t="s">
        <v>68</v>
      </c>
      <c r="L108" s="19" t="s">
        <v>68</v>
      </c>
      <c r="M108" s="19" t="s">
        <v>68</v>
      </c>
      <c r="N108" s="19" t="s">
        <v>14</v>
      </c>
      <c r="O108" s="19"/>
      <c r="P108" s="30" t="s">
        <v>348</v>
      </c>
      <c r="Q108" s="19"/>
      <c r="R108" s="19"/>
      <c r="S108" s="19"/>
      <c r="T108" s="17" t="s">
        <v>69</v>
      </c>
      <c r="U108" s="19"/>
      <c r="V108" s="19"/>
      <c r="W108" s="19"/>
      <c r="X108" s="19"/>
      <c r="Y108" s="19"/>
      <c r="Z108" t="str">
        <f>IFERROR(INDEX(הגדרות!$B$2:$B$17,MATCH(H108,הגדרות!$A$2:$A$17,0)),"")</f>
        <v>שלג</v>
      </c>
      <c r="AA108">
        <f>IFERROR(INDEX(הגדרות!$C$2:$C$17,MATCH(H108,הגדרות!$A$2:$A$17,0)),"")</f>
        <v>0</v>
      </c>
      <c r="AB108" t="str">
        <f>IFERROR(INDEX(הגדרות!$B$2:$B$17,MATCH(I108,הגדרות!$A$2:$A$17,0)),"")</f>
        <v/>
      </c>
      <c r="AC108" t="str">
        <f>IFERROR(INDEX(הגדרות!$C$2:$C$17,MATCH(I108,הגדרות!$A$2:$A$17,0)),"")</f>
        <v/>
      </c>
      <c r="AD108">
        <f>IF(AND(מלאי!D108&lt;&gt;"",OR('לוח בקרה'!$B$4="הכל",מלאי!Z108='לוח בקרה'!$B$4,מלאי!AA108='לוח בקרה'!$B$4,מלאי!AB108='לוח בקרה'!$B$4,מלאי!AC108='לוח בקרה'!$B$4),OR('לוח בקרה'!$B$5="הכל",מלאי!A108='לוח בקרה'!$B$5),OR('לוח בקרה'!$B$6="הכל",מלאי!B108='לוח בקרה'!$B$6),OR('לוח בקרה'!$B$7="הכל",מלאי!F108='לוח בקרה'!$B$7,מלאי!G108='לוח בקרה'!$B$7),OR('לוח בקרה'!$B$8="הכל",מלאי!T108='לוח בקרה'!$B$8),OR('לוח בקרה'!$B$9="הכל",מלאי!Q108='לוח בקרה'!$B$9),OR('לוח בקרה'!$E$4="הכל",מלאי!J108='לוח בקרה'!$E$4),OR('לוח בקרה'!$E$5="הכל",מלאי!L108='לוח בקרה'!$E$5),OR('לוח בקרה'!$E$6="הכל",מלאי!O108='לוח בקרה'!$E$6),OR('לוח בקרה'!$E$7="הכל",מלאי!R108='לוח בקרה'!$E$7),OR('לוח בקרה'!$E$8="הכל",'לוח בקרה'!$E$8="",מלאי!W108='לוח בקרה'!$E$8),OR('לוח בקרה'!$E$9="הכל",'לוח בקרה'!$E$9="",ISNUMBER(SEARCH('לוח בקרה'!$E$9,מלאי!C108)))),1,0)</f>
        <v>0</v>
      </c>
      <c r="AE108" t="e">
        <f>IF(AND(מלאי!D108&lt;&gt;"",OR('לוח בקרה טכנו-מבצעי'!$B$4="הכל",מלאי!Z108='לוח בקרה טכנו-מבצעי'!$B$4,מלאי!AA108='לוח בקרה טכנו-מבצעי'!$B$4,מלאי!AB108='לוח בקרה טכנו-מבצעי'!$B$4,מלאי!AC108='לוח בקרה טכנו-מבצעי'!$B$4),OR('לוח בקרה טכנו-מבצעי'!$B$5="הכל",מלאי!A108='לוח בקרה טכנו-מבצעי'!$B$5),OR('לוח בקרה טכנו-מבצעי'!$B$6="הכל",מלאי!B108='לוח בקרה טכנו-מבצעי'!$B$6),OR('לוח בקרה טכנו-מבצעי'!$B$7="הכל",מלאי!F108='לוח בקרה טכנו-מבצעי'!$B$7,מלאי!G108='לוח בקרה טכנו-מבצעי'!$B$7),OR('לוח בקרה טכנו-מבצעי'!$B$8="הכל",מלאי!T108='לוח בקרה טכנו-מבצעי'!$B$8),OR('לוח בקרה טכנו-מבצעי'!$B$9="הכל",מלאי!Q108='לוח בקרה טכנו-מבצעי'!$B$9),OR('לוח בקרה טכנו-מבצעי'!$E$4="הכל",מלאי!J108='לוח בקרה טכנו-מבצעי'!$E$4),OR('לוח בקרה טכנו-מבצעי'!$E$5="הכל",מלאי!L108='לוח בקרה טכנו-מבצעי'!$E$5),OR('לוח בקרה טכנו-מבצעי'!$E$6="הכל",מלאי!O108='לוח בקרה טכנו-מבצעי'!$E$6),OR('לוח בקרה טכנו-מבצעי'!$E$7="הכל",מלאי!R108='לוח בקרה טכנו-מבצעי'!$E$7),OR('לוח בקרה טכנו-מבצעי'!$E$8="הכל",'לוח בקרה טכנו-מבצעי'!$E$8="",מלאי!W108='לוח בקרה טכנו-מבצעי'!$E$8),OR('לוח בקרה טכנו-מבצעי'!$E$9="הכל",'לוח בקרה טכנו-מבצעי'!$E$9="",ISNUMBER(SEARCH('לוח בקרה טכנו-מבצעי'!$E$9,מלאי!C108))),OR('לוח בקרה טכנו-מבצעי'!$B$10="הכל",מלאי!#REF!='לוח בקרה טכנו-מבצעי'!$B$10)),1,0)</f>
        <v>#REF!</v>
      </c>
      <c r="AF108" t="str">
        <f>IF(AD108=1,COUNTIF($AD$3:$AD108,1),"")</f>
        <v/>
      </c>
      <c r="AG108" t="e">
        <f>IF(AE108=1,COUNTIF($AE$3:$AE108,1),"")</f>
        <v>#REF!</v>
      </c>
    </row>
    <row r="109" spans="1:33" ht="15" customHeight="1" x14ac:dyDescent="0.25">
      <c r="A109" s="17" t="s">
        <v>176</v>
      </c>
      <c r="B109" s="17" t="s">
        <v>228</v>
      </c>
      <c r="C109" s="17" t="s">
        <v>359</v>
      </c>
      <c r="D109" s="17" t="s">
        <v>362</v>
      </c>
      <c r="E109" s="17" t="str">
        <f>IFERROR(INDEX(הגדרות!$I$2:$I$47,MATCH(B109,הגדרות!$H$2:$H$47,0)),"")</f>
        <v>8030-00</v>
      </c>
      <c r="F109" s="17" t="s">
        <v>343</v>
      </c>
      <c r="G109" s="17"/>
      <c r="H109" s="17" t="s">
        <v>100</v>
      </c>
      <c r="I109" s="17"/>
      <c r="J109" s="17" t="s">
        <v>68</v>
      </c>
      <c r="K109" s="17"/>
      <c r="L109" s="17"/>
      <c r="M109" s="17"/>
      <c r="N109" s="17"/>
      <c r="O109" s="17"/>
      <c r="P109" s="17" t="s">
        <v>365</v>
      </c>
      <c r="Q109" s="17"/>
      <c r="R109" s="17"/>
      <c r="S109" s="17"/>
      <c r="T109" s="17" t="s">
        <v>69</v>
      </c>
      <c r="U109" s="17"/>
      <c r="V109" s="17"/>
      <c r="W109" s="17"/>
      <c r="X109" s="17"/>
      <c r="Y109" s="17"/>
      <c r="Z109" t="str">
        <f>IFERROR(INDEX(הגדרות!$B$2:$B$17,MATCH(H109,הגדרות!$A$2:$A$17,0)),"")</f>
        <v>מיוער</v>
      </c>
      <c r="AA109">
        <f>IFERROR(INDEX(הגדרות!$C$2:$C$17,MATCH(H109,הגדרות!$A$2:$A$17,0)),"")</f>
        <v>0</v>
      </c>
      <c r="AB109" t="str">
        <f>IFERROR(INDEX(הגדרות!$B$2:$B$17,MATCH(I109,הגדרות!$A$2:$A$17,0)),"")</f>
        <v/>
      </c>
      <c r="AC109" t="str">
        <f>IFERROR(INDEX(הגדרות!$C$2:$C$17,MATCH(I109,הגדרות!$A$2:$A$17,0)),"")</f>
        <v/>
      </c>
      <c r="AD109">
        <f>IF(AND(מלאי!D109&lt;&gt;"",OR('לוח בקרה'!$B$4="הכל",מלאי!Z109='לוח בקרה'!$B$4,מלאי!AA109='לוח בקרה'!$B$4,מלאי!AB109='לוח בקרה'!$B$4,מלאי!AC109='לוח בקרה'!$B$4),OR('לוח בקרה'!$B$5="הכל",מלאי!A109='לוח בקרה'!$B$5),OR('לוח בקרה'!$B$6="הכל",מלאי!B109='לוח בקרה'!$B$6),OR('לוח בקרה'!$B$7="הכל",מלאי!F109='לוח בקרה'!$B$7,מלאי!G109='לוח בקרה'!$B$7),OR('לוח בקרה'!$B$8="הכל",מלאי!T109='לוח בקרה'!$B$8),OR('לוח בקרה'!$B$9="הכל",מלאי!Q109='לוח בקרה'!$B$9),OR('לוח בקרה'!$E$4="הכל",מלאי!J109='לוח בקרה'!$E$4),OR('לוח בקרה'!$E$5="הכל",מלאי!L109='לוח בקרה'!$E$5),OR('לוח בקרה'!$E$6="הכל",מלאי!O109='לוח בקרה'!$E$6),OR('לוח בקרה'!$E$7="הכל",מלאי!R109='לוח בקרה'!$E$7),OR('לוח בקרה'!$E$8="הכל",'לוח בקרה'!$E$8="",מלאי!W109='לוח בקרה'!$E$8),OR('לוח בקרה'!$E$9="הכל",'לוח בקרה'!$E$9="",ISNUMBER(SEARCH('לוח בקרה'!$E$9,מלאי!C109)))),1,0)</f>
        <v>0</v>
      </c>
      <c r="AE109" t="e">
        <f>IF(AND(מלאי!D109&lt;&gt;"",OR('לוח בקרה טכנו-מבצעי'!$B$4="הכל",מלאי!Z109='לוח בקרה טכנו-מבצעי'!$B$4,מלאי!AA109='לוח בקרה טכנו-מבצעי'!$B$4,מלאי!AB109='לוח בקרה טכנו-מבצעי'!$B$4,מלאי!AC109='לוח בקרה טכנו-מבצעי'!$B$4),OR('לוח בקרה טכנו-מבצעי'!$B$5="הכל",מלאי!A109='לוח בקרה טכנו-מבצעי'!$B$5),OR('לוח בקרה טכנו-מבצעי'!$B$6="הכל",מלאי!B109='לוח בקרה טכנו-מבצעי'!$B$6),OR('לוח בקרה טכנו-מבצעי'!$B$7="הכל",מלאי!F109='לוח בקרה טכנו-מבצעי'!$B$7,מלאי!G109='לוח בקרה טכנו-מבצעי'!$B$7),OR('לוח בקרה טכנו-מבצעי'!$B$8="הכל",מלאי!T109='לוח בקרה טכנו-מבצעי'!$B$8),OR('לוח בקרה טכנו-מבצעי'!$B$9="הכל",מלאי!Q109='לוח בקרה טכנו-מבצעי'!$B$9),OR('לוח בקרה טכנו-מבצעי'!$E$4="הכל",מלאי!J109='לוח בקרה טכנו-מבצעי'!$E$4),OR('לוח בקרה טכנו-מבצעי'!$E$5="הכל",מלאי!L109='לוח בקרה טכנו-מבצעי'!$E$5),OR('לוח בקרה טכנו-מבצעי'!$E$6="הכל",מלאי!O109='לוח בקרה טכנו-מבצעי'!$E$6),OR('לוח בקרה טכנו-מבצעי'!$E$7="הכל",מלאי!R109='לוח בקרה טכנו-מבצעי'!$E$7),OR('לוח בקרה טכנו-מבצעי'!$E$8="הכל",'לוח בקרה טכנו-מבצעי'!$E$8="",מלאי!W109='לוח בקרה טכנו-מבצעי'!$E$8),OR('לוח בקרה טכנו-מבצעי'!$E$9="הכל",'לוח בקרה טכנו-מבצעי'!$E$9="",ISNUMBER(SEARCH('לוח בקרה טכנו-מבצעי'!$E$9,מלאי!C109))),OR('לוח בקרה טכנו-מבצעי'!$B$10="הכל",מלאי!#REF!='לוח בקרה טכנו-מבצעי'!$B$10)),1,0)</f>
        <v>#REF!</v>
      </c>
      <c r="AF109" t="str">
        <f>IF(AD109=1,COUNTIF($AD$3:$AD109,1),"")</f>
        <v/>
      </c>
      <c r="AG109" t="e">
        <f>IF(AE109=1,COUNTIF($AE$3:$AE109,1),"")</f>
        <v>#REF!</v>
      </c>
    </row>
    <row r="110" spans="1:33" ht="15" customHeight="1" x14ac:dyDescent="0.25">
      <c r="A110" s="17" t="s">
        <v>62</v>
      </c>
      <c r="B110" s="19" t="s">
        <v>201</v>
      </c>
      <c r="C110" s="30" t="s">
        <v>64</v>
      </c>
      <c r="D110" t="s">
        <v>360</v>
      </c>
      <c r="E110" s="19" t="str">
        <f>IFERROR(INDEX(הגדרות!$I$2:$I$47,MATCH(B110,הגדרות!$H$2:$H$47,0)),"")</f>
        <v>7052-00</v>
      </c>
      <c r="F110" s="19" t="s">
        <v>79</v>
      </c>
      <c r="G110" s="19"/>
      <c r="H110" s="29" t="s">
        <v>197</v>
      </c>
      <c r="I110" s="19"/>
      <c r="J110" s="19" t="s">
        <v>68</v>
      </c>
      <c r="K110" s="19" t="s">
        <v>68</v>
      </c>
      <c r="L110" s="19" t="s">
        <v>68</v>
      </c>
      <c r="M110" s="19" t="s">
        <v>68</v>
      </c>
      <c r="N110" s="19" t="s">
        <v>14</v>
      </c>
      <c r="O110" s="19"/>
      <c r="P110" s="30" t="s">
        <v>348</v>
      </c>
      <c r="Q110" s="19"/>
      <c r="R110" s="19"/>
      <c r="S110" s="19"/>
      <c r="T110" s="17" t="s">
        <v>69</v>
      </c>
      <c r="U110" s="19"/>
      <c r="V110" s="19"/>
      <c r="W110" s="19"/>
      <c r="X110" s="19"/>
      <c r="Y110" s="19"/>
      <c r="Z110" t="str">
        <f>IFERROR(INDEX(הגדרות!$B$2:$B$17,MATCH(H110,הגדרות!$A$2:$A$17,0)),"")</f>
        <v>שלג</v>
      </c>
      <c r="AA110">
        <f>IFERROR(INDEX(הגדרות!$C$2:$C$17,MATCH(H110,הגדרות!$A$2:$A$17,0)),"")</f>
        <v>0</v>
      </c>
      <c r="AB110" t="str">
        <f>IFERROR(INDEX(הגדרות!$B$2:$B$17,MATCH(I110,הגדרות!$A$2:$A$17,0)),"")</f>
        <v/>
      </c>
      <c r="AC110" t="str">
        <f>IFERROR(INDEX(הגדרות!$C$2:$C$17,MATCH(I110,הגדרות!$A$2:$A$17,0)),"")</f>
        <v/>
      </c>
      <c r="AD110">
        <f>IF(AND(מלאי!D110&lt;&gt;"",OR('לוח בקרה'!$B$4="הכל",מלאי!Z110='לוח בקרה'!$B$4,מלאי!AA110='לוח בקרה'!$B$4,מלאי!AB110='לוח בקרה'!$B$4,מלאי!AC110='לוח בקרה'!$B$4),OR('לוח בקרה'!$B$5="הכל",מלאי!A110='לוח בקרה'!$B$5),OR('לוח בקרה'!$B$6="הכל",מלאי!B110='לוח בקרה'!$B$6),OR('לוח בקרה'!$B$7="הכל",מלאי!F110='לוח בקרה'!$B$7,מלאי!G110='לוח בקרה'!$B$7),OR('לוח בקרה'!$B$8="הכל",מלאי!T110='לוח בקרה'!$B$8),OR('לוח בקרה'!$B$9="הכל",מלאי!Q110='לוח בקרה'!$B$9),OR('לוח בקרה'!$E$4="הכל",מלאי!J110='לוח בקרה'!$E$4),OR('לוח בקרה'!$E$5="הכל",מלאי!L110='לוח בקרה'!$E$5),OR('לוח בקרה'!$E$6="הכל",מלאי!O110='לוח בקרה'!$E$6),OR('לוח בקרה'!$E$7="הכל",מלאי!R110='לוח בקרה'!$E$7),OR('לוח בקרה'!$E$8="הכל",'לוח בקרה'!$E$8="",מלאי!W110='לוח בקרה'!$E$8),OR('לוח בקרה'!$E$9="הכל",'לוח בקרה'!$E$9="",ISNUMBER(SEARCH('לוח בקרה'!$E$9,מלאי!C110)))),1,0)</f>
        <v>0</v>
      </c>
      <c r="AE110" t="e">
        <f>IF(AND(מלאי!D110&lt;&gt;"",OR('לוח בקרה טכנו-מבצעי'!$B$4="הכל",מלאי!Z110='לוח בקרה טכנו-מבצעי'!$B$4,מלאי!AA110='לוח בקרה טכנו-מבצעי'!$B$4,מלאי!AB110='לוח בקרה טכנו-מבצעי'!$B$4,מלאי!AC110='לוח בקרה טכנו-מבצעי'!$B$4),OR('לוח בקרה טכנו-מבצעי'!$B$5="הכל",מלאי!A110='לוח בקרה טכנו-מבצעי'!$B$5),OR('לוח בקרה טכנו-מבצעי'!$B$6="הכל",מלאי!B110='לוח בקרה טכנו-מבצעי'!$B$6),OR('לוח בקרה טכנו-מבצעי'!$B$7="הכל",מלאי!F110='לוח בקרה טכנו-מבצעי'!$B$7,מלאי!G110='לוח בקרה טכנו-מבצעי'!$B$7),OR('לוח בקרה טכנו-מבצעי'!$B$8="הכל",מלאי!T110='לוח בקרה טכנו-מבצעי'!$B$8),OR('לוח בקרה טכנו-מבצעי'!$B$9="הכל",מלאי!Q110='לוח בקרה טכנו-מבצעי'!$B$9),OR('לוח בקרה טכנו-מבצעי'!$E$4="הכל",מלאי!J110='לוח בקרה טכנו-מבצעי'!$E$4),OR('לוח בקרה טכנו-מבצעי'!$E$5="הכל",מלאי!L110='לוח בקרה טכנו-מבצעי'!$E$5),OR('לוח בקרה טכנו-מבצעי'!$E$6="הכל",מלאי!O110='לוח בקרה טכנו-מבצעי'!$E$6),OR('לוח בקרה טכנו-מבצעי'!$E$7="הכל",מלאי!R110='לוח בקרה טכנו-מבצעי'!$E$7),OR('לוח בקרה טכנו-מבצעי'!$E$8="הכל",'לוח בקרה טכנו-מבצעי'!$E$8="",מלאי!W110='לוח בקרה טכנו-מבצעי'!$E$8),OR('לוח בקרה טכנו-מבצעי'!$E$9="הכל",'לוח בקרה טכנו-מבצעי'!$E$9="",ISNUMBER(SEARCH('לוח בקרה טכנו-מבצעי'!$E$9,מלאי!C110))),OR('לוח בקרה טכנו-מבצעי'!$B$10="הכל",מלאי!#REF!='לוח בקרה טכנו-מבצעי'!$B$10)),1,0)</f>
        <v>#REF!</v>
      </c>
      <c r="AF110" t="str">
        <f>IF(AD110=1,COUNTIF($AD$3:$AD110,1),"")</f>
        <v/>
      </c>
      <c r="AG110" t="e">
        <f>IF(AE110=1,COUNTIF($AE$3:$AE110,1),"")</f>
        <v>#REF!</v>
      </c>
    </row>
    <row r="111" spans="1:33" ht="15" customHeight="1" x14ac:dyDescent="0.25">
      <c r="A111" s="19" t="s">
        <v>62</v>
      </c>
      <c r="B111" s="19" t="s">
        <v>204</v>
      </c>
      <c r="C111" s="30" t="s">
        <v>64</v>
      </c>
      <c r="D111" t="s">
        <v>361</v>
      </c>
      <c r="E111" s="19">
        <f>IFERROR(INDEX(הגדרות!$I$2:$I$47,MATCH(B111,הגדרות!$H$2:$H$47,0)),"")</f>
        <v>0</v>
      </c>
      <c r="F111" s="17" t="s">
        <v>79</v>
      </c>
      <c r="G111" s="19"/>
      <c r="H111" s="19" t="s">
        <v>197</v>
      </c>
      <c r="I111" s="19"/>
      <c r="J111" s="19" t="s">
        <v>68</v>
      </c>
      <c r="K111" s="19" t="s">
        <v>68</v>
      </c>
      <c r="L111" s="19" t="s">
        <v>68</v>
      </c>
      <c r="M111" s="19" t="s">
        <v>68</v>
      </c>
      <c r="N111" s="19" t="s">
        <v>68</v>
      </c>
      <c r="O111" s="19"/>
      <c r="P111" s="30"/>
      <c r="Q111" s="19"/>
      <c r="R111" s="19"/>
      <c r="S111" s="19"/>
      <c r="T111" s="17" t="s">
        <v>69</v>
      </c>
      <c r="U111" s="19"/>
      <c r="V111" s="19"/>
      <c r="W111" s="19"/>
      <c r="X111" s="19"/>
      <c r="Y111" s="19"/>
      <c r="Z111" t="str">
        <f>IFERROR(INDEX(הגדרות!$B$2:$B$17,MATCH(H111,הגדרות!$A$2:$A$17,0)),"")</f>
        <v>שלג</v>
      </c>
      <c r="AA111">
        <f>IFERROR(INDEX(הגדרות!$C$2:$C$17,MATCH(H111,הגדרות!$A$2:$A$17,0)),"")</f>
        <v>0</v>
      </c>
      <c r="AB111" t="str">
        <f>IFERROR(INDEX(הגדרות!$B$2:$B$17,MATCH(I111,הגדרות!$A$2:$A$17,0)),"")</f>
        <v/>
      </c>
      <c r="AC111" t="str">
        <f>IFERROR(INDEX(הגדרות!$C$2:$C$17,MATCH(I111,הגדרות!$A$2:$A$17,0)),"")</f>
        <v/>
      </c>
      <c r="AD111">
        <f>IF(AND(מלאי!D111&lt;&gt;"",OR('לוח בקרה'!$B$4="הכל",מלאי!Z111='לוח בקרה'!$B$4,מלאי!AA111='לוח בקרה'!$B$4,מלאי!AB111='לוח בקרה'!$B$4,מלאי!AC111='לוח בקרה'!$B$4),OR('לוח בקרה'!$B$5="הכל",מלאי!A111='לוח בקרה'!$B$5),OR('לוח בקרה'!$B$6="הכל",מלאי!B111='לוח בקרה'!$B$6),OR('לוח בקרה'!$B$7="הכל",מלאי!F111='לוח בקרה'!$B$7,מלאי!G111='לוח בקרה'!$B$7),OR('לוח בקרה'!$B$8="הכל",מלאי!T111='לוח בקרה'!$B$8),OR('לוח בקרה'!$B$9="הכל",מלאי!Q111='לוח בקרה'!$B$9),OR('לוח בקרה'!$E$4="הכל",מלאי!J111='לוח בקרה'!$E$4),OR('לוח בקרה'!$E$5="הכל",מלאי!L111='לוח בקרה'!$E$5),OR('לוח בקרה'!$E$6="הכל",מלאי!O111='לוח בקרה'!$E$6),OR('לוח בקרה'!$E$7="הכל",מלאי!R111='לוח בקרה'!$E$7),OR('לוח בקרה'!$E$8="הכל",'לוח בקרה'!$E$8="",מלאי!W111='לוח בקרה'!$E$8),OR('לוח בקרה'!$E$9="הכל",'לוח בקרה'!$E$9="",ISNUMBER(SEARCH('לוח בקרה'!$E$9,מלאי!C111)))),1,0)</f>
        <v>0</v>
      </c>
      <c r="AE111" t="e">
        <f>IF(AND(מלאי!D111&lt;&gt;"",OR('לוח בקרה טכנו-מבצעי'!$B$4="הכל",מלאי!Z111='לוח בקרה טכנו-מבצעי'!$B$4,מלאי!AA111='לוח בקרה טכנו-מבצעי'!$B$4,מלאי!AB111='לוח בקרה טכנו-מבצעי'!$B$4,מלאי!AC111='לוח בקרה טכנו-מבצעי'!$B$4),OR('לוח בקרה טכנו-מבצעי'!$B$5="הכל",מלאי!A111='לוח בקרה טכנו-מבצעי'!$B$5),OR('לוח בקרה טכנו-מבצעי'!$B$6="הכל",מלאי!B111='לוח בקרה טכנו-מבצעי'!$B$6),OR('לוח בקרה טכנו-מבצעי'!$B$7="הכל",מלאי!F111='לוח בקרה טכנו-מבצעי'!$B$7,מלאי!G111='לוח בקרה טכנו-מבצעי'!$B$7),OR('לוח בקרה טכנו-מבצעי'!$B$8="הכל",מלאי!T111='לוח בקרה טכנו-מבצעי'!$B$8),OR('לוח בקרה טכנו-מבצעי'!$B$9="הכל",מלאי!Q111='לוח בקרה טכנו-מבצעי'!$B$9),OR('לוח בקרה טכנו-מבצעי'!$E$4="הכל",מלאי!J111='לוח בקרה טכנו-מבצעי'!$E$4),OR('לוח בקרה טכנו-מבצעי'!$E$5="הכל",מלאי!L111='לוח בקרה טכנו-מבצעי'!$E$5),OR('לוח בקרה טכנו-מבצעי'!$E$6="הכל",מלאי!O111='לוח בקרה טכנו-מבצעי'!$E$6),OR('לוח בקרה טכנו-מבצעי'!$E$7="הכל",מלאי!R111='לוח בקרה טכנו-מבצעי'!$E$7),OR('לוח בקרה טכנו-מבצעי'!$E$8="הכל",'לוח בקרה טכנו-מבצעי'!$E$8="",מלאי!W111='לוח בקרה טכנו-מבצעי'!$E$8),OR('לוח בקרה טכנו-מבצעי'!$E$9="הכל",'לוח בקרה טכנו-מבצעי'!$E$9="",ISNUMBER(SEARCH('לוח בקרה טכנו-מבצעי'!$E$9,מלאי!C111))),OR('לוח בקרה טכנו-מבצעי'!$B$10="הכל",מלאי!#REF!='לוח בקרה טכנו-מבצעי'!$B$10)),1,0)</f>
        <v>#REF!</v>
      </c>
      <c r="AF111" t="str">
        <f>IF(AD111=1,COUNTIF($AD$3:$AD111,1),"")</f>
        <v/>
      </c>
      <c r="AG111" t="e">
        <f>IF(AE111=1,COUNTIF($AE$3:$AE111,1),"")</f>
        <v>#REF!</v>
      </c>
    </row>
    <row r="112" spans="1:33" ht="15" customHeight="1" x14ac:dyDescent="0.25">
      <c r="A112" s="19" t="s">
        <v>106</v>
      </c>
      <c r="B112" t="s">
        <v>107</v>
      </c>
      <c r="C112" s="19"/>
      <c r="D112" s="30" t="s">
        <v>368</v>
      </c>
      <c r="E112" s="19" t="str">
        <f>IFERROR(INDEX(הגדרות!$I$2:$I$47,MATCH(B112,הגדרות!$H$2:$H$47,0)),"")</f>
        <v>9001-00</v>
      </c>
      <c r="F112" s="19" t="s">
        <v>65</v>
      </c>
      <c r="G112" s="19"/>
      <c r="H112" s="19" t="s">
        <v>197</v>
      </c>
      <c r="I112" s="19"/>
      <c r="J112" s="19" t="s">
        <v>68</v>
      </c>
      <c r="K112" s="19" t="s">
        <v>68</v>
      </c>
      <c r="L112" s="19" t="s">
        <v>68</v>
      </c>
      <c r="M112" s="19" t="s">
        <v>68</v>
      </c>
      <c r="N112" s="19" t="s">
        <v>68</v>
      </c>
      <c r="O112" s="19"/>
      <c r="P112" s="19"/>
      <c r="Q112" s="19"/>
      <c r="R112" s="19"/>
      <c r="S112" s="19"/>
      <c r="T112" s="17" t="s">
        <v>69</v>
      </c>
      <c r="U112" s="19"/>
      <c r="V112" s="19"/>
      <c r="W112" s="19"/>
      <c r="X112" s="19"/>
      <c r="Y112" s="19"/>
      <c r="Z112" t="str">
        <f>IFERROR(INDEX(הגדרות!$B$2:$B$17,MATCH(H112,הגדרות!$A$2:$A$17,0)),"")</f>
        <v>שלג</v>
      </c>
      <c r="AA112">
        <f>IFERROR(INDEX(הגדרות!$C$2:$C$17,MATCH(H112,הגדרות!$A$2:$A$17,0)),"")</f>
        <v>0</v>
      </c>
      <c r="AB112" t="str">
        <f>IFERROR(INDEX(הגדרות!$B$2:$B$17,MATCH(I112,הגדרות!$A$2:$A$17,0)),"")</f>
        <v/>
      </c>
      <c r="AC112" t="str">
        <f>IFERROR(INDEX(הגדרות!$C$2:$C$17,MATCH(I112,הגדרות!$A$2:$A$17,0)),"")</f>
        <v/>
      </c>
      <c r="AD112">
        <f>IF(AND(מלאי!D112&lt;&gt;"",OR('לוח בקרה'!$B$4="הכל",מלאי!Z112='לוח בקרה'!$B$4,מלאי!AA112='לוח בקרה'!$B$4,מלאי!AB112='לוח בקרה'!$B$4,מלאי!AC112='לוח בקרה'!$B$4),OR('לוח בקרה'!$B$5="הכל",מלאי!A112='לוח בקרה'!$B$5),OR('לוח בקרה'!$B$6="הכל",מלאי!B112='לוח בקרה'!$B$6),OR('לוח בקרה'!$B$7="הכל",מלאי!F112='לוח בקרה'!$B$7,מלאי!G112='לוח בקרה'!$B$7),OR('לוח בקרה'!$B$8="הכל",מלאי!T112='לוח בקרה'!$B$8),OR('לוח בקרה'!$B$9="הכל",מלאי!Q112='לוח בקרה'!$B$9),OR('לוח בקרה'!$E$4="הכל",מלאי!J112='לוח בקרה'!$E$4),OR('לוח בקרה'!$E$5="הכל",מלאי!L112='לוח בקרה'!$E$5),OR('לוח בקרה'!$E$6="הכל",מלאי!O112='לוח בקרה'!$E$6),OR('לוח בקרה'!$E$7="הכל",מלאי!R112='לוח בקרה'!$E$7),OR('לוח בקרה'!$E$8="הכל",'לוח בקרה'!$E$8="",מלאי!W112='לוח בקרה'!$E$8),OR('לוח בקרה'!$E$9="הכל",'לוח בקרה'!$E$9="",ISNUMBER(SEARCH('לוח בקרה'!$E$9,מלאי!C112)))),1,0)</f>
        <v>0</v>
      </c>
      <c r="AE112" t="e">
        <f>IF(AND(מלאי!D112&lt;&gt;"",OR('לוח בקרה טכנו-מבצעי'!$B$4="הכל",מלאי!Z112='לוח בקרה טכנו-מבצעי'!$B$4,מלאי!AA112='לוח בקרה טכנו-מבצעי'!$B$4,מלאי!AB112='לוח בקרה טכנו-מבצעי'!$B$4,מלאי!AC112='לוח בקרה טכנו-מבצעי'!$B$4),OR('לוח בקרה טכנו-מבצעי'!$B$5="הכל",מלאי!A112='לוח בקרה טכנו-מבצעי'!$B$5),OR('לוח בקרה טכנו-מבצעי'!$B$6="הכל",מלאי!B112='לוח בקרה טכנו-מבצעי'!$B$6),OR('לוח בקרה טכנו-מבצעי'!$B$7="הכל",מלאי!F112='לוח בקרה טכנו-מבצעי'!$B$7,מלאי!G112='לוח בקרה טכנו-מבצעי'!$B$7),OR('לוח בקרה טכנו-מבצעי'!$B$8="הכל",מלאי!T112='לוח בקרה טכנו-מבצעי'!$B$8),OR('לוח בקרה טכנו-מבצעי'!$B$9="הכל",מלאי!Q112='לוח בקרה טכנו-מבצעי'!$B$9),OR('לוח בקרה טכנו-מבצעי'!$E$4="הכל",מלאי!J112='לוח בקרה טכנו-מבצעי'!$E$4),OR('לוח בקרה טכנו-מבצעי'!$E$5="הכל",מלאי!L112='לוח בקרה טכנו-מבצעי'!$E$5),OR('לוח בקרה טכנו-מבצעי'!$E$6="הכל",מלאי!O112='לוח בקרה טכנו-מבצעי'!$E$6),OR('לוח בקרה טכנו-מבצעי'!$E$7="הכל",מלאי!R112='לוח בקרה טכנו-מבצעי'!$E$7),OR('לוח בקרה טכנו-מבצעי'!$E$8="הכל",'לוח בקרה טכנו-מבצעי'!$E$8="",מלאי!W112='לוח בקרה טכנו-מבצעי'!$E$8),OR('לוח בקרה טכנו-מבצעי'!$E$9="הכל",'לוח בקרה טכנו-מבצעי'!$E$9="",ISNUMBER(SEARCH('לוח בקרה טכנו-מבצעי'!$E$9,מלאי!C112))),OR('לוח בקרה טכנו-מבצעי'!$B$10="הכל",מלאי!#REF!='לוח בקרה טכנו-מבצעי'!$B$10)),1,0)</f>
        <v>#REF!</v>
      </c>
      <c r="AF112" t="str">
        <f>IF(AD112=1,COUNTIF($AD$3:$AD112,1),"")</f>
        <v/>
      </c>
      <c r="AG112" t="e">
        <f>IF(AE112=1,COUNTIF($AE$3:$AE112,1),"")</f>
        <v>#REF!</v>
      </c>
    </row>
    <row r="113" spans="1:33" ht="15" customHeight="1" x14ac:dyDescent="0.25">
      <c r="A113" s="17" t="s">
        <v>106</v>
      </c>
      <c r="B113" s="17" t="s">
        <v>107</v>
      </c>
      <c r="C113" s="17"/>
      <c r="D113" s="30" t="s">
        <v>367</v>
      </c>
      <c r="E113" s="17" t="str">
        <f>IFERROR(INDEX(הגדרות!$I$2:$I$47,MATCH(B113,הגדרות!$H$2:$H$47,0)),"")</f>
        <v>9001-00</v>
      </c>
      <c r="F113" s="17" t="s">
        <v>79</v>
      </c>
      <c r="G113" s="17"/>
      <c r="H113" s="17" t="s">
        <v>197</v>
      </c>
      <c r="I113" s="17"/>
      <c r="J113" s="19" t="s">
        <v>68</v>
      </c>
      <c r="K113" s="19" t="s">
        <v>68</v>
      </c>
      <c r="L113" s="19" t="s">
        <v>68</v>
      </c>
      <c r="M113" s="19" t="s">
        <v>68</v>
      </c>
      <c r="N113" s="19" t="s">
        <v>68</v>
      </c>
      <c r="O113" s="17"/>
      <c r="P113" s="17"/>
      <c r="Q113" s="17"/>
      <c r="R113" s="17"/>
      <c r="S113" s="17"/>
      <c r="T113" s="17" t="s">
        <v>69</v>
      </c>
      <c r="U113" s="17"/>
      <c r="V113" s="17"/>
      <c r="W113" s="17"/>
      <c r="X113" s="17"/>
      <c r="Y113" s="17"/>
      <c r="Z113" t="str">
        <f>IFERROR(INDEX(הגדרות!$B$2:$B$17,MATCH(H113,הגדרות!$A$2:$A$17,0)),"")</f>
        <v>שלג</v>
      </c>
      <c r="AA113">
        <f>IFERROR(INDEX(הגדרות!$C$2:$C$17,MATCH(H113,הגדרות!$A$2:$A$17,0)),"")</f>
        <v>0</v>
      </c>
      <c r="AB113" t="str">
        <f>IFERROR(INDEX(הגדרות!$B$2:$B$17,MATCH(I113,הגדרות!$A$2:$A$17,0)),"")</f>
        <v/>
      </c>
      <c r="AC113" t="str">
        <f>IFERROR(INDEX(הגדרות!$C$2:$C$17,MATCH(I113,הגדרות!$A$2:$A$17,0)),"")</f>
        <v/>
      </c>
      <c r="AD113">
        <f>IF(AND(מלאי!D113&lt;&gt;"",OR('לוח בקרה'!$B$4="הכל",מלאי!Z113='לוח בקרה'!$B$4,מלאי!AA113='לוח בקרה'!$B$4,מלאי!AB113='לוח בקרה'!$B$4,מלאי!AC113='לוח בקרה'!$B$4),OR('לוח בקרה'!$B$5="הכל",מלאי!A113='לוח בקרה'!$B$5),OR('לוח בקרה'!$B$6="הכל",מלאי!B113='לוח בקרה'!$B$6),OR('לוח בקרה'!$B$7="הכל",מלאי!F113='לוח בקרה'!$B$7,מלאי!G113='לוח בקרה'!$B$7),OR('לוח בקרה'!$B$8="הכל",מלאי!T113='לוח בקרה'!$B$8),OR('לוח בקרה'!$B$9="הכל",מלאי!Q113='לוח בקרה'!$B$9),OR('לוח בקרה'!$E$4="הכל",מלאי!J113='לוח בקרה'!$E$4),OR('לוח בקרה'!$E$5="הכל",מלאי!L113='לוח בקרה'!$E$5),OR('לוח בקרה'!$E$6="הכל",מלאי!O113='לוח בקרה'!$E$6),OR('לוח בקרה'!$E$7="הכל",מלאי!R113='לוח בקרה'!$E$7),OR('לוח בקרה'!$E$8="הכל",'לוח בקרה'!$E$8="",מלאי!W113='לוח בקרה'!$E$8),OR('לוח בקרה'!$E$9="הכל",'לוח בקרה'!$E$9="",ISNUMBER(SEARCH('לוח בקרה'!$E$9,מלאי!C113)))),1,0)</f>
        <v>0</v>
      </c>
      <c r="AE113" t="e">
        <f>IF(AND(מלאי!D113&lt;&gt;"",OR('לוח בקרה טכנו-מבצעי'!$B$4="הכל",מלאי!Z113='לוח בקרה טכנו-מבצעי'!$B$4,מלאי!AA113='לוח בקרה טכנו-מבצעי'!$B$4,מלאי!AB113='לוח בקרה טכנו-מבצעי'!$B$4,מלאי!AC113='לוח בקרה טכנו-מבצעי'!$B$4),OR('לוח בקרה טכנו-מבצעי'!$B$5="הכל",מלאי!A113='לוח בקרה טכנו-מבצעי'!$B$5),OR('לוח בקרה טכנו-מבצעי'!$B$6="הכל",מלאי!B113='לוח בקרה טכנו-מבצעי'!$B$6),OR('לוח בקרה טכנו-מבצעי'!$B$7="הכל",מלאי!F113='לוח בקרה טכנו-מבצעי'!$B$7,מלאי!G113='לוח בקרה טכנו-מבצעי'!$B$7),OR('לוח בקרה טכנו-מבצעי'!$B$8="הכל",מלאי!T113='לוח בקרה טכנו-מבצעי'!$B$8),OR('לוח בקרה טכנו-מבצעי'!$B$9="הכל",מלאי!Q113='לוח בקרה טכנו-מבצעי'!$B$9),OR('לוח בקרה טכנו-מבצעי'!$E$4="הכל",מלאי!J113='לוח בקרה טכנו-מבצעי'!$E$4),OR('לוח בקרה טכנו-מבצעי'!$E$5="הכל",מלאי!L113='לוח בקרה טכנו-מבצעי'!$E$5),OR('לוח בקרה טכנו-מבצעי'!$E$6="הכל",מלאי!O113='לוח בקרה טכנו-מבצעי'!$E$6),OR('לוח בקרה טכנו-מבצעי'!$E$7="הכל",מלאי!R113='לוח בקרה טכנו-מבצעי'!$E$7),OR('לוח בקרה טכנו-מבצעי'!$E$8="הכל",'לוח בקרה טכנו-מבצעי'!$E$8="",מלאי!W113='לוח בקרה טכנו-מבצעי'!$E$8),OR('לוח בקרה טכנו-מבצעי'!$E$9="הכל",'לוח בקרה טכנו-מבצעי'!$E$9="",ISNUMBER(SEARCH('לוח בקרה טכנו-מבצעי'!$E$9,מלאי!C113))),OR('לוח בקרה טכנו-מבצעי'!$B$10="הכל",מלאי!#REF!='לוח בקרה טכנו-מבצעי'!$B$10)),1,0)</f>
        <v>#REF!</v>
      </c>
      <c r="AF113" t="str">
        <f>IF(AD113=1,COUNTIF($AD$3:$AD113,1),"")</f>
        <v/>
      </c>
      <c r="AG113" t="e">
        <f>IF(AE113=1,COUNTIF($AE$3:$AE113,1),"")</f>
        <v>#REF!</v>
      </c>
    </row>
    <row r="114" spans="1:33" ht="15" customHeight="1" x14ac:dyDescent="0.25">
      <c r="A114" s="19" t="s">
        <v>191</v>
      </c>
      <c r="B114" s="29" t="s">
        <v>366</v>
      </c>
      <c r="C114" s="19"/>
      <c r="D114" s="29" t="s">
        <v>369</v>
      </c>
      <c r="E114" s="19" t="str">
        <f>IFERROR(INDEX(הגדרות!$I$2:$I$47,MATCH(B114,הגדרות!$H$2:$H$47,0)),"")</f>
        <v/>
      </c>
      <c r="F114" s="19" t="s">
        <v>345</v>
      </c>
      <c r="G114" s="19"/>
      <c r="H114" t="s">
        <v>197</v>
      </c>
      <c r="I114" s="19" t="s">
        <v>197</v>
      </c>
      <c r="J114" s="19" t="s">
        <v>68</v>
      </c>
      <c r="K114" s="19" t="s">
        <v>68</v>
      </c>
      <c r="L114" s="19" t="s">
        <v>68</v>
      </c>
      <c r="M114" s="19" t="s">
        <v>68</v>
      </c>
      <c r="N114" s="19" t="s">
        <v>68</v>
      </c>
      <c r="O114" s="19"/>
      <c r="P114" s="19"/>
      <c r="Q114" s="19"/>
      <c r="R114" s="19"/>
      <c r="S114" s="19"/>
      <c r="T114" s="17" t="s">
        <v>69</v>
      </c>
      <c r="U114" s="19"/>
      <c r="V114" s="19"/>
      <c r="W114" s="19"/>
      <c r="X114" s="19"/>
      <c r="Y114" s="19"/>
      <c r="Z114" t="str">
        <f>IFERROR(INDEX(הגדרות!$B$2:$B$17,MATCH(H114,הגדרות!$A$2:$A$17,0)),"")</f>
        <v>שלג</v>
      </c>
      <c r="AA114">
        <f>IFERROR(INDEX(הגדרות!$C$2:$C$17,MATCH(H114,הגדרות!$A$2:$A$17,0)),"")</f>
        <v>0</v>
      </c>
      <c r="AB114" t="str">
        <f>IFERROR(INDEX(הגדרות!$B$2:$B$17,MATCH(I114,הגדרות!$A$2:$A$17,0)),"")</f>
        <v>שלג</v>
      </c>
      <c r="AC114">
        <f>IFERROR(INDEX(הגדרות!$C$2:$C$17,MATCH(I114,הגדרות!$A$2:$A$17,0)),"")</f>
        <v>0</v>
      </c>
      <c r="AD114">
        <f>IF(AND(מלאי!D114&lt;&gt;"",OR('לוח בקרה'!$B$4="הכל",מלאי!Z114='לוח בקרה'!$B$4,מלאי!AA114='לוח בקרה'!$B$4,מלאי!AB114='לוח בקרה'!$B$4,מלאי!AC114='לוח בקרה'!$B$4),OR('לוח בקרה'!$B$5="הכל",מלאי!A114='לוח בקרה'!$B$5),OR('לוח בקרה'!$B$6="הכל",מלאי!B114='לוח בקרה'!$B$6),OR('לוח בקרה'!$B$7="הכל",מלאי!F114='לוח בקרה'!$B$7,מלאי!G114='לוח בקרה'!$B$7),OR('לוח בקרה'!$B$8="הכל",מלאי!T114='לוח בקרה'!$B$8),OR('לוח בקרה'!$B$9="הכל",מלאי!Q114='לוח בקרה'!$B$9),OR('לוח בקרה'!$E$4="הכל",מלאי!J114='לוח בקרה'!$E$4),OR('לוח בקרה'!$E$5="הכל",מלאי!L114='לוח בקרה'!$E$5),OR('לוח בקרה'!$E$6="הכל",מלאי!O114='לוח בקרה'!$E$6),OR('לוח בקרה'!$E$7="הכל",מלאי!R114='לוח בקרה'!$E$7),OR('לוח בקרה'!$E$8="הכל",'לוח בקרה'!$E$8="",מלאי!W114='לוח בקרה'!$E$8),OR('לוח בקרה'!$E$9="הכל",'לוח בקרה'!$E$9="",ISNUMBER(SEARCH('לוח בקרה'!$E$9,מלאי!C114)))),1,0)</f>
        <v>0</v>
      </c>
      <c r="AE114" t="e">
        <f>IF(AND(מלאי!D114&lt;&gt;"",OR('לוח בקרה טכנו-מבצעי'!$B$4="הכל",מלאי!Z114='לוח בקרה טכנו-מבצעי'!$B$4,מלאי!AA114='לוח בקרה טכנו-מבצעי'!$B$4,מלאי!AB114='לוח בקרה טכנו-מבצעי'!$B$4,מלאי!AC114='לוח בקרה טכנו-מבצעי'!$B$4),OR('לוח בקרה טכנו-מבצעי'!$B$5="הכל",מלאי!A114='לוח בקרה טכנו-מבצעי'!$B$5),OR('לוח בקרה טכנו-מבצעי'!$B$6="הכל",מלאי!B114='לוח בקרה טכנו-מבצעי'!$B$6),OR('לוח בקרה טכנו-מבצעי'!$B$7="הכל",מלאי!F114='לוח בקרה טכנו-מבצעי'!$B$7,מלאי!G114='לוח בקרה טכנו-מבצעי'!$B$7),OR('לוח בקרה טכנו-מבצעי'!$B$8="הכל",מלאי!T114='לוח בקרה טכנו-מבצעי'!$B$8),OR('לוח בקרה טכנו-מבצעי'!$B$9="הכל",מלאי!Q114='לוח בקרה טכנו-מבצעי'!$B$9),OR('לוח בקרה טכנו-מבצעי'!$E$4="הכל",מלאי!J114='לוח בקרה טכנו-מבצעי'!$E$4),OR('לוח בקרה טכנו-מבצעי'!$E$5="הכל",מלאי!L114='לוח בקרה טכנו-מבצעי'!$E$5),OR('לוח בקרה טכנו-מבצעי'!$E$6="הכל",מלאי!O114='לוח בקרה טכנו-מבצעי'!$E$6),OR('לוח בקרה טכנו-מבצעי'!$E$7="הכל",מלאי!R114='לוח בקרה טכנו-מבצעי'!$E$7),OR('לוח בקרה טכנו-מבצעי'!$E$8="הכל",'לוח בקרה טכנו-מבצעי'!$E$8="",מלאי!W114='לוח בקרה טכנו-מבצעי'!$E$8),OR('לוח בקרה טכנו-מבצעי'!$E$9="הכל",'לוח בקרה טכנו-מבצעי'!$E$9="",ISNUMBER(SEARCH('לוח בקרה טכנו-מבצעי'!$E$9,מלאי!C114))),OR('לוח בקרה טכנו-מבצעי'!$B$10="הכל",מלאי!#REF!='לוח בקרה טכנו-מבצעי'!$B$10)),1,0)</f>
        <v>#REF!</v>
      </c>
      <c r="AF114" t="str">
        <f>IF(AD114=1,COUNTIF($AD$3:$AD114,1),"")</f>
        <v/>
      </c>
      <c r="AG114" t="e">
        <f>IF(AE114=1,COUNTIF($AE$3:$AE114,1),"")</f>
        <v>#REF!</v>
      </c>
    </row>
    <row r="115" spans="1:33" ht="15" customHeight="1" x14ac:dyDescent="0.25">
      <c r="A115" s="17" t="s">
        <v>191</v>
      </c>
      <c r="B115" s="17" t="s">
        <v>366</v>
      </c>
      <c r="C115" s="17"/>
      <c r="D115" s="29" t="s">
        <v>370</v>
      </c>
      <c r="E115" s="17" t="str">
        <f>IFERROR(INDEX(הגדרות!$I$2:$I$47,MATCH(B115,הגדרות!$H$2:$H$47,0)),"")</f>
        <v/>
      </c>
      <c r="F115" s="17" t="s">
        <v>345</v>
      </c>
      <c r="G115" s="17"/>
      <c r="H115" s="17" t="s">
        <v>197</v>
      </c>
      <c r="I115" t="s">
        <v>74</v>
      </c>
      <c r="J115" s="19" t="s">
        <v>68</v>
      </c>
      <c r="K115" s="19" t="s">
        <v>68</v>
      </c>
      <c r="L115" s="19" t="s">
        <v>68</v>
      </c>
      <c r="M115" s="19" t="s">
        <v>68</v>
      </c>
      <c r="N115" s="19" t="s">
        <v>14</v>
      </c>
      <c r="O115" s="17"/>
      <c r="P115" s="30" t="s">
        <v>371</v>
      </c>
      <c r="Q115" s="17"/>
      <c r="R115" s="17"/>
      <c r="S115" s="17"/>
      <c r="T115" s="17" t="s">
        <v>69</v>
      </c>
      <c r="U115" s="17"/>
      <c r="V115" s="17"/>
      <c r="W115" s="17"/>
      <c r="X115" s="17"/>
      <c r="Y115" s="17"/>
      <c r="Z115" t="str">
        <f>IFERROR(INDEX(הגדרות!$B$2:$B$17,MATCH(H115,הגדרות!$A$2:$A$17,0)),"")</f>
        <v>שלג</v>
      </c>
      <c r="AA115">
        <f>IFERROR(INDEX(הגדרות!$C$2:$C$17,MATCH(H115,הגדרות!$A$2:$A$17,0)),"")</f>
        <v>0</v>
      </c>
      <c r="AB115" t="str">
        <f>IFERROR(INDEX(הגדרות!$B$2:$B$17,MATCH(I115,הגדרות!$A$2:$A$17,0)),"")</f>
        <v>מיוער</v>
      </c>
      <c r="AC115">
        <f>IFERROR(INDEX(הגדרות!$C$2:$C$17,MATCH(I115,הגדרות!$A$2:$A$17,0)),"")</f>
        <v>0</v>
      </c>
      <c r="AD115">
        <f>IF(AND(מלאי!D115&lt;&gt;"",OR('לוח בקרה'!$B$4="הכל",מלאי!Z115='לוח בקרה'!$B$4,מלאי!AA115='לוח בקרה'!$B$4,מלאי!AB115='לוח בקרה'!$B$4,מלאי!AC115='לוח בקרה'!$B$4),OR('לוח בקרה'!$B$5="הכל",מלאי!A115='לוח בקרה'!$B$5),OR('לוח בקרה'!$B$6="הכל",מלאי!B115='לוח בקרה'!$B$6),OR('לוח בקרה'!$B$7="הכל",מלאי!F115='לוח בקרה'!$B$7,מלאי!G115='לוח בקרה'!$B$7),OR('לוח בקרה'!$B$8="הכל",מלאי!T115='לוח בקרה'!$B$8),OR('לוח בקרה'!$B$9="הכל",מלאי!Q115='לוח בקרה'!$B$9),OR('לוח בקרה'!$E$4="הכל",מלאי!J115='לוח בקרה'!$E$4),OR('לוח בקרה'!$E$5="הכל",מלאי!L115='לוח בקרה'!$E$5),OR('לוח בקרה'!$E$6="הכל",מלאי!O115='לוח בקרה'!$E$6),OR('לוח בקרה'!$E$7="הכל",מלאי!R115='לוח בקרה'!$E$7),OR('לוח בקרה'!$E$8="הכל",'לוח בקרה'!$E$8="",מלאי!W115='לוח בקרה'!$E$8),OR('לוח בקרה'!$E$9="הכל",'לוח בקרה'!$E$9="",ISNUMBER(SEARCH('לוח בקרה'!$E$9,מלאי!C115)))),1,0)</f>
        <v>0</v>
      </c>
      <c r="AE115" t="e">
        <f>IF(AND(מלאי!D115&lt;&gt;"",OR('לוח בקרה טכנו-מבצעי'!$B$4="הכל",מלאי!Z115='לוח בקרה טכנו-מבצעי'!$B$4,מלאי!AA115='לוח בקרה טכנו-מבצעי'!$B$4,מלאי!AB115='לוח בקרה טכנו-מבצעי'!$B$4,מלאי!AC115='לוח בקרה טכנו-מבצעי'!$B$4),OR('לוח בקרה טכנו-מבצעי'!$B$5="הכל",מלאי!A115='לוח בקרה טכנו-מבצעי'!$B$5),OR('לוח בקרה טכנו-מבצעי'!$B$6="הכל",מלאי!B115='לוח בקרה טכנו-מבצעי'!$B$6),OR('לוח בקרה טכנו-מבצעי'!$B$7="הכל",מלאי!F115='לוח בקרה טכנו-מבצעי'!$B$7,מלאי!G115='לוח בקרה טכנו-מבצעי'!$B$7),OR('לוח בקרה טכנו-מבצעי'!$B$8="הכל",מלאי!T115='לוח בקרה טכנו-מבצעי'!$B$8),OR('לוח בקרה טכנו-מבצעי'!$B$9="הכל",מלאי!Q115='לוח בקרה טכנו-מבצעי'!$B$9),OR('לוח בקרה טכנו-מבצעי'!$E$4="הכל",מלאי!J115='לוח בקרה טכנו-מבצעי'!$E$4),OR('לוח בקרה טכנו-מבצעי'!$E$5="הכל",מלאי!L115='לוח בקרה טכנו-מבצעי'!$E$5),OR('לוח בקרה טכנו-מבצעי'!$E$6="הכל",מלאי!O115='לוח בקרה טכנו-מבצעי'!$E$6),OR('לוח בקרה טכנו-מבצעי'!$E$7="הכל",מלאי!R115='לוח בקרה טכנו-מבצעי'!$E$7),OR('לוח בקרה טכנו-מבצעי'!$E$8="הכל",'לוח בקרה טכנו-מבצעי'!$E$8="",מלאי!W115='לוח בקרה טכנו-מבצעי'!$E$8),OR('לוח בקרה טכנו-מבצעי'!$E$9="הכל",'לוח בקרה טכנו-מבצעי'!$E$9="",ISNUMBER(SEARCH('לוח בקרה טכנו-מבצעי'!$E$9,מלאי!C115))),OR('לוח בקרה טכנו-מבצעי'!$B$10="הכל",מלאי!#REF!='לוח בקרה טכנו-מבצעי'!$B$10)),1,0)</f>
        <v>#REF!</v>
      </c>
      <c r="AF115" t="str">
        <f>IF(AD115=1,COUNTIF($AD$3:$AD115,1),"")</f>
        <v/>
      </c>
      <c r="AG115" t="e">
        <f>IF(AE115=1,COUNTIF($AE$3:$AE115,1),"")</f>
        <v>#REF!</v>
      </c>
    </row>
    <row r="116" spans="1:33" ht="31.5" customHeight="1" x14ac:dyDescent="0.25">
      <c r="A116" s="17" t="s">
        <v>62</v>
      </c>
      <c r="B116" t="s">
        <v>335</v>
      </c>
      <c r="C116" s="30" t="s">
        <v>274</v>
      </c>
      <c r="D116" s="30" t="s">
        <v>372</v>
      </c>
      <c r="E116" s="17" t="str">
        <f>IFERROR(INDEX(הגדרות!$I$2:$I$47,MATCH(B116,הגדרות!$H$2:$H$47,0)),"")</f>
        <v/>
      </c>
      <c r="F116" s="17" t="s">
        <v>79</v>
      </c>
      <c r="G116" s="17"/>
      <c r="H116" t="s">
        <v>77</v>
      </c>
      <c r="I116" t="s">
        <v>80</v>
      </c>
      <c r="J116" s="17" t="s">
        <v>68</v>
      </c>
      <c r="K116" s="17" t="s">
        <v>68</v>
      </c>
      <c r="L116" s="17" t="s">
        <v>68</v>
      </c>
      <c r="M116" s="17" t="s">
        <v>68</v>
      </c>
      <c r="N116" s="19" t="s">
        <v>68</v>
      </c>
      <c r="O116" s="17" t="s">
        <v>14</v>
      </c>
      <c r="P116" s="17"/>
      <c r="Q116" s="17" t="s">
        <v>68</v>
      </c>
      <c r="R116" s="17"/>
      <c r="S116" s="17"/>
      <c r="T116" s="17" t="s">
        <v>69</v>
      </c>
      <c r="U116" s="17"/>
      <c r="V116" s="17"/>
      <c r="W116" s="17"/>
      <c r="X116" s="17"/>
      <c r="Y116" s="17"/>
      <c r="Z116" t="str">
        <f>IFERROR(INDEX(הגדרות!$B$2:$B$17,MATCH(H116,הגדרות!$A$2:$A$17,0)),"")</f>
        <v>מדברי</v>
      </c>
      <c r="AA116">
        <f>IFERROR(INDEX(הגדרות!$C$2:$C$17,MATCH(H116,הגדרות!$A$2:$A$17,0)),"")</f>
        <v>0</v>
      </c>
      <c r="AB116" t="str">
        <f>IFERROR(INDEX(הגדרות!$B$2:$B$17,MATCH(I116,הגדרות!$A$2:$A$17,0)),"")</f>
        <v>מיוער</v>
      </c>
      <c r="AC116">
        <f>IFERROR(INDEX(הגדרות!$C$2:$C$17,MATCH(I116,הגדרות!$A$2:$A$17,0)),"")</f>
        <v>0</v>
      </c>
      <c r="AD116">
        <f>IF(AND(מלאי!D116&lt;&gt;"",OR('לוח בקרה'!$B$4="הכל",מלאי!Z116='לוח בקרה'!$B$4,מלאי!AA116='לוח בקרה'!$B$4,מלאי!AB116='לוח בקרה'!$B$4,מלאי!AC116='לוח בקרה'!$B$4),OR('לוח בקרה'!$B$5="הכל",מלאי!A116='לוח בקרה'!$B$5),OR('לוח בקרה'!$B$6="הכל",מלאי!B116='לוח בקרה'!$B$6),OR('לוח בקרה'!$B$7="הכל",מלאי!F116='לוח בקרה'!$B$7,מלאי!G116='לוח בקרה'!$B$7),OR('לוח בקרה'!$B$8="הכל",מלאי!T116='לוח בקרה'!$B$8),OR('לוח בקרה'!$B$9="הכל",מלאי!Q116='לוח בקרה'!$B$9),OR('לוח בקרה'!$E$4="הכל",מלאי!J116='לוח בקרה'!$E$4),OR('לוח בקרה'!$E$5="הכל",מלאי!L116='לוח בקרה'!$E$5),OR('לוח בקרה'!$E$6="הכל",מלאי!O116='לוח בקרה'!$E$6),OR('לוח בקרה'!$E$7="הכל",מלאי!R116='לוח בקרה'!$E$7),OR('לוח בקרה'!$E$8="הכל",'לוח בקרה'!$E$8="",מלאי!W116='לוח בקרה'!$E$8),OR('לוח בקרה'!$E$9="הכל",'לוח בקרה'!$E$9="",ISNUMBER(SEARCH('לוח בקרה'!$E$9,מלאי!C116)))),1,0)</f>
        <v>0</v>
      </c>
      <c r="AE116" t="e">
        <f>IF(AND(מלאי!D116&lt;&gt;"",OR('לוח בקרה טכנו-מבצעי'!$B$4="הכל",מלאי!Z116='לוח בקרה טכנו-מבצעי'!$B$4,מלאי!AA116='לוח בקרה טכנו-מבצעי'!$B$4,מלאי!AB116='לוח בקרה טכנו-מבצעי'!$B$4,מלאי!AC116='לוח בקרה טכנו-מבצעי'!$B$4),OR('לוח בקרה טכנו-מבצעי'!$B$5="הכל",מלאי!A116='לוח בקרה טכנו-מבצעי'!$B$5),OR('לוח בקרה טכנו-מבצעי'!$B$6="הכל",מלאי!B116='לוח בקרה טכנו-מבצעי'!$B$6),OR('לוח בקרה טכנו-מבצעי'!$B$7="הכל",מלאי!F116='לוח בקרה טכנו-מבצעי'!$B$7,מלאי!G116='לוח בקרה טכנו-מבצעי'!$B$7),OR('לוח בקרה טכנו-מבצעי'!$B$8="הכל",מלאי!T116='לוח בקרה טכנו-מבצעי'!$B$8),OR('לוח בקרה טכנו-מבצעי'!$B$9="הכל",מלאי!Q116='לוח בקרה טכנו-מבצעי'!$B$9),OR('לוח בקרה טכנו-מבצעי'!$E$4="הכל",מלאי!J116='לוח בקרה טכנו-מבצעי'!$E$4),OR('לוח בקרה טכנו-מבצעי'!$E$5="הכל",מלאי!L116='לוח בקרה טכנו-מבצעי'!$E$5),OR('לוח בקרה טכנו-מבצעי'!$E$6="הכל",מלאי!O116='לוח בקרה טכנו-מבצעי'!$E$6),OR('לוח בקרה טכנו-מבצעי'!$E$7="הכל",מלאי!R116='לוח בקרה טכנו-מבצעי'!$E$7),OR('לוח בקרה טכנו-מבצעי'!$E$8="הכל",'לוח בקרה טכנו-מבצעי'!$E$8="",מלאי!W116='לוח בקרה טכנו-מבצעי'!$E$8),OR('לוח בקרה טכנו-מבצעי'!$E$9="הכל",'לוח בקרה טכנו-מבצעי'!$E$9="",ISNUMBER(SEARCH('לוח בקרה טכנו-מבצעי'!$E$9,מלאי!C116))),OR('לוח בקרה טכנו-מבצעי'!$B$10="הכל",מלאי!#REF!='לוח בקרה טכנו-מבצעי'!$B$10)),1,0)</f>
        <v>#REF!</v>
      </c>
      <c r="AF116" t="str">
        <f>IF(AD116=1,COUNTIF($AD$3:$AD116,1),"")</f>
        <v/>
      </c>
      <c r="AG116" t="e">
        <f>IF(AE116=1,COUNTIF($AE$3:$AE116,1),"")</f>
        <v>#REF!</v>
      </c>
    </row>
    <row r="117" spans="1:33" ht="15" customHeight="1" x14ac:dyDescent="0.25">
      <c r="A117" s="17" t="s">
        <v>62</v>
      </c>
      <c r="B117" s="30" t="s">
        <v>98</v>
      </c>
      <c r="C117" s="17" t="s">
        <v>64</v>
      </c>
      <c r="D117" s="30" t="s">
        <v>364</v>
      </c>
      <c r="E117" s="17" t="str">
        <f>IFERROR(INDEX(הגדרות!$I$2:$I$47,MATCH(B117,הגדרות!$H$2:$H$47,0)),"")</f>
        <v>7021-00</v>
      </c>
      <c r="F117" s="17" t="s">
        <v>65</v>
      </c>
      <c r="G117" s="17"/>
      <c r="H117" s="17" t="s">
        <v>194</v>
      </c>
      <c r="I117" s="17"/>
      <c r="J117" s="17" t="s">
        <v>68</v>
      </c>
      <c r="K117" s="17" t="s">
        <v>68</v>
      </c>
      <c r="L117" s="17" t="s">
        <v>68</v>
      </c>
      <c r="M117" s="17" t="s">
        <v>68</v>
      </c>
      <c r="N117" s="17" t="s">
        <v>68</v>
      </c>
      <c r="O117" s="17"/>
      <c r="P117" s="17"/>
      <c r="Q117" s="17" t="s">
        <v>14</v>
      </c>
      <c r="R117" s="17"/>
      <c r="S117" s="17" t="s">
        <v>14</v>
      </c>
      <c r="T117" s="17" t="s">
        <v>69</v>
      </c>
      <c r="U117" s="17"/>
      <c r="V117" s="17"/>
      <c r="W117" s="17"/>
      <c r="X117" s="17"/>
      <c r="Y117" s="17"/>
      <c r="Z117" t="str">
        <f>IFERROR(INDEX(הגדרות!$B$2:$B$17,MATCH(H117,הגדרות!$A$2:$A$17,0)),"")</f>
        <v>שלג</v>
      </c>
      <c r="AA117">
        <f>IFERROR(INDEX(הגדרות!$C$2:$C$17,MATCH(H117,הגדרות!$A$2:$A$17,0)),"")</f>
        <v>0</v>
      </c>
      <c r="AB117" t="str">
        <f>IFERROR(INDEX(הגדרות!$B$2:$B$17,MATCH(I117,הגדרות!$A$2:$A$17,0)),"")</f>
        <v/>
      </c>
      <c r="AC117" t="str">
        <f>IFERROR(INDEX(הגדרות!$C$2:$C$17,MATCH(I117,הגדרות!$A$2:$A$17,0)),"")</f>
        <v/>
      </c>
      <c r="AD117">
        <f>IF(AND(מלאי!D117&lt;&gt;"",OR('לוח בקרה'!$B$4="הכל",מלאי!Z117='לוח בקרה'!$B$4,מלאי!AA117='לוח בקרה'!$B$4,מלאי!AB117='לוח בקרה'!$B$4,מלאי!AC117='לוח בקרה'!$B$4),OR('לוח בקרה'!$B$5="הכל",מלאי!A117='לוח בקרה'!$B$5),OR('לוח בקרה'!$B$6="הכל",מלאי!B117='לוח בקרה'!$B$6),OR('לוח בקרה'!$B$7="הכל",מלאי!F117='לוח בקרה'!$B$7,מלאי!G117='לוח בקרה'!$B$7),OR('לוח בקרה'!$B$8="הכל",מלאי!T117='לוח בקרה'!$B$8),OR('לוח בקרה'!$B$9="הכל",מלאי!Q117='לוח בקרה'!$B$9),OR('לוח בקרה'!$E$4="הכל",מלאי!J117='לוח בקרה'!$E$4),OR('לוח בקרה'!$E$5="הכל",מלאי!L117='לוח בקרה'!$E$5),OR('לוח בקרה'!$E$6="הכל",מלאי!O117='לוח בקרה'!$E$6),OR('לוח בקרה'!$E$7="הכל",מלאי!R117='לוח בקרה'!$E$7),OR('לוח בקרה'!$E$8="הכל",'לוח בקרה'!$E$8="",מלאי!W117='לוח בקרה'!$E$8),OR('לוח בקרה'!$E$9="הכל",'לוח בקרה'!$E$9="",ISNUMBER(SEARCH('לוח בקרה'!$E$9,מלאי!C117)))),1,0)</f>
        <v>0</v>
      </c>
      <c r="AE117" t="e">
        <f>IF(AND(מלאי!D117&lt;&gt;"",OR('לוח בקרה טכנו-מבצעי'!$B$4="הכל",מלאי!Z117='לוח בקרה טכנו-מבצעי'!$B$4,מלאי!AA117='לוח בקרה טכנו-מבצעי'!$B$4,מלאי!AB117='לוח בקרה טכנו-מבצעי'!$B$4,מלאי!AC117='לוח בקרה טכנו-מבצעי'!$B$4),OR('לוח בקרה טכנו-מבצעי'!$B$5="הכל",מלאי!A117='לוח בקרה טכנו-מבצעי'!$B$5),OR('לוח בקרה טכנו-מבצעי'!$B$6="הכל",מלאי!B117='לוח בקרה טכנו-מבצעי'!$B$6),OR('לוח בקרה טכנו-מבצעי'!$B$7="הכל",מלאי!F117='לוח בקרה טכנו-מבצעי'!$B$7,מלאי!G117='לוח בקרה טכנו-מבצעי'!$B$7),OR('לוח בקרה טכנו-מבצעי'!$B$8="הכל",מלאי!T117='לוח בקרה טכנו-מבצעי'!$B$8),OR('לוח בקרה טכנו-מבצעי'!$B$9="הכל",מלאי!Q117='לוח בקרה טכנו-מבצעי'!$B$9),OR('לוח בקרה טכנו-מבצעי'!$E$4="הכל",מלאי!J117='לוח בקרה טכנו-מבצעי'!$E$4),OR('לוח בקרה טכנו-מבצעי'!$E$5="הכל",מלאי!L117='לוח בקרה טכנו-מבצעי'!$E$5),OR('לוח בקרה טכנו-מבצעי'!$E$6="הכל",מלאי!O117='לוח בקרה טכנו-מבצעי'!$E$6),OR('לוח בקרה טכנו-מבצעי'!$E$7="הכל",מלאי!R117='לוח בקרה טכנו-מבצעי'!$E$7),OR('לוח בקרה טכנו-מבצעי'!$E$8="הכל",'לוח בקרה טכנו-מבצעי'!$E$8="",מלאי!W117='לוח בקרה טכנו-מבצעי'!$E$8),OR('לוח בקרה טכנו-מבצעי'!$E$9="הכל",'לוח בקרה טכנו-מבצעי'!$E$9="",ISNUMBER(SEARCH('לוח בקרה טכנו-מבצעי'!$E$9,מלאי!C117))),OR('לוח בקרה טכנו-מבצעי'!$B$10="הכל",מלאי!#REF!='לוח בקרה טכנו-מבצעי'!$B$10)),1,0)</f>
        <v>#REF!</v>
      </c>
      <c r="AF117" t="str">
        <f>IF(AD117=1,COUNTIF($AD$3:$AD117,1),"")</f>
        <v/>
      </c>
      <c r="AG117" t="e">
        <f>IF(AE117=1,COUNTIF($AE$3:$AE117,1),"")</f>
        <v>#REF!</v>
      </c>
    </row>
    <row r="118" spans="1:33" ht="15" customHeight="1" x14ac:dyDescent="0.25">
      <c r="A118" s="36" t="s">
        <v>171</v>
      </c>
      <c r="B118" s="36"/>
      <c r="C118" s="36"/>
      <c r="D118" s="41" t="s">
        <v>373</v>
      </c>
      <c r="E118" s="19" t="str">
        <f>IFERROR(INDEX(הגדרות!$I$2:$I$47,MATCH(B118,הגדרות!$H$2:$H$47,0)),"")</f>
        <v/>
      </c>
      <c r="F118" s="19" t="s">
        <v>108</v>
      </c>
      <c r="G118" s="19"/>
      <c r="H118" s="19" t="s">
        <v>96</v>
      </c>
      <c r="I118" s="19" t="s">
        <v>67</v>
      </c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7" t="s">
        <v>69</v>
      </c>
      <c r="U118" s="19"/>
      <c r="V118" s="19"/>
      <c r="W118" s="19"/>
      <c r="X118" s="19"/>
      <c r="Y118" s="19"/>
      <c r="Z118" t="str">
        <f>IFERROR(INDEX(הגדרות!$B$2:$B$17,MATCH(H118,הגדרות!$A$2:$A$17,0)),"")</f>
        <v>מדברי</v>
      </c>
      <c r="AA118">
        <f>IFERROR(INDEX(הגדרות!$C$2:$C$17,MATCH(H118,הגדרות!$A$2:$A$17,0)),"")</f>
        <v>0</v>
      </c>
      <c r="AB118" t="str">
        <f>IFERROR(INDEX(הגדרות!$B$2:$B$17,MATCH(I118,הגדרות!$A$2:$A$17,0)),"")</f>
        <v>מדברי</v>
      </c>
      <c r="AC118">
        <f>IFERROR(INDEX(הגדרות!$C$2:$C$17,MATCH(I118,הגדרות!$A$2:$A$17,0)),"")</f>
        <v>0</v>
      </c>
      <c r="AD118">
        <f>IF(AND(מלאי!D118&lt;&gt;"",OR('לוח בקרה'!$B$4="הכל",מלאי!Z118='לוח בקרה'!$B$4,מלאי!AA118='לוח בקרה'!$B$4,מלאי!AB118='לוח בקרה'!$B$4,מלאי!AC118='לוח בקרה'!$B$4),OR('לוח בקרה'!$B$5="הכל",מלאי!A118='לוח בקרה'!$B$5),OR('לוח בקרה'!$B$6="הכל",מלאי!B118='לוח בקרה'!$B$6),OR('לוח בקרה'!$B$7="הכל",מלאי!F118='לוח בקרה'!$B$7,מלאי!G118='לוח בקרה'!$B$7),OR('לוח בקרה'!$B$8="הכל",מלאי!T118='לוח בקרה'!$B$8),OR('לוח בקרה'!$B$9="הכל",מלאי!Q118='לוח בקרה'!$B$9),OR('לוח בקרה'!$E$4="הכל",מלאי!J118='לוח בקרה'!$E$4),OR('לוח בקרה'!$E$5="הכל",מלאי!L118='לוח בקרה'!$E$5),OR('לוח בקרה'!$E$6="הכל",מלאי!O118='לוח בקרה'!$E$6),OR('לוח בקרה'!$E$7="הכל",מלאי!R118='לוח בקרה'!$E$7),OR('לוח בקרה'!$E$8="הכל",'לוח בקרה'!$E$8="",מלאי!W118='לוח בקרה'!$E$8),OR('לוח בקרה'!$E$9="הכל",'לוח בקרה'!$E$9="",ISNUMBER(SEARCH('לוח בקרה'!$E$9,מלאי!C118)))),1,0)</f>
        <v>0</v>
      </c>
      <c r="AE118" t="e">
        <f>IF(AND(מלאי!D118&lt;&gt;"",OR('לוח בקרה טכנו-מבצעי'!$B$4="הכל",מלאי!Z118='לוח בקרה טכנו-מבצעי'!$B$4,מלאי!AA118='לוח בקרה טכנו-מבצעי'!$B$4,מלאי!AB118='לוח בקרה טכנו-מבצעי'!$B$4,מלאי!AC118='לוח בקרה טכנו-מבצעי'!$B$4),OR('לוח בקרה טכנו-מבצעי'!$B$5="הכל",מלאי!A118='לוח בקרה טכנו-מבצעי'!$B$5),OR('לוח בקרה טכנו-מבצעי'!$B$6="הכל",מלאי!B118='לוח בקרה טכנו-מבצעי'!$B$6),OR('לוח בקרה טכנו-מבצעי'!$B$7="הכל",מלאי!F118='לוח בקרה טכנו-מבצעי'!$B$7,מלאי!G118='לוח בקרה טכנו-מבצעי'!$B$7),OR('לוח בקרה טכנו-מבצעי'!$B$8="הכל",מלאי!T118='לוח בקרה טכנו-מבצעי'!$B$8),OR('לוח בקרה טכנו-מבצעי'!$B$9="הכל",מלאי!Q118='לוח בקרה טכנו-מבצעי'!$B$9),OR('לוח בקרה טכנו-מבצעי'!$E$4="הכל",מלאי!J118='לוח בקרה טכנו-מבצעי'!$E$4),OR('לוח בקרה טכנו-מבצעי'!$E$5="הכל",מלאי!L118='לוח בקרה טכנו-מבצעי'!$E$5),OR('לוח בקרה טכנו-מבצעי'!$E$6="הכל",מלאי!O118='לוח בקרה טכנו-מבצעי'!$E$6),OR('לוח בקרה טכנו-מבצעי'!$E$7="הכל",מלאי!R118='לוח בקרה טכנו-מבצעי'!$E$7),OR('לוח בקרה טכנו-מבצעי'!$E$8="הכל",'לוח בקרה טכנו-מבצעי'!$E$8="",מלאי!W118='לוח בקרה טכנו-מבצעי'!$E$8),OR('לוח בקרה טכנו-מבצעי'!$E$9="הכל",'לוח בקרה טכנו-מבצעי'!$E$9="",ISNUMBER(SEARCH('לוח בקרה טכנו-מבצעי'!$E$9,מלאי!C118))),OR('לוח בקרה טכנו-מבצעי'!$B$10="הכל",מלאי!#REF!='לוח בקרה טכנו-מבצעי'!$B$10)),1,0)</f>
        <v>#REF!</v>
      </c>
      <c r="AF118" t="str">
        <f>IF(AD118=1,COUNTIF($AD$3:$AD118,1),"")</f>
        <v/>
      </c>
      <c r="AG118" t="e">
        <f>IF(AE118=1,COUNTIF($AE$3:$AE118,1),"")</f>
        <v>#REF!</v>
      </c>
    </row>
    <row r="119" spans="1:33" ht="15" customHeight="1" x14ac:dyDescent="0.25">
      <c r="A119" s="36" t="s">
        <v>171</v>
      </c>
      <c r="B119" s="36"/>
      <c r="C119" s="36"/>
      <c r="D119" s="41" t="s">
        <v>374</v>
      </c>
      <c r="E119" s="19" t="str">
        <f>IFERROR(INDEX(הגדרות!$I$2:$I$47,MATCH(B119,הגדרות!$H$2:$H$47,0)),"")</f>
        <v/>
      </c>
      <c r="F119" s="19" t="s">
        <v>108</v>
      </c>
      <c r="G119" s="19"/>
      <c r="H119" s="19" t="s">
        <v>96</v>
      </c>
      <c r="I119" s="19" t="s">
        <v>67</v>
      </c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7" t="s">
        <v>69</v>
      </c>
      <c r="U119" s="19"/>
      <c r="V119" s="19"/>
      <c r="W119" s="19"/>
      <c r="X119" s="19"/>
      <c r="Y119" s="19"/>
      <c r="Z119" t="str">
        <f>IFERROR(INDEX(הגדרות!$B$2:$B$17,MATCH(H119,הגדרות!$A$2:$A$17,0)),"")</f>
        <v>מדברי</v>
      </c>
      <c r="AA119">
        <f>IFERROR(INDEX(הגדרות!$C$2:$C$17,MATCH(H119,הגדרות!$A$2:$A$17,0)),"")</f>
        <v>0</v>
      </c>
      <c r="AB119" t="str">
        <f>IFERROR(INDEX(הגדרות!$B$2:$B$17,MATCH(I119,הגדרות!$A$2:$A$17,0)),"")</f>
        <v>מדברי</v>
      </c>
      <c r="AC119">
        <f>IFERROR(INDEX(הגדרות!$C$2:$C$17,MATCH(I119,הגדרות!$A$2:$A$17,0)),"")</f>
        <v>0</v>
      </c>
      <c r="AD119">
        <f>IF(AND(מלאי!D119&lt;&gt;"",OR('לוח בקרה'!$B$4="הכל",מלאי!Z119='לוח בקרה'!$B$4,מלאי!AA119='לוח בקרה'!$B$4,מלאי!AB119='לוח בקרה'!$B$4,מלאי!AC119='לוח בקרה'!$B$4),OR('לוח בקרה'!$B$5="הכל",מלאי!A119='לוח בקרה'!$B$5),OR('לוח בקרה'!$B$6="הכל",מלאי!B119='לוח בקרה'!$B$6),OR('לוח בקרה'!$B$7="הכל",מלאי!F119='לוח בקרה'!$B$7,מלאי!G119='לוח בקרה'!$B$7),OR('לוח בקרה'!$B$8="הכל",מלאי!T119='לוח בקרה'!$B$8),OR('לוח בקרה'!$B$9="הכל",מלאי!Q119='לוח בקרה'!$B$9),OR('לוח בקרה'!$E$4="הכל",מלאי!J119='לוח בקרה'!$E$4),OR('לוח בקרה'!$E$5="הכל",מלאי!L119='לוח בקרה'!$E$5),OR('לוח בקרה'!$E$6="הכל",מלאי!O119='לוח בקרה'!$E$6),OR('לוח בקרה'!$E$7="הכל",מלאי!R119='לוח בקרה'!$E$7),OR('לוח בקרה'!$E$8="הכל",'לוח בקרה'!$E$8="",מלאי!W119='לוח בקרה'!$E$8),OR('לוח בקרה'!$E$9="הכל",'לוח בקרה'!$E$9="",ISNUMBER(SEARCH('לוח בקרה'!$E$9,מלאי!C119)))),1,0)</f>
        <v>0</v>
      </c>
      <c r="AE119" t="e">
        <f>IF(AND(מלאי!D119&lt;&gt;"",OR('לוח בקרה טכנו-מבצעי'!$B$4="הכל",מלאי!Z119='לוח בקרה טכנו-מבצעי'!$B$4,מלאי!AA119='לוח בקרה טכנו-מבצעי'!$B$4,מלאי!AB119='לוח בקרה טכנו-מבצעי'!$B$4,מלאי!AC119='לוח בקרה טכנו-מבצעי'!$B$4),OR('לוח בקרה טכנו-מבצעי'!$B$5="הכל",מלאי!A119='לוח בקרה טכנו-מבצעי'!$B$5),OR('לוח בקרה טכנו-מבצעי'!$B$6="הכל",מלאי!B119='לוח בקרה טכנו-מבצעי'!$B$6),OR('לוח בקרה טכנו-מבצעי'!$B$7="הכל",מלאי!F119='לוח בקרה טכנו-מבצעי'!$B$7,מלאי!G119='לוח בקרה טכנו-מבצעי'!$B$7),OR('לוח בקרה טכנו-מבצעי'!$B$8="הכל",מלאי!T119='לוח בקרה טכנו-מבצעי'!$B$8),OR('לוח בקרה טכנו-מבצעי'!$B$9="הכל",מלאי!Q119='לוח בקרה טכנו-מבצעי'!$B$9),OR('לוח בקרה טכנו-מבצעי'!$E$4="הכל",מלאי!J119='לוח בקרה טכנו-מבצעי'!$E$4),OR('לוח בקרה טכנו-מבצעי'!$E$5="הכל",מלאי!L119='לוח בקרה טכנו-מבצעי'!$E$5),OR('לוח בקרה טכנו-מבצעי'!$E$6="הכל",מלאי!O119='לוח בקרה טכנו-מבצעי'!$E$6),OR('לוח בקרה טכנו-מבצעי'!$E$7="הכל",מלאי!R119='לוח בקרה טכנו-מבצעי'!$E$7),OR('לוח בקרה טכנו-מבצעי'!$E$8="הכל",'לוח בקרה טכנו-מבצעי'!$E$8="",מלאי!W119='לוח בקרה טכנו-מבצעי'!$E$8),OR('לוח בקרה טכנו-מבצעי'!$E$9="הכל",'לוח בקרה טכנו-מבצעי'!$E$9="",ISNUMBER(SEARCH('לוח בקרה טכנו-מבצעי'!$E$9,מלאי!C119))),OR('לוח בקרה טכנו-מבצעי'!$B$10="הכל",מלאי!#REF!='לוח בקרה טכנו-מבצעי'!$B$10)),1,0)</f>
        <v>#REF!</v>
      </c>
      <c r="AF119" t="str">
        <f>IF(AD119=1,COUNTIF($AD$3:$AD119,1),"")</f>
        <v/>
      </c>
      <c r="AG119" t="e">
        <f>IF(AE119=1,COUNTIF($AE$3:$AE119,1),"")</f>
        <v>#REF!</v>
      </c>
    </row>
    <row r="120" spans="1:33" ht="15" customHeight="1" x14ac:dyDescent="0.25">
      <c r="A120" s="36" t="s">
        <v>171</v>
      </c>
      <c r="B120" s="36"/>
      <c r="C120" s="36"/>
      <c r="D120" s="41" t="s">
        <v>375</v>
      </c>
      <c r="E120" s="19" t="str">
        <f>IFERROR(INDEX(הגדרות!$I$2:$I$47,MATCH(B120,הגדרות!$H$2:$H$47,0)),"")</f>
        <v/>
      </c>
      <c r="F120" s="19" t="s">
        <v>108</v>
      </c>
      <c r="G120" s="19"/>
      <c r="H120" s="19" t="s">
        <v>96</v>
      </c>
      <c r="I120" s="19" t="s">
        <v>67</v>
      </c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7" t="s">
        <v>69</v>
      </c>
      <c r="U120" s="19"/>
      <c r="V120" s="19"/>
      <c r="W120" s="19"/>
      <c r="X120" s="19"/>
      <c r="Y120" s="19"/>
      <c r="Z120" t="str">
        <f>IFERROR(INDEX(הגדרות!$B$2:$B$17,MATCH(H120,הגדרות!$A$2:$A$17,0)),"")</f>
        <v>מדברי</v>
      </c>
      <c r="AA120">
        <f>IFERROR(INDEX(הגדרות!$C$2:$C$17,MATCH(H120,הגדרות!$A$2:$A$17,0)),"")</f>
        <v>0</v>
      </c>
      <c r="AB120" t="str">
        <f>IFERROR(INDEX(הגדרות!$B$2:$B$17,MATCH(I120,הגדרות!$A$2:$A$17,0)),"")</f>
        <v>מדברי</v>
      </c>
      <c r="AC120">
        <f>IFERROR(INDEX(הגדרות!$C$2:$C$17,MATCH(I120,הגדרות!$A$2:$A$17,0)),"")</f>
        <v>0</v>
      </c>
      <c r="AD120">
        <f>IF(AND(מלאי!D120&lt;&gt;"",OR('לוח בקרה'!$B$4="הכל",מלאי!Z120='לוח בקרה'!$B$4,מלאי!AA120='לוח בקרה'!$B$4,מלאי!AB120='לוח בקרה'!$B$4,מלאי!AC120='לוח בקרה'!$B$4),OR('לוח בקרה'!$B$5="הכל",מלאי!A120='לוח בקרה'!$B$5),OR('לוח בקרה'!$B$6="הכל",מלאי!B120='לוח בקרה'!$B$6),OR('לוח בקרה'!$B$7="הכל",מלאי!F120='לוח בקרה'!$B$7,מלאי!G120='לוח בקרה'!$B$7),OR('לוח בקרה'!$B$8="הכל",מלאי!T120='לוח בקרה'!$B$8),OR('לוח בקרה'!$B$9="הכל",מלאי!Q120='לוח בקרה'!$B$9),OR('לוח בקרה'!$E$4="הכל",מלאי!J120='לוח בקרה'!$E$4),OR('לוח בקרה'!$E$5="הכל",מלאי!L120='לוח בקרה'!$E$5),OR('לוח בקרה'!$E$6="הכל",מלאי!O120='לוח בקרה'!$E$6),OR('לוח בקרה'!$E$7="הכל",מלאי!R120='לוח בקרה'!$E$7),OR('לוח בקרה'!$E$8="הכל",'לוח בקרה'!$E$8="",מלאי!W120='לוח בקרה'!$E$8),OR('לוח בקרה'!$E$9="הכל",'לוח בקרה'!$E$9="",ISNUMBER(SEARCH('לוח בקרה'!$E$9,מלאי!C120)))),1,0)</f>
        <v>0</v>
      </c>
      <c r="AE120" t="e">
        <f>IF(AND(מלאי!D120&lt;&gt;"",OR('לוח בקרה טכנו-מבצעי'!$B$4="הכל",מלאי!Z120='לוח בקרה טכנו-מבצעי'!$B$4,מלאי!AA120='לוח בקרה טכנו-מבצעי'!$B$4,מלאי!AB120='לוח בקרה טכנו-מבצעי'!$B$4,מלאי!AC120='לוח בקרה טכנו-מבצעי'!$B$4),OR('לוח בקרה טכנו-מבצעי'!$B$5="הכל",מלאי!A120='לוח בקרה טכנו-מבצעי'!$B$5),OR('לוח בקרה טכנו-מבצעי'!$B$6="הכל",מלאי!B120='לוח בקרה טכנו-מבצעי'!$B$6),OR('לוח בקרה טכנו-מבצעי'!$B$7="הכל",מלאי!F120='לוח בקרה טכנו-מבצעי'!$B$7,מלאי!G120='לוח בקרה טכנו-מבצעי'!$B$7),OR('לוח בקרה טכנו-מבצעי'!$B$8="הכל",מלאי!T120='לוח בקרה טכנו-מבצעי'!$B$8),OR('לוח בקרה טכנו-מבצעי'!$B$9="הכל",מלאי!Q120='לוח בקרה טכנו-מבצעי'!$B$9),OR('לוח בקרה טכנו-מבצעי'!$E$4="הכל",מלאי!J120='לוח בקרה טכנו-מבצעי'!$E$4),OR('לוח בקרה טכנו-מבצעי'!$E$5="הכל",מלאי!L120='לוח בקרה טכנו-מבצעי'!$E$5),OR('לוח בקרה טכנו-מבצעי'!$E$6="הכל",מלאי!O120='לוח בקרה טכנו-מבצעי'!$E$6),OR('לוח בקרה טכנו-מבצעי'!$E$7="הכל",מלאי!R120='לוח בקרה טכנו-מבצעי'!$E$7),OR('לוח בקרה טכנו-מבצעי'!$E$8="הכל",'לוח בקרה טכנו-מבצעי'!$E$8="",מלאי!W120='לוח בקרה טכנו-מבצעי'!$E$8),OR('לוח בקרה טכנו-מבצעי'!$E$9="הכל",'לוח בקרה טכנו-מבצעי'!$E$9="",ISNUMBER(SEARCH('לוח בקרה טכנו-מבצעי'!$E$9,מלאי!C120))),OR('לוח בקרה טכנו-מבצעי'!$B$10="הכל",מלאי!#REF!='לוח בקרה טכנו-מבצעי'!$B$10)),1,0)</f>
        <v>#REF!</v>
      </c>
      <c r="AF120" t="str">
        <f>IF(AD120=1,COUNTIF($AD$3:$AD120,1),"")</f>
        <v/>
      </c>
      <c r="AG120" t="e">
        <f>IF(AE120=1,COUNTIF($AE$3:$AE120,1),"")</f>
        <v>#REF!</v>
      </c>
    </row>
    <row r="121" spans="1:33" ht="15" customHeight="1" x14ac:dyDescent="0.25">
      <c r="A121" s="36" t="s">
        <v>171</v>
      </c>
      <c r="B121" s="36"/>
      <c r="C121" s="36"/>
      <c r="D121" s="41" t="s">
        <v>376</v>
      </c>
      <c r="E121" s="19" t="str">
        <f>IFERROR(INDEX(הגדרות!$I$2:$I$47,MATCH(B121,הגדרות!$H$2:$H$47,0)),"")</f>
        <v/>
      </c>
      <c r="F121" s="19" t="s">
        <v>108</v>
      </c>
      <c r="G121" s="19"/>
      <c r="H121" s="19" t="s">
        <v>110</v>
      </c>
      <c r="I121" s="19" t="s">
        <v>67</v>
      </c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7" t="s">
        <v>69</v>
      </c>
      <c r="U121" s="19"/>
      <c r="V121" s="19"/>
      <c r="W121" s="19"/>
      <c r="X121" s="19"/>
      <c r="Y121" s="19"/>
      <c r="Z121" t="str">
        <f>IFERROR(INDEX(הגדרות!$B$2:$B$17,MATCH(H121,הגדרות!$A$2:$A$17,0)),"")</f>
        <v>מיוער</v>
      </c>
      <c r="AA121" t="str">
        <f>IFERROR(INDEX(הגדרות!$C$2:$C$17,MATCH(H121,הגדרות!$A$2:$A$17,0)),"")</f>
        <v>בולדר/שטח בנוי</v>
      </c>
      <c r="AB121" t="str">
        <f>IFERROR(INDEX(הגדרות!$B$2:$B$17,MATCH(#REF!,הגדרות!$A$2:$A$17,0)),"")</f>
        <v/>
      </c>
      <c r="AC121" t="str">
        <f>IFERROR(INDEX(הגדרות!$C$2:$C$17,MATCH(#REF!,הגדרות!$A$2:$A$17,0)),"")</f>
        <v/>
      </c>
      <c r="AD121">
        <f>IF(AND(מלאי!D121&lt;&gt;"",OR('לוח בקרה'!$B$4="הכל",מלאי!Z121='לוח בקרה'!$B$4,מלאי!AA121='לוח בקרה'!$B$4,מלאי!AB121='לוח בקרה'!$B$4,מלאי!AC121='לוח בקרה'!$B$4),OR('לוח בקרה'!$B$5="הכל",מלאי!A121='לוח בקרה'!$B$5),OR('לוח בקרה'!$B$6="הכל",מלאי!B121='לוח בקרה'!$B$6),OR('לוח בקרה'!$B$7="הכל",מלאי!F121='לוח בקרה'!$B$7,מלאי!G121='לוח בקרה'!$B$7),OR('לוח בקרה'!$B$8="הכל",מלאי!T121='לוח בקרה'!$B$8),OR('לוח בקרה'!$B$9="הכל",מלאי!Q121='לוח בקרה'!$B$9),OR('לוח בקרה'!$E$4="הכל",מלאי!J121='לוח בקרה'!$E$4),OR('לוח בקרה'!$E$5="הכל",מלאי!L121='לוח בקרה'!$E$5),OR('לוח בקרה'!$E$6="הכל",מלאי!O121='לוח בקרה'!$E$6),OR('לוח בקרה'!$E$7="הכל",מלאי!R121='לוח בקרה'!$E$7),OR('לוח בקרה'!$E$8="הכל",'לוח בקרה'!$E$8="",מלאי!W121='לוח בקרה'!$E$8),OR('לוח בקרה'!$E$9="הכל",'לוח בקרה'!$E$9="",ISNUMBER(SEARCH('לוח בקרה'!$E$9,מלאי!C121)))),1,0)</f>
        <v>0</v>
      </c>
      <c r="AE121" t="e">
        <f>IF(AND(מלאי!D121&lt;&gt;"",OR('לוח בקרה טכנו-מבצעי'!$B$4="הכל",מלאי!Z121='לוח בקרה טכנו-מבצעי'!$B$4,מלאי!AA121='לוח בקרה טכנו-מבצעי'!$B$4,מלאי!AB121='לוח בקרה טכנו-מבצעי'!$B$4,מלאי!AC121='לוח בקרה טכנו-מבצעי'!$B$4),OR('לוח בקרה טכנו-מבצעי'!$B$5="הכל",מלאי!A121='לוח בקרה טכנו-מבצעי'!$B$5),OR('לוח בקרה טכנו-מבצעי'!$B$6="הכל",מלאי!B121='לוח בקרה טכנו-מבצעי'!$B$6),OR('לוח בקרה טכנו-מבצעי'!$B$7="הכל",מלאי!F121='לוח בקרה טכנו-מבצעי'!$B$7,מלאי!G121='לוח בקרה טכנו-מבצעי'!$B$7),OR('לוח בקרה טכנו-מבצעי'!$B$8="הכל",מלאי!T121='לוח בקרה טכנו-מבצעי'!$B$8),OR('לוח בקרה טכנו-מבצעי'!$B$9="הכל",מלאי!Q121='לוח בקרה טכנו-מבצעי'!$B$9),OR('לוח בקרה טכנו-מבצעי'!$E$4="הכל",מלאי!J121='לוח בקרה טכנו-מבצעי'!$E$4),OR('לוח בקרה טכנו-מבצעי'!$E$5="הכל",מלאי!L121='לוח בקרה טכנו-מבצעי'!$E$5),OR('לוח בקרה טכנו-מבצעי'!$E$6="הכל",מלאי!O121='לוח בקרה טכנו-מבצעי'!$E$6),OR('לוח בקרה טכנו-מבצעי'!$E$7="הכל",מלאי!R121='לוח בקרה טכנו-מבצעי'!$E$7),OR('לוח בקרה טכנו-מבצעי'!$E$8="הכל",'לוח בקרה טכנו-מבצעי'!$E$8="",מלאי!W121='לוח בקרה טכנו-מבצעי'!$E$8),OR('לוח בקרה טכנו-מבצעי'!$E$9="הכל",'לוח בקרה טכנו-מבצעי'!$E$9="",ISNUMBER(SEARCH('לוח בקרה טכנו-מבצעי'!$E$9,מלאי!C121))),OR('לוח בקרה טכנו-מבצעי'!$B$10="הכל",מלאי!#REF!='לוח בקרה טכנו-מבצעי'!$B$10)),1,0)</f>
        <v>#REF!</v>
      </c>
      <c r="AF121" t="str">
        <f>IF(AD121=1,COUNTIF($AD$3:$AD121,1),"")</f>
        <v/>
      </c>
      <c r="AG121" t="e">
        <f>IF(AE121=1,COUNTIF($AE$3:$AE121,1),"")</f>
        <v>#REF!</v>
      </c>
    </row>
    <row r="122" spans="1:33" ht="15" customHeight="1" x14ac:dyDescent="0.25">
      <c r="A122" s="36" t="s">
        <v>171</v>
      </c>
      <c r="B122" s="36"/>
      <c r="C122" s="36"/>
      <c r="D122" s="41" t="s">
        <v>377</v>
      </c>
      <c r="E122" s="19" t="str">
        <f>IFERROR(INDEX(הגדרות!$I$2:$I$47,MATCH(B122,הגדרות!$H$2:$H$47,0)),"")</f>
        <v/>
      </c>
      <c r="F122" s="19" t="s">
        <v>108</v>
      </c>
      <c r="G122" s="19"/>
      <c r="H122" s="19" t="s">
        <v>95</v>
      </c>
      <c r="I122" s="35" t="s">
        <v>66</v>
      </c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7" t="s">
        <v>69</v>
      </c>
      <c r="U122" s="19"/>
      <c r="V122" s="19"/>
      <c r="W122" s="19"/>
      <c r="X122" s="19"/>
      <c r="Y122" s="19"/>
      <c r="Z122" t="str">
        <f>IFERROR(INDEX(הגדרות!$B$2:$B$17,MATCH(H122,הגדרות!$A$2:$A$17,0)),"")</f>
        <v>מיוער</v>
      </c>
      <c r="AA122">
        <f>IFERROR(INDEX(הגדרות!$C$2:$C$17,MATCH(H122,הגדרות!$A$2:$A$17,0)),"")</f>
        <v>0</v>
      </c>
      <c r="AB122" t="str">
        <f>IFERROR(INDEX(הגדרות!$B$2:$B$17,MATCH(I121,הגדרות!$A$2:$A$17,0)),"")</f>
        <v>מדברי</v>
      </c>
      <c r="AC122">
        <f>IFERROR(INDEX(הגדרות!$C$2:$C$17,MATCH(I121,הגדרות!$A$2:$A$17,0)),"")</f>
        <v>0</v>
      </c>
      <c r="AD122">
        <f>IF(AND(מלאי!D122&lt;&gt;"",OR('לוח בקרה'!$B$4="הכל",מלאי!Z122='לוח בקרה'!$B$4,מלאי!AA122='לוח בקרה'!$B$4,מלאי!AB122='לוח בקרה'!$B$4,מלאי!AC122='לוח בקרה'!$B$4),OR('לוח בקרה'!$B$5="הכל",מלאי!A122='לוח בקרה'!$B$5),OR('לוח בקרה'!$B$6="הכל",מלאי!B122='לוח בקרה'!$B$6),OR('לוח בקרה'!$B$7="הכל",מלאי!F122='לוח בקרה'!$B$7,מלאי!G122='לוח בקרה'!$B$7),OR('לוח בקרה'!$B$8="הכל",מלאי!T122='לוח בקרה'!$B$8),OR('לוח בקרה'!$B$9="הכל",מלאי!Q122='לוח בקרה'!$B$9),OR('לוח בקרה'!$E$4="הכל",מלאי!J122='לוח בקרה'!$E$4),OR('לוח בקרה'!$E$5="הכל",מלאי!L122='לוח בקרה'!$E$5),OR('לוח בקרה'!$E$6="הכל",מלאי!O122='לוח בקרה'!$E$6),OR('לוח בקרה'!$E$7="הכל",מלאי!R122='לוח בקרה'!$E$7),OR('לוח בקרה'!$E$8="הכל",'לוח בקרה'!$E$8="",מלאי!W122='לוח בקרה'!$E$8),OR('לוח בקרה'!$E$9="הכל",'לוח בקרה'!$E$9="",ISNUMBER(SEARCH('לוח בקרה'!$E$9,מלאי!C122)))),1,0)</f>
        <v>0</v>
      </c>
      <c r="AE122" t="e">
        <f>IF(AND(מלאי!D122&lt;&gt;"",OR('לוח בקרה טכנו-מבצעי'!$B$4="הכל",מלאי!Z122='לוח בקרה טכנו-מבצעי'!$B$4,מלאי!AA122='לוח בקרה טכנו-מבצעי'!$B$4,מלאי!AB122='לוח בקרה טכנו-מבצעי'!$B$4,מלאי!AC122='לוח בקרה טכנו-מבצעי'!$B$4),OR('לוח בקרה טכנו-מבצעי'!$B$5="הכל",מלאי!A122='לוח בקרה טכנו-מבצעי'!$B$5),OR('לוח בקרה טכנו-מבצעי'!$B$6="הכל",מלאי!B122='לוח בקרה טכנו-מבצעי'!$B$6),OR('לוח בקרה טכנו-מבצעי'!$B$7="הכל",מלאי!F122='לוח בקרה טכנו-מבצעי'!$B$7,מלאי!G122='לוח בקרה טכנו-מבצעי'!$B$7),OR('לוח בקרה טכנו-מבצעי'!$B$8="הכל",מלאי!T122='לוח בקרה טכנו-מבצעי'!$B$8),OR('לוח בקרה טכנו-מבצעי'!$B$9="הכל",מלאי!Q122='לוח בקרה טכנו-מבצעי'!$B$9),OR('לוח בקרה טכנו-מבצעי'!$E$4="הכל",מלאי!J122='לוח בקרה טכנו-מבצעי'!$E$4),OR('לוח בקרה טכנו-מבצעי'!$E$5="הכל",מלאי!L122='לוח בקרה טכנו-מבצעי'!$E$5),OR('לוח בקרה טכנו-מבצעי'!$E$6="הכל",מלאי!O122='לוח בקרה טכנו-מבצעי'!$E$6),OR('לוח בקרה טכנו-מבצעי'!$E$7="הכל",מלאי!R122='לוח בקרה טכנו-מבצעי'!$E$7),OR('לוח בקרה טכנו-מבצעי'!$E$8="הכל",'לוח בקרה טכנו-מבצעי'!$E$8="",מלאי!W122='לוח בקרה טכנו-מבצעי'!$E$8),OR('לוח בקרה טכנו-מבצעי'!$E$9="הכל",'לוח בקרה טכנו-מבצעי'!$E$9="",ISNUMBER(SEARCH('לוח בקרה טכנו-מבצעי'!$E$9,מלאי!C122))),OR('לוח בקרה טכנו-מבצעי'!$B$10="הכל",מלאי!#REF!='לוח בקרה טכנו-מבצעי'!$B$10)),1,0)</f>
        <v>#REF!</v>
      </c>
      <c r="AF122" t="str">
        <f>IF(AD122=1,COUNTIF($AD$3:$AD122,1),"")</f>
        <v/>
      </c>
      <c r="AG122" t="e">
        <f>IF(AE122=1,COUNTIF($AE$3:$AE122,1),"")</f>
        <v>#REF!</v>
      </c>
    </row>
    <row r="123" spans="1:33" ht="15" customHeight="1" x14ac:dyDescent="0.25">
      <c r="A123" s="36" t="s">
        <v>171</v>
      </c>
      <c r="B123" s="36"/>
      <c r="C123" s="36"/>
      <c r="D123" s="41" t="s">
        <v>378</v>
      </c>
      <c r="E123" s="19" t="str">
        <f>IFERROR(INDEX(הגדרות!$I$2:$I$47,MATCH(B123,הגדרות!$H$2:$H$47,0)),"")</f>
        <v/>
      </c>
      <c r="F123" s="19" t="s">
        <v>108</v>
      </c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7" t="s">
        <v>69</v>
      </c>
      <c r="U123" s="19"/>
      <c r="V123" s="19"/>
      <c r="W123" s="19"/>
      <c r="X123" s="19"/>
      <c r="Y123" s="19"/>
      <c r="Z123" t="str">
        <f>IFERROR(INDEX(הגדרות!$B$2:$B$17,MATCH(H123,הגדרות!$A$2:$A$17,0)),"")</f>
        <v/>
      </c>
      <c r="AA123" t="str">
        <f>IFERROR(INDEX(הגדרות!$C$2:$C$17,MATCH(H123,הגדרות!$A$2:$A$17,0)),"")</f>
        <v/>
      </c>
      <c r="AB123" t="str">
        <f>IFERROR(INDEX(הגדרות!$B$2:$B$17,MATCH(I123,הגדרות!$A$2:$A$17,0)),"")</f>
        <v/>
      </c>
      <c r="AC123" t="str">
        <f>IFERROR(INDEX(הגדרות!$C$2:$C$17,MATCH(I123,הגדרות!$A$2:$A$17,0)),"")</f>
        <v/>
      </c>
      <c r="AD123">
        <f>IF(AND(מלאי!D123&lt;&gt;"",OR('לוח בקרה'!$B$4="הכל",מלאי!Z123='לוח בקרה'!$B$4,מלאי!AA123='לוח בקרה'!$B$4,מלאי!AB123='לוח בקרה'!$B$4,מלאי!AC123='לוח בקרה'!$B$4),OR('לוח בקרה'!$B$5="הכל",מלאי!A123='לוח בקרה'!$B$5),OR('לוח בקרה'!$B$6="הכל",מלאי!B123='לוח בקרה'!$B$6),OR('לוח בקרה'!$B$7="הכל",מלאי!F123='לוח בקרה'!$B$7,מלאי!G123='לוח בקרה'!$B$7),OR('לוח בקרה'!$B$8="הכל",מלאי!T123='לוח בקרה'!$B$8),OR('לוח בקרה'!$B$9="הכל",מלאי!Q123='לוח בקרה'!$B$9),OR('לוח בקרה'!$E$4="הכל",מלאי!J123='לוח בקרה'!$E$4),OR('לוח בקרה'!$E$5="הכל",מלאי!L123='לוח בקרה'!$E$5),OR('לוח בקרה'!$E$6="הכל",מלאי!O123='לוח בקרה'!$E$6),OR('לוח בקרה'!$E$7="הכל",מלאי!R123='לוח בקרה'!$E$7),OR('לוח בקרה'!$E$8="הכל",'לוח בקרה'!$E$8="",מלאי!W123='לוח בקרה'!$E$8),OR('לוח בקרה'!$E$9="הכל",'לוח בקרה'!$E$9="",ISNUMBER(SEARCH('לוח בקרה'!$E$9,מלאי!C123)))),1,0)</f>
        <v>0</v>
      </c>
      <c r="AE123" t="e">
        <f>IF(AND(מלאי!D123&lt;&gt;"",OR('לוח בקרה טכנו-מבצעי'!$B$4="הכל",מלאי!Z123='לוח בקרה טכנו-מבצעי'!$B$4,מלאי!AA123='לוח בקרה טכנו-מבצעי'!$B$4,מלאי!AB123='לוח בקרה טכנו-מבצעי'!$B$4,מלאי!AC123='לוח בקרה טכנו-מבצעי'!$B$4),OR('לוח בקרה טכנו-מבצעי'!$B$5="הכל",מלאי!A123='לוח בקרה טכנו-מבצעי'!$B$5),OR('לוח בקרה טכנו-מבצעי'!$B$6="הכל",מלאי!B123='לוח בקרה טכנו-מבצעי'!$B$6),OR('לוח בקרה טכנו-מבצעי'!$B$7="הכל",מלאי!F123='לוח בקרה טכנו-מבצעי'!$B$7,מלאי!G123='לוח בקרה טכנו-מבצעי'!$B$7),OR('לוח בקרה טכנו-מבצעי'!$B$8="הכל",מלאי!T123='לוח בקרה טכנו-מבצעי'!$B$8),OR('לוח בקרה טכנו-מבצעי'!$B$9="הכל",מלאי!Q123='לוח בקרה טכנו-מבצעי'!$B$9),OR('לוח בקרה טכנו-מבצעי'!$E$4="הכל",מלאי!J123='לוח בקרה טכנו-מבצעי'!$E$4),OR('לוח בקרה טכנו-מבצעי'!$E$5="הכל",מלאי!L123='לוח בקרה טכנו-מבצעי'!$E$5),OR('לוח בקרה טכנו-מבצעי'!$E$6="הכל",מלאי!O123='לוח בקרה טכנו-מבצעי'!$E$6),OR('לוח בקרה טכנו-מבצעי'!$E$7="הכל",מלאי!R123='לוח בקרה טכנו-מבצעי'!$E$7),OR('לוח בקרה טכנו-מבצעי'!$E$8="הכל",'לוח בקרה טכנו-מבצעי'!$E$8="",מלאי!W123='לוח בקרה טכנו-מבצעי'!$E$8),OR('לוח בקרה טכנו-מבצעי'!$E$9="הכל",'לוח בקרה טכנו-מבצעי'!$E$9="",ISNUMBER(SEARCH('לוח בקרה טכנו-מבצעי'!$E$9,מלאי!C123))),OR('לוח בקרה טכנו-מבצעי'!$B$10="הכל",מלאי!#REF!='לוח בקרה טכנו-מבצעי'!$B$10)),1,0)</f>
        <v>#REF!</v>
      </c>
      <c r="AF123" t="str">
        <f>IF(AD123=1,COUNTIF($AD$3:$AD123,1),"")</f>
        <v/>
      </c>
      <c r="AG123" t="e">
        <f>IF(AE123=1,COUNTIF($AE$3:$AE123,1),"")</f>
        <v>#REF!</v>
      </c>
    </row>
    <row r="124" spans="1:33" ht="15" customHeight="1" x14ac:dyDescent="0.25">
      <c r="A124" s="36" t="s">
        <v>171</v>
      </c>
      <c r="B124" s="36"/>
      <c r="C124" s="36"/>
      <c r="D124" s="41" t="s">
        <v>379</v>
      </c>
      <c r="E124" s="19" t="str">
        <f>IFERROR(INDEX(הגדרות!$I$2:$I$47,MATCH(B124,הגדרות!$H$2:$H$47,0)),"")</f>
        <v/>
      </c>
      <c r="F124" s="19" t="s">
        <v>108</v>
      </c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7" t="s">
        <v>69</v>
      </c>
      <c r="U124" s="19"/>
      <c r="V124" s="19"/>
      <c r="W124" s="19"/>
      <c r="X124" s="19"/>
      <c r="Y124" s="19"/>
      <c r="Z124" t="str">
        <f>IFERROR(INDEX(הגדרות!$B$2:$B$17,MATCH(H124,הגדרות!$A$2:$A$17,0)),"")</f>
        <v/>
      </c>
      <c r="AA124" t="str">
        <f>IFERROR(INDEX(הגדרות!$C$2:$C$17,MATCH(H124,הגדרות!$A$2:$A$17,0)),"")</f>
        <v/>
      </c>
      <c r="AB124" t="str">
        <f>IFERROR(INDEX(הגדרות!$B$2:$B$17,MATCH(I124,הגדרות!$A$2:$A$17,0)),"")</f>
        <v/>
      </c>
      <c r="AC124" t="str">
        <f>IFERROR(INDEX(הגדרות!$C$2:$C$17,MATCH(I124,הגדרות!$A$2:$A$17,0)),"")</f>
        <v/>
      </c>
      <c r="AD124">
        <f>IF(AND(מלאי!D124&lt;&gt;"",OR('לוח בקרה'!$B$4="הכל",מלאי!Z124='לוח בקרה'!$B$4,מלאי!AA124='לוח בקרה'!$B$4,מלאי!AB124='לוח בקרה'!$B$4,מלאי!AC124='לוח בקרה'!$B$4),OR('לוח בקרה'!$B$5="הכל",מלאי!A124='לוח בקרה'!$B$5),OR('לוח בקרה'!$B$6="הכל",מלאי!B124='לוח בקרה'!$B$6),OR('לוח בקרה'!$B$7="הכל",מלאי!F124='לוח בקרה'!$B$7,מלאי!G124='לוח בקרה'!$B$7),OR('לוח בקרה'!$B$8="הכל",מלאי!T124='לוח בקרה'!$B$8),OR('לוח בקרה'!$B$9="הכל",מלאי!Q124='לוח בקרה'!$B$9),OR('לוח בקרה'!$E$4="הכל",מלאי!J124='לוח בקרה'!$E$4),OR('לוח בקרה'!$E$5="הכל",מלאי!L124='לוח בקרה'!$E$5),OR('לוח בקרה'!$E$6="הכל",מלאי!O124='לוח בקרה'!$E$6),OR('לוח בקרה'!$E$7="הכל",מלאי!R124='לוח בקרה'!$E$7),OR('לוח בקרה'!$E$8="הכל",'לוח בקרה'!$E$8="",מלאי!W124='לוח בקרה'!$E$8),OR('לוח בקרה'!$E$9="הכל",'לוח בקרה'!$E$9="",ISNUMBER(SEARCH('לוח בקרה'!$E$9,מלאי!C124)))),1,0)</f>
        <v>0</v>
      </c>
      <c r="AE124" t="e">
        <f>IF(AND(מלאי!D124&lt;&gt;"",OR('לוח בקרה טכנו-מבצעי'!$B$4="הכל",מלאי!Z124='לוח בקרה טכנו-מבצעי'!$B$4,מלאי!AA124='לוח בקרה טכנו-מבצעי'!$B$4,מלאי!AB124='לוח בקרה טכנו-מבצעי'!$B$4,מלאי!AC124='לוח בקרה טכנו-מבצעי'!$B$4),OR('לוח בקרה טכנו-מבצעי'!$B$5="הכל",מלאי!A124='לוח בקרה טכנו-מבצעי'!$B$5),OR('לוח בקרה טכנו-מבצעי'!$B$6="הכל",מלאי!B124='לוח בקרה טכנו-מבצעי'!$B$6),OR('לוח בקרה טכנו-מבצעי'!$B$7="הכל",מלאי!F124='לוח בקרה טכנו-מבצעי'!$B$7,מלאי!G124='לוח בקרה טכנו-מבצעי'!$B$7),OR('לוח בקרה טכנו-מבצעי'!$B$8="הכל",מלאי!T124='לוח בקרה טכנו-מבצעי'!$B$8),OR('לוח בקרה טכנו-מבצעי'!$B$9="הכל",מלאי!Q124='לוח בקרה טכנו-מבצעי'!$B$9),OR('לוח בקרה טכנו-מבצעי'!$E$4="הכל",מלאי!J124='לוח בקרה טכנו-מבצעי'!$E$4),OR('לוח בקרה טכנו-מבצעי'!$E$5="הכל",מלאי!L124='לוח בקרה טכנו-מבצעי'!$E$5),OR('לוח בקרה טכנו-מבצעי'!$E$6="הכל",מלאי!O124='לוח בקרה טכנו-מבצעי'!$E$6),OR('לוח בקרה טכנו-מבצעי'!$E$7="הכל",מלאי!R124='לוח בקרה טכנו-מבצעי'!$E$7),OR('לוח בקרה טכנו-מבצעי'!$E$8="הכל",'לוח בקרה טכנו-מבצעי'!$E$8="",מלאי!W124='לוח בקרה טכנו-מבצעי'!$E$8),OR('לוח בקרה טכנו-מבצעי'!$E$9="הכל",'לוח בקרה טכנו-מבצעי'!$E$9="",ISNUMBER(SEARCH('לוח בקרה טכנו-מבצעי'!$E$9,מלאי!C124))),OR('לוח בקרה טכנו-מבצעי'!$B$10="הכל",מלאי!#REF!='לוח בקרה טכנו-מבצעי'!$B$10)),1,0)</f>
        <v>#REF!</v>
      </c>
      <c r="AF124" t="str">
        <f>IF(AD124=1,COUNTIF($AD$3:$AD124,1),"")</f>
        <v/>
      </c>
      <c r="AG124" t="e">
        <f>IF(AE124=1,COUNTIF($AE$3:$AE124,1),"")</f>
        <v>#REF!</v>
      </c>
    </row>
    <row r="125" spans="1:33" ht="15" customHeight="1" x14ac:dyDescent="0.25">
      <c r="A125" s="36" t="s">
        <v>171</v>
      </c>
      <c r="B125" s="42" t="s">
        <v>236</v>
      </c>
      <c r="C125" s="43" t="s">
        <v>64</v>
      </c>
      <c r="D125" s="41" t="s">
        <v>379</v>
      </c>
      <c r="E125" s="19" t="str">
        <f>IFERROR(INDEX(הגדרות!$I$2:$I$47,MATCH(B125,הגדרות!$H$2:$H$47,0)),"")</f>
        <v>9026-00</v>
      </c>
      <c r="F125" s="19" t="s">
        <v>108</v>
      </c>
      <c r="G125" s="19"/>
      <c r="H125" s="19"/>
      <c r="I125" s="19"/>
      <c r="J125" s="17" t="s">
        <v>68</v>
      </c>
      <c r="K125" s="17" t="s">
        <v>68</v>
      </c>
      <c r="L125" s="17" t="s">
        <v>68</v>
      </c>
      <c r="M125" s="17" t="s">
        <v>68</v>
      </c>
      <c r="N125" s="17" t="s">
        <v>68</v>
      </c>
      <c r="O125" s="19"/>
      <c r="P125" s="19"/>
      <c r="Q125" s="19"/>
      <c r="R125" s="19"/>
      <c r="S125" s="19"/>
      <c r="T125" s="17" t="s">
        <v>69</v>
      </c>
      <c r="U125" s="19"/>
      <c r="V125" s="19"/>
      <c r="W125" s="19"/>
      <c r="X125" s="19"/>
      <c r="Y125" s="19"/>
      <c r="Z125" t="str">
        <f>IFERROR(INDEX(הגדרות!$B$2:$B$17,MATCH(H125,הגדרות!$A$2:$A$17,0)),"")</f>
        <v/>
      </c>
      <c r="AA125" t="str">
        <f>IFERROR(INDEX(הגדרות!$C$2:$C$17,MATCH(H125,הגדרות!$A$2:$A$17,0)),"")</f>
        <v/>
      </c>
      <c r="AB125" t="str">
        <f>IFERROR(INDEX(הגדרות!$B$2:$B$17,MATCH(I125,הגדרות!$A$2:$A$17,0)),"")</f>
        <v/>
      </c>
      <c r="AC125" t="str">
        <f>IFERROR(INDEX(הגדרות!$C$2:$C$17,MATCH(I125,הגדרות!$A$2:$A$17,0)),"")</f>
        <v/>
      </c>
      <c r="AD125">
        <f>IF(AND(מלאי!D125&lt;&gt;"",OR('לוח בקרה'!$B$4="הכל",מלאי!Z125='לוח בקרה'!$B$4,מלאי!AA125='לוח בקרה'!$B$4,מלאי!AB125='לוח בקרה'!$B$4,מלאי!AC125='לוח בקרה'!$B$4),OR('לוח בקרה'!$B$5="הכל",מלאי!A125='לוח בקרה'!$B$5),OR('לוח בקרה'!$B$6="הכל",מלאי!B125='לוח בקרה'!$B$6),OR('לוח בקרה'!$B$7="הכל",מלאי!F125='לוח בקרה'!$B$7,מלאי!G125='לוח בקרה'!$B$7),OR('לוח בקרה'!$B$8="הכל",מלאי!T125='לוח בקרה'!$B$8),OR('לוח בקרה'!$B$9="הכל",מלאי!Q125='לוח בקרה'!$B$9),OR('לוח בקרה'!$E$4="הכל",מלאי!J125='לוח בקרה'!$E$4),OR('לוח בקרה'!$E$5="הכל",מלאי!L125='לוח בקרה'!$E$5),OR('לוח בקרה'!$E$6="הכל",מלאי!O125='לוח בקרה'!$E$6),OR('לוח בקרה'!$E$7="הכל",מלאי!R125='לוח בקרה'!$E$7),OR('לוח בקרה'!$E$8="הכל",'לוח בקרה'!$E$8="",מלאי!W125='לוח בקרה'!$E$8),OR('לוח בקרה'!$E$9="הכל",'לוח בקרה'!$E$9="",ISNUMBER(SEARCH('לוח בקרה'!$E$9,מלאי!C125)))),1,0)</f>
        <v>0</v>
      </c>
      <c r="AE125" t="e">
        <f>IF(AND(מלאי!D125&lt;&gt;"",OR('לוח בקרה טכנו-מבצעי'!$B$4="הכל",מלאי!Z125='לוח בקרה טכנו-מבצעי'!$B$4,מלאי!AA125='לוח בקרה טכנו-מבצעי'!$B$4,מלאי!AB125='לוח בקרה טכנו-מבצעי'!$B$4,מלאי!AC125='לוח בקרה טכנו-מבצעי'!$B$4),OR('לוח בקרה טכנו-מבצעי'!$B$5="הכל",מלאי!A125='לוח בקרה טכנו-מבצעי'!$B$5),OR('לוח בקרה טכנו-מבצעי'!$B$6="הכל",מלאי!B125='לוח בקרה טכנו-מבצעי'!$B$6),OR('לוח בקרה טכנו-מבצעי'!$B$7="הכל",מלאי!F125='לוח בקרה טכנו-מבצעי'!$B$7,מלאי!G125='לוח בקרה טכנו-מבצעי'!$B$7),OR('לוח בקרה טכנו-מבצעי'!$B$8="הכל",מלאי!T125='לוח בקרה טכנו-מבצעי'!$B$8),OR('לוח בקרה טכנו-מבצעי'!$B$9="הכל",מלאי!Q125='לוח בקרה טכנו-מבצעי'!$B$9),OR('לוח בקרה טכנו-מבצעי'!$E$4="הכל",מלאי!J125='לוח בקרה טכנו-מבצעי'!$E$4),OR('לוח בקרה טכנו-מבצעי'!$E$5="הכל",מלאי!L125='לוח בקרה טכנו-מבצעי'!$E$5),OR('לוח בקרה טכנו-מבצעי'!$E$6="הכל",מלאי!O125='לוח בקרה טכנו-מבצעי'!$E$6),OR('לוח בקרה טכנו-מבצעי'!$E$7="הכל",מלאי!R125='לוח בקרה טכנו-מבצעי'!$E$7),OR('לוח בקרה טכנו-מבצעי'!$E$8="הכל",'לוח בקרה טכנו-מבצעי'!$E$8="",מלאי!W125='לוח בקרה טכנו-מבצעי'!$E$8),OR('לוח בקרה טכנו-מבצעי'!$E$9="הכל",'לוח בקרה טכנו-מבצעי'!$E$9="",ISNUMBER(SEARCH('לוח בקרה טכנו-מבצעי'!$E$9,מלאי!C125))),OR('לוח בקרה טכנו-מבצעי'!$B$10="הכל",מלאי!#REF!='לוח בקרה טכנו-מבצעי'!$B$10)),1,0)</f>
        <v>#REF!</v>
      </c>
      <c r="AF125" t="str">
        <f>IF(AD125=1,COUNTIF($AD$3:$AD125,1),"")</f>
        <v/>
      </c>
      <c r="AG125" t="e">
        <f>IF(AE125=1,COUNTIF($AE$3:$AE125,1),"")</f>
        <v>#REF!</v>
      </c>
    </row>
    <row r="126" spans="1:33" ht="15" customHeight="1" x14ac:dyDescent="0.25">
      <c r="A126" s="17" t="s">
        <v>62</v>
      </c>
      <c r="B126" t="s">
        <v>63</v>
      </c>
      <c r="C126" s="17" t="s">
        <v>64</v>
      </c>
      <c r="D126" s="30" t="s">
        <v>380</v>
      </c>
      <c r="E126" s="17" t="str">
        <f>IFERROR(INDEX(הגדרות!$I$2:$I$47,MATCH(B126,הגדרות!$H$2:$H$47,0)),"")</f>
        <v>7031-01</v>
      </c>
      <c r="F126" s="17" t="s">
        <v>65</v>
      </c>
      <c r="G126" s="17"/>
      <c r="H126" s="17" t="s">
        <v>66</v>
      </c>
      <c r="I126" s="17" t="s">
        <v>67</v>
      </c>
      <c r="J126" s="17" t="s">
        <v>68</v>
      </c>
      <c r="K126" s="17" t="s">
        <v>68</v>
      </c>
      <c r="L126" s="17" t="s">
        <v>68</v>
      </c>
      <c r="M126" s="17" t="s">
        <v>68</v>
      </c>
      <c r="N126" s="19" t="s">
        <v>68</v>
      </c>
      <c r="O126" s="17" t="s">
        <v>14</v>
      </c>
      <c r="P126" s="17"/>
      <c r="Q126" s="17" t="s">
        <v>14</v>
      </c>
      <c r="R126" s="17"/>
      <c r="S126" s="17" t="s">
        <v>14</v>
      </c>
      <c r="T126" s="17" t="s">
        <v>69</v>
      </c>
      <c r="U126" s="17"/>
      <c r="V126" s="17"/>
      <c r="W126" s="17"/>
      <c r="X126" s="17"/>
      <c r="Y126" s="17"/>
      <c r="Z126" t="str">
        <f>IFERROR(INDEX(הגדרות!$B$2:$B$17,MATCH(H126,הגדרות!$A$2:$A$17,0)),"")</f>
        <v>מיוער</v>
      </c>
      <c r="AA126">
        <f>IFERROR(INDEX(הגדרות!$C$2:$C$17,MATCH(H126,הגדרות!$A$2:$A$17,0)),"")</f>
        <v>0</v>
      </c>
      <c r="AB126" t="str">
        <f>IFERROR(INDEX(הגדרות!$B$2:$B$17,MATCH(I126,הגדרות!$A$2:$A$17,0)),"")</f>
        <v>מדברי</v>
      </c>
      <c r="AC126">
        <f>IFERROR(INDEX(הגדרות!$C$2:$C$17,MATCH(I126,הגדרות!$A$2:$A$17,0)),"")</f>
        <v>0</v>
      </c>
      <c r="AD126">
        <f>IF(AND(מלאי!D126&lt;&gt;"",OR('לוח בקרה'!$B$4="הכל",מלאי!Z126='לוח בקרה'!$B$4,מלאי!AA126='לוח בקרה'!$B$4,מלאי!AB126='לוח בקרה'!$B$4,מלאי!AC126='לוח בקרה'!$B$4),OR('לוח בקרה'!$B$5="הכל",מלאי!A126='לוח בקרה'!$B$5),OR('לוח בקרה'!$B$6="הכל",מלאי!B126='לוח בקרה'!$B$6),OR('לוח בקרה'!$B$7="הכל",מלאי!F126='לוח בקרה'!$B$7,מלאי!G126='לוח בקרה'!$B$7),OR('לוח בקרה'!$B$8="הכל",מלאי!T126='לוח בקרה'!$B$8),OR('לוח בקרה'!$B$9="הכל",מלאי!Q126='לוח בקרה'!$B$9),OR('לוח בקרה'!$E$4="הכל",מלאי!J126='לוח בקרה'!$E$4),OR('לוח בקרה'!$E$5="הכל",מלאי!L126='לוח בקרה'!$E$5),OR('לוח בקרה'!$E$6="הכל",מלאי!O126='לוח בקרה'!$E$6),OR('לוח בקרה'!$E$7="הכל",מלאי!R126='לוח בקרה'!$E$7),OR('לוח בקרה'!$E$8="הכל",'לוח בקרה'!$E$8="",מלאי!W126='לוח בקרה'!$E$8),OR('לוח בקרה'!$E$9="הכל",'לוח בקרה'!$E$9="",ISNUMBER(SEARCH('לוח בקרה'!$E$9,מלאי!C126)))),1,0)</f>
        <v>0</v>
      </c>
      <c r="AE126" t="e">
        <f>IF(AND(מלאי!D126&lt;&gt;"",OR('לוח בקרה טכנו-מבצעי'!$B$4="הכל",מלאי!Z126='לוח בקרה טכנו-מבצעי'!$B$4,מלאי!AA126='לוח בקרה טכנו-מבצעי'!$B$4,מלאי!AB126='לוח בקרה טכנו-מבצעי'!$B$4,מלאי!AC126='לוח בקרה טכנו-מבצעי'!$B$4),OR('לוח בקרה טכנו-מבצעי'!$B$5="הכל",מלאי!A126='לוח בקרה טכנו-מבצעי'!$B$5),OR('לוח בקרה טכנו-מבצעי'!$B$6="הכל",מלאי!B126='לוח בקרה טכנו-מבצעי'!$B$6),OR('לוח בקרה טכנו-מבצעי'!$B$7="הכל",מלאי!F126='לוח בקרה טכנו-מבצעי'!$B$7,מלאי!G126='לוח בקרה טכנו-מבצעי'!$B$7),OR('לוח בקרה טכנו-מבצעי'!$B$8="הכל",מלאי!T126='לוח בקרה טכנו-מבצעי'!$B$8),OR('לוח בקרה טכנו-מבצעי'!$B$9="הכל",מלאי!Q126='לוח בקרה טכנו-מבצעי'!$B$9),OR('לוח בקרה טכנו-מבצעי'!$E$4="הכל",מלאי!J126='לוח בקרה טכנו-מבצעי'!$E$4),OR('לוח בקרה טכנו-מבצעי'!$E$5="הכל",מלאי!L126='לוח בקרה טכנו-מבצעי'!$E$5),OR('לוח בקרה טכנו-מבצעי'!$E$6="הכל",מלאי!O126='לוח בקרה טכנו-מבצעי'!$E$6),OR('לוח בקרה טכנו-מבצעי'!$E$7="הכל",מלאי!R126='לוח בקרה טכנו-מבצעי'!$E$7),OR('לוח בקרה טכנו-מבצעי'!$E$8="הכל",'לוח בקרה טכנו-מבצעי'!$E$8="",מלאי!W126='לוח בקרה טכנו-מבצעי'!$E$8),OR('לוח בקרה טכנו-מבצעי'!$E$9="הכל",'לוח בקרה טכנו-מבצעי'!$E$9="",ISNUMBER(SEARCH('לוח בקרה טכנו-מבצעי'!$E$9,מלאי!C126))),OR('לוח בקרה טכנו-מבצעי'!$B$10="הכל",מלאי!#REF!='לוח בקרה טכנו-מבצעי'!$B$10)),1,0)</f>
        <v>#REF!</v>
      </c>
      <c r="AF126" t="str">
        <f>IF(AD126=1,COUNTIF($AD$3:$AD126,1),"")</f>
        <v/>
      </c>
      <c r="AG126" t="e">
        <f>IF(AE126=1,COUNTIF($AE$3:$AE126,1),"")</f>
        <v>#REF!</v>
      </c>
    </row>
    <row r="127" spans="1:33" ht="15" customHeight="1" x14ac:dyDescent="0.25">
      <c r="A127" s="19" t="s">
        <v>62</v>
      </c>
      <c r="B127" t="s">
        <v>83</v>
      </c>
      <c r="C127" s="19" t="s">
        <v>64</v>
      </c>
      <c r="D127" s="29" t="s">
        <v>381</v>
      </c>
      <c r="E127" s="19" t="str">
        <f>IFERROR(INDEX(הגדרות!$I$2:$I$47,MATCH(B127,הגדרות!$H$2:$H$47,0)),"")</f>
        <v>7004-01</v>
      </c>
      <c r="F127" s="19" t="s">
        <v>65</v>
      </c>
      <c r="G127" s="19"/>
      <c r="H127" t="s">
        <v>66</v>
      </c>
      <c r="I127" t="s">
        <v>67</v>
      </c>
      <c r="J127" s="19" t="s">
        <v>68</v>
      </c>
      <c r="K127" s="19" t="s">
        <v>68</v>
      </c>
      <c r="L127" s="19" t="s">
        <v>68</v>
      </c>
      <c r="M127" s="19" t="s">
        <v>68</v>
      </c>
      <c r="N127" s="19"/>
      <c r="O127" s="19" t="s">
        <v>68</v>
      </c>
      <c r="P127" s="19"/>
      <c r="Q127" s="19" t="s">
        <v>14</v>
      </c>
      <c r="R127" s="19"/>
      <c r="S127" s="19" t="s">
        <v>14</v>
      </c>
      <c r="T127" s="19" t="s">
        <v>69</v>
      </c>
      <c r="U127" s="19"/>
      <c r="V127" s="19"/>
      <c r="W127" s="19"/>
      <c r="X127" s="19"/>
      <c r="Y127" s="19"/>
      <c r="Z127" t="str">
        <f>IFERROR(INDEX(הגדרות!$B$2:$B$17,MATCH(H127,הגדרות!$A$2:$A$17,0)),"")</f>
        <v>מיוער</v>
      </c>
      <c r="AA127">
        <f>IFERROR(INDEX(הגדרות!$C$2:$C$17,MATCH(H127,הגדרות!$A$2:$A$17,0)),"")</f>
        <v>0</v>
      </c>
      <c r="AB127" t="str">
        <f>IFERROR(INDEX(הגדרות!$B$2:$B$17,MATCH(I127,הגדרות!$A$2:$A$17,0)),"")</f>
        <v>מדברי</v>
      </c>
      <c r="AC127">
        <f>IFERROR(INDEX(הגדרות!$C$2:$C$17,MATCH(I127,הגדרות!$A$2:$A$17,0)),"")</f>
        <v>0</v>
      </c>
      <c r="AD127">
        <f>IF(AND(מלאי!D127&lt;&gt;"",OR('לוח בקרה'!$B$4="הכל",מלאי!Z127='לוח בקרה'!$B$4,מלאי!AA127='לוח בקרה'!$B$4,מלאי!AB127='לוח בקרה'!$B$4,מלאי!AC127='לוח בקרה'!$B$4),OR('לוח בקרה'!$B$5="הכל",מלאי!A127='לוח בקרה'!$B$5),OR('לוח בקרה'!$B$6="הכל",מלאי!B127='לוח בקרה'!$B$6),OR('לוח בקרה'!$B$7="הכל",מלאי!F127='לוח בקרה'!$B$7,מלאי!G127='לוח בקרה'!$B$7),OR('לוח בקרה'!$B$8="הכל",מלאי!T127='לוח בקרה'!$B$8),OR('לוח בקרה'!$B$9="הכל",מלאי!Q127='לוח בקרה'!$B$9),OR('לוח בקרה'!$E$4="הכל",מלאי!J127='לוח בקרה'!$E$4),OR('לוח בקרה'!$E$5="הכל",מלאי!L127='לוח בקרה'!$E$5),OR('לוח בקרה'!$E$6="הכל",מלאי!O127='לוח בקרה'!$E$6),OR('לוח בקרה'!$E$7="הכל",מלאי!R127='לוח בקרה'!$E$7),OR('לוח בקרה'!$E$8="הכל",'לוח בקרה'!$E$8="",מלאי!W127='לוח בקרה'!$E$8),OR('לוח בקרה'!$E$9="הכל",'לוח בקרה'!$E$9="",ISNUMBER(SEARCH('לוח בקרה'!$E$9,מלאי!C127)))),1,0)</f>
        <v>1</v>
      </c>
      <c r="AE127" t="e">
        <f>IF(AND(מלאי!D127&lt;&gt;"",OR('לוח בקרה טכנו-מבצעי'!$B$4="הכל",מלאי!Z127='לוח בקרה טכנו-מבצעי'!$B$4,מלאי!AA127='לוח בקרה טכנו-מבצעי'!$B$4,מלאי!AB127='לוח בקרה טכנו-מבצעי'!$B$4,מלאי!AC127='לוח בקרה טכנו-מבצעי'!$B$4),OR('לוח בקרה טכנו-מבצעי'!$B$5="הכל",מלאי!A127='לוח בקרה טכנו-מבצעי'!$B$5),OR('לוח בקרה טכנו-מבצעי'!$B$6="הכל",מלאי!B127='לוח בקרה טכנו-מבצעי'!$B$6),OR('לוח בקרה טכנו-מבצעי'!$B$7="הכל",מלאי!F127='לוח בקרה טכנו-מבצעי'!$B$7,מלאי!G127='לוח בקרה טכנו-מבצעי'!$B$7),OR('לוח בקרה טכנו-מבצעי'!$B$8="הכל",מלאי!T127='לוח בקרה טכנו-מבצעי'!$B$8),OR('לוח בקרה טכנו-מבצעי'!$B$9="הכל",מלאי!Q127='לוח בקרה טכנו-מבצעי'!$B$9),OR('לוח בקרה טכנו-מבצעי'!$E$4="הכל",מלאי!J127='לוח בקרה טכנו-מבצעי'!$E$4),OR('לוח בקרה טכנו-מבצעי'!$E$5="הכל",מלאי!L127='לוח בקרה טכנו-מבצעי'!$E$5),OR('לוח בקרה טכנו-מבצעי'!$E$6="הכל",מלאי!O127='לוח בקרה טכנו-מבצעי'!$E$6),OR('לוח בקרה טכנו-מבצעי'!$E$7="הכל",מלאי!R127='לוח בקרה טכנו-מבצעי'!$E$7),OR('לוח בקרה טכנו-מבצעי'!$E$8="הכל",'לוח בקרה טכנו-מבצעי'!$E$8="",מלאי!W127='לוח בקרה טכנו-מבצעי'!$E$8),OR('לוח בקרה טכנו-מבצעי'!$E$9="הכל",'לוח בקרה טכנו-מבצעי'!$E$9="",ISNUMBER(SEARCH('לוח בקרה טכנו-מבצעי'!$E$9,מלאי!C127))),OR('לוח בקרה טכנו-מבצעי'!$B$10="הכל",מלאי!#REF!='לוח בקרה טכנו-מבצעי'!$B$10)),1,0)</f>
        <v>#REF!</v>
      </c>
      <c r="AF127">
        <f>IF(AD127=1,COUNTIF($AD$3:$AD127,1),"")</f>
        <v>27</v>
      </c>
      <c r="AG127" t="e">
        <f>IF(AE127=1,COUNTIF($AE$3:$AE127,1),"")</f>
        <v>#REF!</v>
      </c>
    </row>
    <row r="128" spans="1:33" ht="15" customHeight="1" x14ac:dyDescent="0.25">
      <c r="A128" s="17" t="s">
        <v>62</v>
      </c>
      <c r="B128" t="s">
        <v>72</v>
      </c>
      <c r="C128" s="17" t="s">
        <v>64</v>
      </c>
      <c r="D128" s="30" t="s">
        <v>390</v>
      </c>
      <c r="E128" s="17" t="str">
        <f>IFERROR(INDEX(הגדרות!$I$2:$I$47,MATCH(B128,הגדרות!$H$2:$H$47,0)),"")</f>
        <v>7030-01</v>
      </c>
      <c r="F128" s="17" t="s">
        <v>73</v>
      </c>
      <c r="G128" s="17"/>
      <c r="H128" t="s">
        <v>74</v>
      </c>
      <c r="I128" t="s">
        <v>77</v>
      </c>
      <c r="J128" s="17" t="s">
        <v>68</v>
      </c>
      <c r="K128" s="17" t="s">
        <v>68</v>
      </c>
      <c r="L128" s="17" t="s">
        <v>68</v>
      </c>
      <c r="M128" s="17" t="s">
        <v>68</v>
      </c>
      <c r="N128" s="17"/>
      <c r="O128" s="17" t="s">
        <v>14</v>
      </c>
      <c r="P128" s="17"/>
      <c r="Q128" s="17" t="s">
        <v>14</v>
      </c>
      <c r="R128" s="17"/>
      <c r="S128" s="17" t="s">
        <v>14</v>
      </c>
      <c r="T128" s="17" t="s">
        <v>69</v>
      </c>
      <c r="U128" s="17"/>
      <c r="V128" s="17"/>
      <c r="W128" s="17"/>
      <c r="X128" s="17"/>
      <c r="Y128" s="17"/>
      <c r="Z128" t="str">
        <f>IFERROR(INDEX(הגדרות!$B$2:$B$17,MATCH(H128,הגדרות!$A$2:$A$17,0)),"")</f>
        <v>מיוער</v>
      </c>
      <c r="AA128">
        <f>IFERROR(INDEX(הגדרות!$C$2:$C$17,MATCH(H128,הגדרות!$A$2:$A$17,0)),"")</f>
        <v>0</v>
      </c>
      <c r="AB128" t="str">
        <f>IFERROR(INDEX(הגדרות!$B$2:$B$17,MATCH(I128,הגדרות!$A$2:$A$17,0)),"")</f>
        <v>מדברי</v>
      </c>
      <c r="AC128">
        <f>IFERROR(INDEX(הגדרות!$C$2:$C$17,MATCH(I128,הגדרות!$A$2:$A$17,0)),"")</f>
        <v>0</v>
      </c>
      <c r="AD128">
        <f>IF(AND(מלאי!D128&lt;&gt;"",OR('לוח בקרה'!$B$4="הכל",מלאי!Z128='לוח בקרה'!$B$4,מלאי!AA128='לוח בקרה'!$B$4,מלאי!AB128='לוח בקרה'!$B$4,מלאי!AC128='לוח בקרה'!$B$4),OR('לוח בקרה'!$B$5="הכל",מלאי!A128='לוח בקרה'!$B$5),OR('לוח בקרה'!$B$6="הכל",מלאי!B128='לוח בקרה'!$B$6),OR('לוח בקרה'!$B$7="הכל",מלאי!F128='לוח בקרה'!$B$7,מלאי!G128='לוח בקרה'!$B$7),OR('לוח בקרה'!$B$8="הכל",מלאי!T128='לוח בקרה'!$B$8),OR('לוח בקרה'!$B$9="הכל",מלאי!Q128='לוח בקרה'!$B$9),OR('לוח בקרה'!$E$4="הכל",מלאי!J128='לוח בקרה'!$E$4),OR('לוח בקרה'!$E$5="הכל",מלאי!L128='לוח בקרה'!$E$5),OR('לוח בקרה'!$E$6="הכל",מלאי!O128='לוח בקרה'!$E$6),OR('לוח בקרה'!$E$7="הכל",מלאי!R128='לוח בקרה'!$E$7),OR('לוח בקרה'!$E$8="הכל",'לוח בקרה'!$E$8="",מלאי!W128='לוח בקרה'!$E$8),OR('לוח בקרה'!$E$9="הכל",'לוח בקרה'!$E$9="",ISNUMBER(SEARCH('לוח בקרה'!$E$9,מלאי!C128)))),1,0)</f>
        <v>0</v>
      </c>
      <c r="AE128" t="e">
        <f>IF(AND(מלאי!D128&lt;&gt;"",OR('לוח בקרה טכנו-מבצעי'!$B$4="הכל",מלאי!Z128='לוח בקרה טכנו-מבצעי'!$B$4,מלאי!AA128='לוח בקרה טכנו-מבצעי'!$B$4,מלאי!AB128='לוח בקרה טכנו-מבצעי'!$B$4,מלאי!AC128='לוח בקרה טכנו-מבצעי'!$B$4),OR('לוח בקרה טכנו-מבצעי'!$B$5="הכל",מלאי!A128='לוח בקרה טכנו-מבצעי'!$B$5),OR('לוח בקרה טכנו-מבצעי'!$B$6="הכל",מלאי!B128='לוח בקרה טכנו-מבצעי'!$B$6),OR('לוח בקרה טכנו-מבצעי'!$B$7="הכל",מלאי!F128='לוח בקרה טכנו-מבצעי'!$B$7,מלאי!G128='לוח בקרה טכנו-מבצעי'!$B$7),OR('לוח בקרה טכנו-מבצעי'!$B$8="הכל",מלאי!T128='לוח בקרה טכנו-מבצעי'!$B$8),OR('לוח בקרה טכנו-מבצעי'!$B$9="הכל",מלאי!Q128='לוח בקרה טכנו-מבצעי'!$B$9),OR('לוח בקרה טכנו-מבצעי'!$E$4="הכל",מלאי!J128='לוח בקרה טכנו-מבצעי'!$E$4),OR('לוח בקרה טכנו-מבצעי'!$E$5="הכל",מלאי!L128='לוח בקרה טכנו-מבצעי'!$E$5),OR('לוח בקרה טכנו-מבצעי'!$E$6="הכל",מלאי!O128='לוח בקרה טכנו-מבצעי'!$E$6),OR('לוח בקרה טכנו-מבצעי'!$E$7="הכל",מלאי!R128='לוח בקרה טכנו-מבצעי'!$E$7),OR('לוח בקרה טכנו-מבצעי'!$E$8="הכל",'לוח בקרה טכנו-מבצעי'!$E$8="",מלאי!W128='לוח בקרה טכנו-מבצעי'!$E$8),OR('לוח בקרה טכנו-מבצעי'!$E$9="הכל",'לוח בקרה טכנו-מבצעי'!$E$9="",ISNUMBER(SEARCH('לוח בקרה טכנו-מבצעי'!$E$9,מלאי!C128))),OR('לוח בקרה טכנו-מבצעי'!$B$10="הכל",מלאי!#REF!='לוח בקרה טכנו-מבצעי'!$B$10)),1,0)</f>
        <v>#REF!</v>
      </c>
      <c r="AF128" t="str">
        <f>IF(AD128=1,COUNTIF($AD$3:$AD128,1),"")</f>
        <v/>
      </c>
      <c r="AG128" t="e">
        <f>IF(AE128=1,COUNTIF($AE$3:$AE128,1),"")</f>
        <v>#REF!</v>
      </c>
    </row>
    <row r="129" spans="1:33" ht="15" customHeight="1" x14ac:dyDescent="0.25">
      <c r="A129" s="39" t="s">
        <v>106</v>
      </c>
      <c r="B129" s="39" t="s">
        <v>219</v>
      </c>
      <c r="C129" s="39" t="s">
        <v>396</v>
      </c>
      <c r="D129" s="39"/>
      <c r="E129" s="17" t="str">
        <f>IFERROR(INDEX(הגדרות!$I$2:$I$47,MATCH(B129,הגדרות!$H$2:$H$47,0)),"")</f>
        <v>9095-00</v>
      </c>
      <c r="F129" s="17" t="s">
        <v>109</v>
      </c>
      <c r="G129" s="17"/>
      <c r="H129" s="17"/>
      <c r="I129" s="17"/>
      <c r="J129" s="19" t="s">
        <v>68</v>
      </c>
      <c r="K129" s="19" t="s">
        <v>68</v>
      </c>
      <c r="L129" s="19" t="s">
        <v>68</v>
      </c>
      <c r="M129" s="19" t="s">
        <v>68</v>
      </c>
      <c r="N129" s="17"/>
      <c r="O129" s="17" t="s">
        <v>14</v>
      </c>
      <c r="P129" s="17"/>
      <c r="Q129" s="17" t="s">
        <v>68</v>
      </c>
      <c r="R129" s="17"/>
      <c r="S129" s="17"/>
      <c r="T129" s="17" t="s">
        <v>69</v>
      </c>
      <c r="U129" s="17" t="s">
        <v>397</v>
      </c>
      <c r="V129" s="17"/>
      <c r="W129" s="17"/>
      <c r="X129" s="17"/>
      <c r="Y129" s="17"/>
      <c r="Z129" t="str">
        <f>IFERROR(INDEX(הגדרות!$B$2:$B$17,MATCH(H129,הגדרות!$A$2:$A$17,0)),"")</f>
        <v/>
      </c>
      <c r="AA129" t="str">
        <f>IFERROR(INDEX(הגדרות!$C$2:$C$17,MATCH(H129,הגדרות!$A$2:$A$17,0)),"")</f>
        <v/>
      </c>
      <c r="AB129" t="str">
        <f>IFERROR(INDEX(הגדרות!$B$2:$B$17,MATCH(I129,הגדרות!$A$2:$A$17,0)),"")</f>
        <v/>
      </c>
      <c r="AC129" t="str">
        <f>IFERROR(INDEX(הגדרות!$C$2:$C$17,MATCH(I129,הגדרות!$A$2:$A$17,0)),"")</f>
        <v/>
      </c>
      <c r="AD129">
        <f>IF(AND(מלאי!D129&lt;&gt;"",OR('לוח בקרה'!$B$4="הכל",מלאי!Z129='לוח בקרה'!$B$4,מלאי!AA129='לוח בקרה'!$B$4,מלאי!AB129='לוח בקרה'!$B$4,מלאי!AC129='לוח בקרה'!$B$4),OR('לוח בקרה'!$B$5="הכל",מלאי!A129='לוח בקרה'!$B$5),OR('לוח בקרה'!$B$6="הכל",מלאי!B129='לוח בקרה'!$B$6),OR('לוח בקרה'!$B$7="הכל",מלאי!F129='לוח בקרה'!$B$7,מלאי!G129='לוח בקרה'!$B$7),OR('לוח בקרה'!$B$8="הכל",מלאי!T129='לוח בקרה'!$B$8),OR('לוח בקרה'!$B$9="הכל",מלאי!Q129='לוח בקרה'!$B$9),OR('לוח בקרה'!$E$4="הכל",מלאי!J129='לוח בקרה'!$E$4),OR('לוח בקרה'!$E$5="הכל",מלאי!L129='לוח בקרה'!$E$5),OR('לוח בקרה'!$E$6="הכל",מלאי!O129='לוח בקרה'!$E$6),OR('לוח בקרה'!$E$7="הכל",מלאי!R129='לוח בקרה'!$E$7),OR('לוח בקרה'!$E$8="הכל",'לוח בקרה'!$E$8="",מלאי!W129='לוח בקרה'!$E$8),OR('לוח בקרה'!$E$9="הכל",'לוח בקרה'!$E$9="",ISNUMBER(SEARCH('לוח בקרה'!$E$9,מלאי!C129)))),1,0)</f>
        <v>0</v>
      </c>
      <c r="AE129" t="e">
        <f>IF(AND(מלאי!D129&lt;&gt;"",OR('לוח בקרה טכנו-מבצעי'!$B$4="הכל",מלאי!Z129='לוח בקרה טכנו-מבצעי'!$B$4,מלאי!AA129='לוח בקרה טכנו-מבצעי'!$B$4,מלאי!AB129='לוח בקרה טכנו-מבצעי'!$B$4,מלאי!AC129='לוח בקרה טכנו-מבצעי'!$B$4),OR('לוח בקרה טכנו-מבצעי'!$B$5="הכל",מלאי!A129='לוח בקרה טכנו-מבצעי'!$B$5),OR('לוח בקרה טכנו-מבצעי'!$B$6="הכל",מלאי!B129='לוח בקרה טכנו-מבצעי'!$B$6),OR('לוח בקרה טכנו-מבצעי'!$B$7="הכל",מלאי!F129='לוח בקרה טכנו-מבצעי'!$B$7,מלאי!G129='לוח בקרה טכנו-מבצעי'!$B$7),OR('לוח בקרה טכנו-מבצעי'!$B$8="הכל",מלאי!T129='לוח בקרה טכנו-מבצעי'!$B$8),OR('לוח בקרה טכנו-מבצעי'!$B$9="הכל",מלאי!Q129='לוח בקרה טכנו-מבצעי'!$B$9),OR('לוח בקרה טכנו-מבצעי'!$E$4="הכל",מלאי!J129='לוח בקרה טכנו-מבצעי'!$E$4),OR('לוח בקרה טכנו-מבצעי'!$E$5="הכל",מלאי!L129='לוח בקרה טכנו-מבצעי'!$E$5),OR('לוח בקרה טכנו-מבצעי'!$E$6="הכל",מלאי!O129='לוח בקרה טכנו-מבצעי'!$E$6),OR('לוח בקרה טכנו-מבצעי'!$E$7="הכל",מלאי!R129='לוח בקרה טכנו-מבצעי'!$E$7),OR('לוח בקרה טכנו-מבצעי'!$E$8="הכל",'לוח בקרה טכנו-מבצעי'!$E$8="",מלאי!W129='לוח בקרה טכנו-מבצעי'!$E$8),OR('לוח בקרה טכנו-מבצעי'!$E$9="הכל",'לוח בקרה טכנו-מבצעי'!$E$9="",ISNUMBER(SEARCH('לוח בקרה טכנו-מבצעי'!$E$9,מלאי!C129))),OR('לוח בקרה טכנו-מבצעי'!$B$10="הכל",מלאי!#REF!='לוח בקרה טכנו-מבצעי'!$B$10)),1,0)</f>
        <v>#REF!</v>
      </c>
      <c r="AF129" t="str">
        <f>IF(AD129=1,COUNTIF($AD$3:$AD129,1),"")</f>
        <v/>
      </c>
      <c r="AG129" t="e">
        <f>IF(AE129=1,COUNTIF($AE$3:$AE129,1),"")</f>
        <v>#REF!</v>
      </c>
    </row>
    <row r="130" spans="1:33" ht="15" customHeight="1" x14ac:dyDescent="0.25">
      <c r="A130" s="39" t="s">
        <v>106</v>
      </c>
      <c r="B130" s="39" t="s">
        <v>219</v>
      </c>
      <c r="C130" s="39" t="s">
        <v>396</v>
      </c>
      <c r="D130" s="39"/>
      <c r="E130" s="17" t="str">
        <f>IFERROR(INDEX(הגדרות!$I$2:$I$47,MATCH(B130,הגדרות!$H$2:$H$47,0)),"")</f>
        <v>9095-00</v>
      </c>
      <c r="F130" s="17" t="s">
        <v>189</v>
      </c>
      <c r="G130" s="17"/>
      <c r="H130" s="17"/>
      <c r="I130" s="17"/>
      <c r="J130" s="17" t="s">
        <v>68</v>
      </c>
      <c r="K130" s="17" t="s">
        <v>68</v>
      </c>
      <c r="L130" s="17" t="s">
        <v>68</v>
      </c>
      <c r="M130" s="17" t="s">
        <v>68</v>
      </c>
      <c r="N130" s="17"/>
      <c r="O130" s="17" t="s">
        <v>14</v>
      </c>
      <c r="P130" s="17"/>
      <c r="Q130" s="17" t="s">
        <v>68</v>
      </c>
      <c r="R130" s="17"/>
      <c r="S130" s="17"/>
      <c r="T130" s="17" t="s">
        <v>69</v>
      </c>
      <c r="U130" s="17" t="s">
        <v>397</v>
      </c>
      <c r="V130" s="17"/>
      <c r="W130" s="17"/>
      <c r="X130" s="17"/>
      <c r="Y130" s="17"/>
      <c r="Z130" t="str">
        <f>IFERROR(INDEX(הגדרות!$B$2:$B$17,MATCH(H130,הגדרות!$A$2:$A$17,0)),"")</f>
        <v/>
      </c>
      <c r="AA130" t="str">
        <f>IFERROR(INDEX(הגדרות!$C$2:$C$17,MATCH(H130,הגדרות!$A$2:$A$17,0)),"")</f>
        <v/>
      </c>
      <c r="AB130" t="str">
        <f>IFERROR(INDEX(הגדרות!$B$2:$B$17,MATCH(I130,הגדרות!$A$2:$A$17,0)),"")</f>
        <v/>
      </c>
      <c r="AC130" t="str">
        <f>IFERROR(INDEX(הגדרות!$C$2:$C$17,MATCH(I130,הגדרות!$A$2:$A$17,0)),"")</f>
        <v/>
      </c>
      <c r="AD130">
        <f>IF(AND(מלאי!D130&lt;&gt;"",OR('לוח בקרה'!$B$4="הכל",מלאי!Z130='לוח בקרה'!$B$4,מלאי!AA130='לוח בקרה'!$B$4,מלאי!AB130='לוח בקרה'!$B$4,מלאי!AC130='לוח בקרה'!$B$4),OR('לוח בקרה'!$B$5="הכל",מלאי!A130='לוח בקרה'!$B$5),OR('לוח בקרה'!$B$6="הכל",מלאי!B130='לוח בקרה'!$B$6),OR('לוח בקרה'!$B$7="הכל",מלאי!F130='לוח בקרה'!$B$7,מלאי!G130='לוח בקרה'!$B$7),OR('לוח בקרה'!$B$8="הכל",מלאי!T130='לוח בקרה'!$B$8),OR('לוח בקרה'!$B$9="הכל",מלאי!Q130='לוח בקרה'!$B$9),OR('לוח בקרה'!$E$4="הכל",מלאי!J130='לוח בקרה'!$E$4),OR('לוח בקרה'!$E$5="הכל",מלאי!L130='לוח בקרה'!$E$5),OR('לוח בקרה'!$E$6="הכל",מלאי!O130='לוח בקרה'!$E$6),OR('לוח בקרה'!$E$7="הכל",מלאי!R130='לוח בקרה'!$E$7),OR('לוח בקרה'!$E$8="הכל",'לוח בקרה'!$E$8="",מלאי!W130='לוח בקרה'!$E$8),OR('לוח בקרה'!$E$9="הכל",'לוח בקרה'!$E$9="",ISNUMBER(SEARCH('לוח בקרה'!$E$9,מלאי!C130)))),1,0)</f>
        <v>0</v>
      </c>
      <c r="AE130" t="e">
        <f>IF(AND(מלאי!D130&lt;&gt;"",OR('לוח בקרה טכנו-מבצעי'!$B$4="הכל",מלאי!Z130='לוח בקרה טכנו-מבצעי'!$B$4,מלאי!AA130='לוח בקרה טכנו-מבצעי'!$B$4,מלאי!AB130='לוח בקרה טכנו-מבצעי'!$B$4,מלאי!AC130='לוח בקרה טכנו-מבצעי'!$B$4),OR('לוח בקרה טכנו-מבצעי'!$B$5="הכל",מלאי!A130='לוח בקרה טכנו-מבצעי'!$B$5),OR('לוח בקרה טכנו-מבצעי'!$B$6="הכל",מלאי!B130='לוח בקרה טכנו-מבצעי'!$B$6),OR('לוח בקרה טכנו-מבצעי'!$B$7="הכל",מלאי!F130='לוח בקרה טכנו-מבצעי'!$B$7,מלאי!G130='לוח בקרה טכנו-מבצעי'!$B$7),OR('לוח בקרה טכנו-מבצעי'!$B$8="הכל",מלאי!T130='לוח בקרה טכנו-מבצעי'!$B$8),OR('לוח בקרה טכנו-מבצעי'!$B$9="הכל",מלאי!Q130='לוח בקרה טכנו-מבצעי'!$B$9),OR('לוח בקרה טכנו-מבצעי'!$E$4="הכל",מלאי!J130='לוח בקרה טכנו-מבצעי'!$E$4),OR('לוח בקרה טכנו-מבצעי'!$E$5="הכל",מלאי!L130='לוח בקרה טכנו-מבצעי'!$E$5),OR('לוח בקרה טכנו-מבצעי'!$E$6="הכל",מלאי!O130='לוח בקרה טכנו-מבצעי'!$E$6),OR('לוח בקרה טכנו-מבצעי'!$E$7="הכל",מלאי!R130='לוח בקרה טכנו-מבצעי'!$E$7),OR('לוח בקרה טכנו-מבצעי'!$E$8="הכל",'לוח בקרה טכנו-מבצעי'!$E$8="",מלאי!W130='לוח בקרה טכנו-מבצעי'!$E$8),OR('לוח בקרה טכנו-מבצעי'!$E$9="הכל",'לוח בקרה טכנו-מבצעי'!$E$9="",ISNUMBER(SEARCH('לוח בקרה טכנו-מבצעי'!$E$9,מלאי!C130))),OR('לוח בקרה טכנו-מבצעי'!$B$10="הכל",מלאי!#REF!='לוח בקרה טכנו-מבצעי'!$B$10)),1,0)</f>
        <v>#REF!</v>
      </c>
      <c r="AF130" t="str">
        <f>IF(AD130=1,COUNTIF($AD$3:$AD130,1),"")</f>
        <v/>
      </c>
      <c r="AG130" t="e">
        <f>IF(AE130=1,COUNTIF($AE$3:$AE130,1),"")</f>
        <v>#REF!</v>
      </c>
    </row>
    <row r="131" spans="1:33" ht="15" customHeight="1" x14ac:dyDescent="0.25">
      <c r="A131" s="39" t="s">
        <v>191</v>
      </c>
      <c r="B131" s="39" t="s">
        <v>398</v>
      </c>
      <c r="C131" s="39"/>
      <c r="D131" s="39" t="s">
        <v>399</v>
      </c>
      <c r="E131" s="17" t="str">
        <f>IFERROR(INDEX(הגדרות!$I$2:$I$47,MATCH(B131,הגדרות!$H$2:$H$47,0)),"")</f>
        <v/>
      </c>
      <c r="F131" s="17" t="s">
        <v>184</v>
      </c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 t="s">
        <v>69</v>
      </c>
      <c r="U131" s="17"/>
      <c r="V131" s="17"/>
      <c r="W131" s="17"/>
      <c r="X131" s="17"/>
      <c r="Y131" s="17"/>
      <c r="Z131" t="str">
        <f>IFERROR(INDEX(הגדרות!$B$2:$B$17,MATCH(H131,הגדרות!$A$2:$A$17,0)),"")</f>
        <v/>
      </c>
      <c r="AA131" t="str">
        <f>IFERROR(INDEX(הגדרות!$C$2:$C$17,MATCH(H131,הגדרות!$A$2:$A$17,0)),"")</f>
        <v/>
      </c>
      <c r="AB131" t="str">
        <f>IFERROR(INDEX(הגדרות!$B$2:$B$17,MATCH(I131,הגדרות!$A$2:$A$17,0)),"")</f>
        <v/>
      </c>
      <c r="AC131" t="str">
        <f>IFERROR(INDEX(הגדרות!$C$2:$C$17,MATCH(I131,הגדרות!$A$2:$A$17,0)),"")</f>
        <v/>
      </c>
      <c r="AD131">
        <f>IF(AND(מלאי!D131&lt;&gt;"",OR('לוח בקרה'!$B$4="הכל",מלאי!Z131='לוח בקרה'!$B$4,מלאי!AA131='לוח בקרה'!$B$4,מלאי!AB131='לוח בקרה'!$B$4,מלאי!AC131='לוח בקרה'!$B$4),OR('לוח בקרה'!$B$5="הכל",מלאי!A131='לוח בקרה'!$B$5),OR('לוח בקרה'!$B$6="הכל",מלאי!B131='לוח בקרה'!$B$6),OR('לוח בקרה'!$B$7="הכל",מלאי!F131='לוח בקרה'!$B$7,מלאי!G131='לוח בקרה'!$B$7),OR('לוח בקרה'!$B$8="הכל",מלאי!T131='לוח בקרה'!$B$8),OR('לוח בקרה'!$B$9="הכל",מלאי!Q131='לוח בקרה'!$B$9),OR('לוח בקרה'!$E$4="הכל",מלאי!J131='לוח בקרה'!$E$4),OR('לוח בקרה'!$E$5="הכל",מלאי!L131='לוח בקרה'!$E$5),OR('לוח בקרה'!$E$6="הכל",מלאי!O131='לוח בקרה'!$E$6),OR('לוח בקרה'!$E$7="הכל",מלאי!R131='לוח בקרה'!$E$7),OR('לוח בקרה'!$E$8="הכל",'לוח בקרה'!$E$8="",מלאי!W131='לוח בקרה'!$E$8),OR('לוח בקרה'!$E$9="הכל",'לוח בקרה'!$E$9="",ISNUMBER(SEARCH('לוח בקרה'!$E$9,מלאי!C131)))),1,0)</f>
        <v>0</v>
      </c>
      <c r="AE131" t="e">
        <f>IF(AND(מלאי!D131&lt;&gt;"",OR('לוח בקרה טכנו-מבצעי'!$B$4="הכל",מלאי!Z131='לוח בקרה טכנו-מבצעי'!$B$4,מלאי!AA131='לוח בקרה טכנו-מבצעי'!$B$4,מלאי!AB131='לוח בקרה טכנו-מבצעי'!$B$4,מלאי!AC131='לוח בקרה טכנו-מבצעי'!$B$4),OR('לוח בקרה טכנו-מבצעי'!$B$5="הכל",מלאי!A131='לוח בקרה טכנו-מבצעי'!$B$5),OR('לוח בקרה טכנו-מבצעי'!$B$6="הכל",מלאי!B131='לוח בקרה טכנו-מבצעי'!$B$6),OR('לוח בקרה טכנו-מבצעי'!$B$7="הכל",מלאי!F131='לוח בקרה טכנו-מבצעי'!$B$7,מלאי!G131='לוח בקרה טכנו-מבצעי'!$B$7),OR('לוח בקרה טכנו-מבצעי'!$B$8="הכל",מלאי!T131='לוח בקרה טכנו-מבצעי'!$B$8),OR('לוח בקרה טכנו-מבצעי'!$B$9="הכל",מלאי!Q131='לוח בקרה טכנו-מבצעי'!$B$9),OR('לוח בקרה טכנו-מבצעי'!$E$4="הכל",מלאי!J131='לוח בקרה טכנו-מבצעי'!$E$4),OR('לוח בקרה טכנו-מבצעי'!$E$5="הכל",מלאי!L131='לוח בקרה טכנו-מבצעי'!$E$5),OR('לוח בקרה טכנו-מבצעי'!$E$6="הכל",מלאי!O131='לוח בקרה טכנו-מבצעי'!$E$6),OR('לוח בקרה טכנו-מבצעי'!$E$7="הכל",מלאי!R131='לוח בקרה טכנו-מבצעי'!$E$7),OR('לוח בקרה טכנו-מבצעי'!$E$8="הכל",'לוח בקרה טכנו-מבצעי'!$E$8="",מלאי!W131='לוח בקרה טכנו-מבצעי'!$E$8),OR('לוח בקרה טכנו-מבצעי'!$E$9="הכל",'לוח בקרה טכנו-מבצעי'!$E$9="",ISNUMBER(SEARCH('לוח בקרה טכנו-מבצעי'!$E$9,מלאי!C131))),OR('לוח בקרה טכנו-מבצעי'!$B$10="הכל",מלאי!#REF!='לוח בקרה טכנו-מבצעי'!$B$10)),1,0)</f>
        <v>#REF!</v>
      </c>
      <c r="AF131" t="str">
        <f>IF(AD131=1,COUNTIF($AD$3:$AD131,1),"")</f>
        <v/>
      </c>
      <c r="AG131" t="e">
        <f>IF(AE131=1,COUNTIF($AE$3:$AE131,1),"")</f>
        <v>#REF!</v>
      </c>
    </row>
    <row r="132" spans="1:33" ht="15" customHeight="1" x14ac:dyDescent="0.25">
      <c r="A132" s="40" t="s">
        <v>106</v>
      </c>
      <c r="B132" s="40" t="s">
        <v>217</v>
      </c>
      <c r="C132" s="40" t="s">
        <v>64</v>
      </c>
      <c r="D132" s="40" t="s">
        <v>400</v>
      </c>
      <c r="E132" s="19" t="str">
        <f>IFERROR(INDEX(הגדרות!$I$2:$I$47,MATCH(B132,הגדרות!$H$2:$H$47,0)),"")</f>
        <v>9004-01</v>
      </c>
      <c r="F132" s="19" t="s">
        <v>108</v>
      </c>
      <c r="G132" s="19"/>
      <c r="H132" s="19" t="s">
        <v>66</v>
      </c>
      <c r="I132" s="19" t="s">
        <v>67</v>
      </c>
      <c r="J132" s="19" t="s">
        <v>68</v>
      </c>
      <c r="K132" s="19" t="s">
        <v>68</v>
      </c>
      <c r="L132" s="19"/>
      <c r="M132" s="19"/>
      <c r="N132" s="19"/>
      <c r="O132" s="19" t="s">
        <v>68</v>
      </c>
      <c r="P132" s="19"/>
      <c r="Q132" s="19" t="s">
        <v>14</v>
      </c>
      <c r="R132" s="19"/>
      <c r="S132" s="19"/>
      <c r="T132" s="19" t="s">
        <v>69</v>
      </c>
      <c r="U132" s="19"/>
      <c r="V132" s="19"/>
      <c r="W132" s="19"/>
      <c r="X132" s="19"/>
      <c r="Y132" s="19"/>
      <c r="Z132" t="str">
        <f>IFERROR(INDEX(הגדרות!$B$2:$B$17,MATCH(H132,הגדרות!$A$2:$A$17,0)),"")</f>
        <v>מיוער</v>
      </c>
      <c r="AA132">
        <f>IFERROR(INDEX(הגדרות!$C$2:$C$17,MATCH(H132,הגדרות!$A$2:$A$17,0)),"")</f>
        <v>0</v>
      </c>
      <c r="AB132" t="str">
        <f>IFERROR(INDEX(הגדרות!$B$2:$B$17,MATCH(I132,הגדרות!$A$2:$A$17,0)),"")</f>
        <v>מדברי</v>
      </c>
      <c r="AC132">
        <f>IFERROR(INDEX(הגדרות!$C$2:$C$17,MATCH(I132,הגדרות!$A$2:$A$17,0)),"")</f>
        <v>0</v>
      </c>
      <c r="AD132">
        <f>IF(AND(מלאי!D132&lt;&gt;"",OR('לוח בקרה'!$B$4="הכל",מלאי!Z132='לוח בקרה'!$B$4,מלאי!AA132='לוח בקרה'!$B$4,מלאי!AB132='לוח בקרה'!$B$4,מלאי!AC132='לוח בקרה'!$B$4),OR('לוח בקרה'!$B$5="הכל",מלאי!A132='לוח בקרה'!$B$5),OR('לוח בקרה'!$B$6="הכל",מלאי!B132='לוח בקרה'!$B$6),OR('לוח בקרה'!$B$7="הכל",מלאי!F132='לוח בקרה'!$B$7,מלאי!G132='לוח בקרה'!$B$7),OR('לוח בקרה'!$B$8="הכל",מלאי!T132='לוח בקרה'!$B$8),OR('לוח בקרה'!$B$9="הכל",מלאי!Q132='לוח בקרה'!$B$9),OR('לוח בקרה'!$E$4="הכל",מלאי!J132='לוח בקרה'!$E$4),OR('לוח בקרה'!$E$5="הכל",מלאי!L132='לוח בקרה'!$E$5),OR('לוח בקרה'!$E$6="הכל",מלאי!O132='לוח בקרה'!$E$6),OR('לוח בקרה'!$E$7="הכל",מלאי!R132='לוח בקרה'!$E$7),OR('לוח בקרה'!$E$8="הכל",'לוח בקרה'!$E$8="",מלאי!W132='לוח בקרה'!$E$8),OR('לוח בקרה'!$E$9="הכל",'לוח בקרה'!$E$9="",ISNUMBER(SEARCH('לוח בקרה'!$E$9,מלאי!C132)))),1,0)</f>
        <v>0</v>
      </c>
      <c r="AE132" t="e">
        <f>IF(AND(מלאי!D132&lt;&gt;"",OR('לוח בקרה טכנו-מבצעי'!$B$4="הכל",מלאי!Z132='לוח בקרה טכנו-מבצעי'!$B$4,מלאי!AA132='לוח בקרה טכנו-מבצעי'!$B$4,מלאי!AB132='לוח בקרה טכנו-מבצעי'!$B$4,מלאי!AC132='לוח בקרה טכנו-מבצעי'!$B$4),OR('לוח בקרה טכנו-מבצעי'!$B$5="הכל",מלאי!A132='לוח בקרה טכנו-מבצעי'!$B$5),OR('לוח בקרה טכנו-מבצעי'!$B$6="הכל",מלאי!B132='לוח בקרה טכנו-מבצעי'!$B$6),OR('לוח בקרה טכנו-מבצעי'!$B$7="הכל",מלאי!F132='לוח בקרה טכנו-מבצעי'!$B$7,מלאי!G132='לוח בקרה טכנו-מבצעי'!$B$7),OR('לוח בקרה טכנו-מבצעי'!$B$8="הכל",מלאי!T132='לוח בקרה טכנו-מבצעי'!$B$8),OR('לוח בקרה טכנו-מבצעי'!$B$9="הכל",מלאי!Q132='לוח בקרה טכנו-מבצעי'!$B$9),OR('לוח בקרה טכנו-מבצעי'!$E$4="הכל",מלאי!J132='לוח בקרה טכנו-מבצעי'!$E$4),OR('לוח בקרה טכנו-מבצעי'!$E$5="הכל",מלאי!L132='לוח בקרה טכנו-מבצעי'!$E$5),OR('לוח בקרה טכנו-מבצעי'!$E$6="הכל",מלאי!O132='לוח בקרה טכנו-מבצעי'!$E$6),OR('לוח בקרה טכנו-מבצעי'!$E$7="הכל",מלאי!R132='לוח בקרה טכנו-מבצעי'!$E$7),OR('לוח בקרה טכנו-מבצעי'!$E$8="הכל",'לוח בקרה טכנו-מבצעי'!$E$8="",מלאי!W132='לוח בקרה טכנו-מבצעי'!$E$8),OR('לוח בקרה טכנו-מבצעי'!$E$9="הכל",'לוח בקרה טכנו-מבצעי'!$E$9="",ISNUMBER(SEARCH('לוח בקרה טכנו-מבצעי'!$E$9,מלאי!C132))),OR('לוח בקרה טכנו-מבצעי'!$B$10="הכל",מלאי!#REF!='לוח בקרה טכנו-מבצעי'!$B$10)),1,0)</f>
        <v>#REF!</v>
      </c>
      <c r="AF132" t="str">
        <f>IF(AD132=1,COUNTIF($AD$3:$AD132,1),"")</f>
        <v/>
      </c>
      <c r="AG132" t="e">
        <f>IF(AE132=1,COUNTIF($AE$3:$AE132,1),"")</f>
        <v>#REF!</v>
      </c>
    </row>
    <row r="133" spans="1:33" ht="15" customHeight="1" x14ac:dyDescent="0.25">
      <c r="A133" s="40" t="s">
        <v>106</v>
      </c>
      <c r="B133" s="40" t="s">
        <v>217</v>
      </c>
      <c r="C133" s="40" t="s">
        <v>64</v>
      </c>
      <c r="D133" s="40" t="s">
        <v>401</v>
      </c>
      <c r="E133" s="19" t="str">
        <f>IFERROR(INDEX(הגדרות!$I$2:$I$47,MATCH(B133,הגדרות!$H$2:$H$47,0)),"")</f>
        <v>9004-01</v>
      </c>
      <c r="F133" s="19" t="s">
        <v>189</v>
      </c>
      <c r="G133" s="19"/>
      <c r="H133" s="19" t="s">
        <v>66</v>
      </c>
      <c r="I133" s="19" t="s">
        <v>67</v>
      </c>
      <c r="J133" s="19" t="s">
        <v>68</v>
      </c>
      <c r="K133" s="19" t="s">
        <v>68</v>
      </c>
      <c r="L133" s="19"/>
      <c r="M133" s="19"/>
      <c r="N133" s="19"/>
      <c r="O133" s="19" t="s">
        <v>68</v>
      </c>
      <c r="P133" s="19"/>
      <c r="Q133" s="19" t="s">
        <v>14</v>
      </c>
      <c r="R133" s="19"/>
      <c r="S133" s="19"/>
      <c r="T133" s="19" t="s">
        <v>69</v>
      </c>
      <c r="U133" s="19"/>
      <c r="V133" s="19"/>
      <c r="W133" s="19"/>
      <c r="X133" s="19"/>
      <c r="Y133" s="19"/>
      <c r="Z133" t="str">
        <f>IFERROR(INDEX(הגדרות!$B$2:$B$17,MATCH(H133,הגדרות!$A$2:$A$17,0)),"")</f>
        <v>מיוער</v>
      </c>
      <c r="AA133">
        <f>IFERROR(INDEX(הגדרות!$C$2:$C$17,MATCH(H133,הגדרות!$A$2:$A$17,0)),"")</f>
        <v>0</v>
      </c>
      <c r="AB133" t="str">
        <f>IFERROR(INDEX(הגדרות!$B$2:$B$17,MATCH(I133,הגדרות!$A$2:$A$17,0)),"")</f>
        <v>מדברי</v>
      </c>
      <c r="AC133">
        <f>IFERROR(INDEX(הגדרות!$C$2:$C$17,MATCH(I133,הגדרות!$A$2:$A$17,0)),"")</f>
        <v>0</v>
      </c>
      <c r="AD133">
        <f>IF(AND(מלאי!D133&lt;&gt;"",OR('לוח בקרה'!$B$4="הכל",מלאי!Z133='לוח בקרה'!$B$4,מלאי!AA133='לוח בקרה'!$B$4,מלאי!AB133='לוח בקרה'!$B$4,מלאי!AC133='לוח בקרה'!$B$4),OR('לוח בקרה'!$B$5="הכל",מלאי!A133='לוח בקרה'!$B$5),OR('לוח בקרה'!$B$6="הכל",מלאי!B133='לוח בקרה'!$B$6),OR('לוח בקרה'!$B$7="הכל",מלאי!F133='לוח בקרה'!$B$7,מלאי!G133='לוח בקרה'!$B$7),OR('לוח בקרה'!$B$8="הכל",מלאי!T133='לוח בקרה'!$B$8),OR('לוח בקרה'!$B$9="הכל",מלאי!Q133='לוח בקרה'!$B$9),OR('לוח בקרה'!$E$4="הכל",מלאי!J133='לוח בקרה'!$E$4),OR('לוח בקרה'!$E$5="הכל",מלאי!L133='לוח בקרה'!$E$5),OR('לוח בקרה'!$E$6="הכל",מלאי!O133='לוח בקרה'!$E$6),OR('לוח בקרה'!$E$7="הכל",מלאי!R133='לוח בקרה'!$E$7),OR('לוח בקרה'!$E$8="הכל",'לוח בקרה'!$E$8="",מלאי!W133='לוח בקרה'!$E$8),OR('לוח בקרה'!$E$9="הכל",'לוח בקרה'!$E$9="",ISNUMBER(SEARCH('לוח בקרה'!$E$9,מלאי!C133)))),1,0)</f>
        <v>0</v>
      </c>
      <c r="AE133" t="e">
        <f>IF(AND(מלאי!D133&lt;&gt;"",OR('לוח בקרה טכנו-מבצעי'!$B$4="הכל",מלאי!Z133='לוח בקרה טכנו-מבצעי'!$B$4,מלאי!AA133='לוח בקרה טכנו-מבצעי'!$B$4,מלאי!AB133='לוח בקרה טכנו-מבצעי'!$B$4,מלאי!AC133='לוח בקרה טכנו-מבצעי'!$B$4),OR('לוח בקרה טכנו-מבצעי'!$B$5="הכל",מלאי!A133='לוח בקרה טכנו-מבצעי'!$B$5),OR('לוח בקרה טכנו-מבצעי'!$B$6="הכל",מלאי!B133='לוח בקרה טכנו-מבצעי'!$B$6),OR('לוח בקרה טכנו-מבצעי'!$B$7="הכל",מלאי!F133='לוח בקרה טכנו-מבצעי'!$B$7,מלאי!G133='לוח בקרה טכנו-מבצעי'!$B$7),OR('לוח בקרה טכנו-מבצעי'!$B$8="הכל",מלאי!T133='לוח בקרה טכנו-מבצעי'!$B$8),OR('לוח בקרה טכנו-מבצעי'!$B$9="הכל",מלאי!Q133='לוח בקרה טכנו-מבצעי'!$B$9),OR('לוח בקרה טכנו-מבצעי'!$E$4="הכל",מלאי!J133='לוח בקרה טכנו-מבצעי'!$E$4),OR('לוח בקרה טכנו-מבצעי'!$E$5="הכל",מלאי!L133='לוח בקרה טכנו-מבצעי'!$E$5),OR('לוח בקרה טכנו-מבצעי'!$E$6="הכל",מלאי!O133='לוח בקרה טכנו-מבצעי'!$E$6),OR('לוח בקרה טכנו-מבצעי'!$E$7="הכל",מלאי!R133='לוח בקרה טכנו-מבצעי'!$E$7),OR('לוח בקרה טכנו-מבצעי'!$E$8="הכל",'לוח בקרה טכנו-מבצעי'!$E$8="",מלאי!W133='לוח בקרה טכנו-מבצעי'!$E$8),OR('לוח בקרה טכנו-מבצעי'!$E$9="הכל",'לוח בקרה טכנו-מבצעי'!$E$9="",ISNUMBER(SEARCH('לוח בקרה טכנו-מבצעי'!$E$9,מלאי!C133))),OR('לוח בקרה טכנו-מבצעי'!$B$10="הכל",מלאי!#REF!='לוח בקרה טכנו-מבצעי'!$B$10)),1,0)</f>
        <v>#REF!</v>
      </c>
      <c r="AF133" t="str">
        <f>IF(AD133=1,COUNTIF($AD$3:$AD133,1),"")</f>
        <v/>
      </c>
      <c r="AG133" t="e">
        <f>IF(AE133=1,COUNTIF($AE$3:$AE133,1),"")</f>
        <v>#REF!</v>
      </c>
    </row>
    <row r="134" spans="1:33" ht="15" customHeight="1" x14ac:dyDescent="0.25">
      <c r="A134" s="40" t="s">
        <v>106</v>
      </c>
      <c r="B134" s="40" t="s">
        <v>107</v>
      </c>
      <c r="C134" s="40" t="s">
        <v>64</v>
      </c>
      <c r="D134" s="40" t="s">
        <v>402</v>
      </c>
      <c r="E134" s="19" t="str">
        <f>IFERROR(INDEX(הגדרות!$I$2:$I$47,MATCH(B134,הגדרות!$H$2:$H$47,0)),"")</f>
        <v>9001-00</v>
      </c>
      <c r="F134" s="19" t="s">
        <v>108</v>
      </c>
      <c r="G134" s="19"/>
      <c r="H134" s="19" t="s">
        <v>67</v>
      </c>
      <c r="I134" s="19" t="s">
        <v>96</v>
      </c>
      <c r="J134" s="19" t="s">
        <v>68</v>
      </c>
      <c r="K134" s="19" t="s">
        <v>68</v>
      </c>
      <c r="L134" s="19"/>
      <c r="M134" s="19"/>
      <c r="N134" s="19" t="s">
        <v>68</v>
      </c>
      <c r="O134" s="19" t="s">
        <v>68</v>
      </c>
      <c r="P134" s="19"/>
      <c r="Q134" s="19"/>
      <c r="R134" s="19"/>
      <c r="S134" s="19" t="s">
        <v>68</v>
      </c>
      <c r="T134" s="19" t="s">
        <v>69</v>
      </c>
      <c r="U134" s="19" t="s">
        <v>112</v>
      </c>
      <c r="V134" s="19"/>
      <c r="W134" s="19"/>
      <c r="X134" s="19"/>
      <c r="Y134" s="19"/>
      <c r="Z134" t="str">
        <f>IFERROR(INDEX(הגדרות!$B$2:$B$17,MATCH(H134,הגדרות!$A$2:$A$17,0)),"")</f>
        <v>מדברי</v>
      </c>
      <c r="AA134">
        <f>IFERROR(INDEX(הגדרות!$C$2:$C$17,MATCH(H134,הגדרות!$A$2:$A$17,0)),"")</f>
        <v>0</v>
      </c>
      <c r="AB134" t="str">
        <f>IFERROR(INDEX(הגדרות!$B$2:$B$17,MATCH(I134,הגדרות!$A$2:$A$17,0)),"")</f>
        <v>מדברי</v>
      </c>
      <c r="AC134">
        <f>IFERROR(INDEX(הגדרות!$C$2:$C$17,MATCH(I134,הגדרות!$A$2:$A$17,0)),"")</f>
        <v>0</v>
      </c>
      <c r="AD134">
        <f>IF(AND(מלאי!D134&lt;&gt;"",OR('לוח בקרה'!$B$4="הכל",מלאי!Z134='לוח בקרה'!$B$4,מלאי!AA134='לוח בקרה'!$B$4,מלאי!AB134='לוח בקרה'!$B$4,מלאי!AC134='לוח בקרה'!$B$4),OR('לוח בקרה'!$B$5="הכל",מלאי!A134='לוח בקרה'!$B$5),OR('לוח בקרה'!$B$6="הכל",מלאי!B134='לוח בקרה'!$B$6),OR('לוח בקרה'!$B$7="הכל",מלאי!F134='לוח בקרה'!$B$7,מלאי!G134='לוח בקרה'!$B$7),OR('לוח בקרה'!$B$8="הכל",מלאי!T134='לוח בקרה'!$B$8),OR('לוח בקרה'!$B$9="הכל",מלאי!Q134='לוח בקרה'!$B$9),OR('לוח בקרה'!$E$4="הכל",מלאי!J134='לוח בקרה'!$E$4),OR('לוח בקרה'!$E$5="הכל",מלאי!L134='לוח בקרה'!$E$5),OR('לוח בקרה'!$E$6="הכל",מלאי!O134='לוח בקרה'!$E$6),OR('לוח בקרה'!$E$7="הכל",מלאי!R134='לוח בקרה'!$E$7),OR('לוח בקרה'!$E$8="הכל",'לוח בקרה'!$E$8="",מלאי!W134='לוח בקרה'!$E$8),OR('לוח בקרה'!$E$9="הכל",'לוח בקרה'!$E$9="",ISNUMBER(SEARCH('לוח בקרה'!$E$9,מלאי!C134)))),1,0)</f>
        <v>0</v>
      </c>
      <c r="AE134" t="e">
        <f>IF(AND(מלאי!D134&lt;&gt;"",OR('לוח בקרה טכנו-מבצעי'!$B$4="הכל",מלאי!Z134='לוח בקרה טכנו-מבצעי'!$B$4,מלאי!AA134='לוח בקרה טכנו-מבצעי'!$B$4,מלאי!AB134='לוח בקרה טכנו-מבצעי'!$B$4,מלאי!AC134='לוח בקרה טכנו-מבצעי'!$B$4),OR('לוח בקרה טכנו-מבצעי'!$B$5="הכל",מלאי!A134='לוח בקרה טכנו-מבצעי'!$B$5),OR('לוח בקרה טכנו-מבצעי'!$B$6="הכל",מלאי!B134='לוח בקרה טכנו-מבצעי'!$B$6),OR('לוח בקרה טכנו-מבצעי'!$B$7="הכל",מלאי!F134='לוח בקרה טכנו-מבצעי'!$B$7,מלאי!G134='לוח בקרה טכנו-מבצעי'!$B$7),OR('לוח בקרה טכנו-מבצעי'!$B$8="הכל",מלאי!T134='לוח בקרה טכנו-מבצעי'!$B$8),OR('לוח בקרה טכנו-מבצעי'!$B$9="הכל",מלאי!Q134='לוח בקרה טכנו-מבצעי'!$B$9),OR('לוח בקרה טכנו-מבצעי'!$E$4="הכל",מלאי!J134='לוח בקרה טכנו-מבצעי'!$E$4),OR('לוח בקרה טכנו-מבצעי'!$E$5="הכל",מלאי!L134='לוח בקרה טכנו-מבצעי'!$E$5),OR('לוח בקרה טכנו-מבצעי'!$E$6="הכל",מלאי!O134='לוח בקרה טכנו-מבצעי'!$E$6),OR('לוח בקרה טכנו-מבצעי'!$E$7="הכל",מלאי!R134='לוח בקרה טכנו-מבצעי'!$E$7),OR('לוח בקרה טכנו-מבצעי'!$E$8="הכל",'לוח בקרה טכנו-מבצעי'!$E$8="",מלאי!W134='לוח בקרה טכנו-מבצעי'!$E$8),OR('לוח בקרה טכנו-מבצעי'!$E$9="הכל",'לוח בקרה טכנו-מבצעי'!$E$9="",ISNUMBER(SEARCH('לוח בקרה טכנו-מבצעי'!$E$9,מלאי!C134))),OR('לוח בקרה טכנו-מבצעי'!$B$10="הכל",מלאי!#REF!='לוח בקרה טכנו-מבצעי'!$B$10)),1,0)</f>
        <v>#REF!</v>
      </c>
      <c r="AF134" t="str">
        <f>IF(AD134=1,COUNTIF($AD$3:$AD134,1),"")</f>
        <v/>
      </c>
      <c r="AG134" t="e">
        <f>IF(AE134=1,COUNTIF($AE$3:$AE134,1),"")</f>
        <v>#REF!</v>
      </c>
    </row>
    <row r="135" spans="1:33" ht="15" customHeight="1" x14ac:dyDescent="0.25">
      <c r="A135" s="39" t="s">
        <v>171</v>
      </c>
      <c r="B135" s="39" t="s">
        <v>236</v>
      </c>
      <c r="C135" s="39" t="s">
        <v>64</v>
      </c>
      <c r="D135" s="39" t="s">
        <v>404</v>
      </c>
      <c r="E135" s="17" t="str">
        <f>IFERROR(INDEX(הגדרות!$I$2:$I$47,MATCH(B135,הגדרות!$H$2:$H$47,0)),"")</f>
        <v>9026-00</v>
      </c>
      <c r="F135" s="19" t="s">
        <v>108</v>
      </c>
      <c r="G135" s="17"/>
      <c r="H135" s="19" t="s">
        <v>67</v>
      </c>
      <c r="I135" s="19" t="s">
        <v>96</v>
      </c>
      <c r="J135" s="19" t="s">
        <v>68</v>
      </c>
      <c r="K135" s="19" t="s">
        <v>68</v>
      </c>
      <c r="L135" s="17"/>
      <c r="M135" s="17"/>
      <c r="N135" s="17"/>
      <c r="O135" s="17"/>
      <c r="P135" s="17" t="s">
        <v>403</v>
      </c>
      <c r="Q135" s="17"/>
      <c r="R135" s="17"/>
      <c r="S135" s="17"/>
      <c r="T135" s="17" t="s">
        <v>69</v>
      </c>
      <c r="U135" s="17"/>
      <c r="V135" s="17"/>
      <c r="W135" s="17"/>
      <c r="X135" s="17"/>
      <c r="Y135" s="17"/>
      <c r="Z135" t="str">
        <f>IFERROR(INDEX(הגדרות!$B$2:$B$17,MATCH(H135,הגדרות!$A$2:$A$17,0)),"")</f>
        <v>מדברי</v>
      </c>
      <c r="AA135">
        <f>IFERROR(INDEX(הגדרות!$C$2:$C$17,MATCH(H135,הגדרות!$A$2:$A$17,0)),"")</f>
        <v>0</v>
      </c>
      <c r="AB135" t="str">
        <f>IFERROR(INDEX(הגדרות!$B$2:$B$17,MATCH(I135,הגדרות!$A$2:$A$17,0)),"")</f>
        <v>מדברי</v>
      </c>
      <c r="AC135">
        <f>IFERROR(INDEX(הגדרות!$C$2:$C$17,MATCH(I135,הגדרות!$A$2:$A$17,0)),"")</f>
        <v>0</v>
      </c>
      <c r="AD135">
        <f>IF(AND(מלאי!D135&lt;&gt;"",OR('לוח בקרה'!$B$4="הכל",מלאי!Z135='לוח בקרה'!$B$4,מלאי!AA135='לוח בקרה'!$B$4,מלאי!AB135='לוח בקרה'!$B$4,מלאי!AC135='לוח בקרה'!$B$4),OR('לוח בקרה'!$B$5="הכל",מלאי!A135='לוח בקרה'!$B$5),OR('לוח בקרה'!$B$6="הכל",מלאי!B135='לוח בקרה'!$B$6),OR('לוח בקרה'!$B$7="הכל",מלאי!F135='לוח בקרה'!$B$7,מלאי!G135='לוח בקרה'!$B$7),OR('לוח בקרה'!$B$8="הכל",מלאי!T135='לוח בקרה'!$B$8),OR('לוח בקרה'!$B$9="הכל",מלאי!Q135='לוח בקרה'!$B$9),OR('לוח בקרה'!$E$4="הכל",מלאי!J135='לוח בקרה'!$E$4),OR('לוח בקרה'!$E$5="הכל",מלאי!L135='לוח בקרה'!$E$5),OR('לוח בקרה'!$E$6="הכל",מלאי!O135='לוח בקרה'!$E$6),OR('לוח בקרה'!$E$7="הכל",מלאי!R135='לוח בקרה'!$E$7),OR('לוח בקרה'!$E$8="הכל",'לוח בקרה'!$E$8="",מלאי!W135='לוח בקרה'!$E$8),OR('לוח בקרה'!$E$9="הכל",'לוח בקרה'!$E$9="",ISNUMBER(SEARCH('לוח בקרה'!$E$9,מלאי!C135)))),1,0)</f>
        <v>0</v>
      </c>
      <c r="AE135" t="e">
        <f>IF(AND(מלאי!D135&lt;&gt;"",OR('לוח בקרה טכנו-מבצעי'!$B$4="הכל",מלאי!Z135='לוח בקרה טכנו-מבצעי'!$B$4,מלאי!AA135='לוח בקרה טכנו-מבצעי'!$B$4,מלאי!AB135='לוח בקרה טכנו-מבצעי'!$B$4,מלאי!AC135='לוח בקרה טכנו-מבצעי'!$B$4),OR('לוח בקרה טכנו-מבצעי'!$B$5="הכל",מלאי!A135='לוח בקרה טכנו-מבצעי'!$B$5),OR('לוח בקרה טכנו-מבצעי'!$B$6="הכל",מלאי!B135='לוח בקרה טכנו-מבצעי'!$B$6),OR('לוח בקרה טכנו-מבצעי'!$B$7="הכל",מלאי!F135='לוח בקרה טכנו-מבצעי'!$B$7,מלאי!G135='לוח בקרה טכנו-מבצעי'!$B$7),OR('לוח בקרה טכנו-מבצעי'!$B$8="הכל",מלאי!T135='לוח בקרה טכנו-מבצעי'!$B$8),OR('לוח בקרה טכנו-מבצעי'!$B$9="הכל",מלאי!Q135='לוח בקרה טכנו-מבצעי'!$B$9),OR('לוח בקרה טכנו-מבצעי'!$E$4="הכל",מלאי!J135='לוח בקרה טכנו-מבצעי'!$E$4),OR('לוח בקרה טכנו-מבצעי'!$E$5="הכל",מלאי!L135='לוח בקרה טכנו-מבצעי'!$E$5),OR('לוח בקרה טכנו-מבצעי'!$E$6="הכל",מלאי!O135='לוח בקרה טכנו-מבצעי'!$E$6),OR('לוח בקרה טכנו-מבצעי'!$E$7="הכל",מלאי!R135='לוח בקרה טכנו-מבצעי'!$E$7),OR('לוח בקרה טכנו-מבצעי'!$E$8="הכל",'לוח בקרה טכנו-מבצעי'!$E$8="",מלאי!W135='לוח בקרה טכנו-מבצעי'!$E$8),OR('לוח בקרה טכנו-מבצעי'!$E$9="הכל",'לוח בקרה טכנו-מבצעי'!$E$9="",ISNUMBER(SEARCH('לוח בקרה טכנו-מבצעי'!$E$9,מלאי!C135))),OR('לוח בקרה טכנו-מבצעי'!$B$10="הכל",מלאי!#REF!='לוח בקרה טכנו-מבצעי'!$B$10)),1,0)</f>
        <v>#REF!</v>
      </c>
      <c r="AF135" t="str">
        <f>IF(AD135=1,COUNTIF($AD$3:$AD135,1),"")</f>
        <v/>
      </c>
      <c r="AG135" t="e">
        <f>IF(AE135=1,COUNTIF($AE$3:$AE135,1),"")</f>
        <v>#REF!</v>
      </c>
    </row>
    <row r="136" spans="1:33" ht="15" customHeight="1" x14ac:dyDescent="0.25">
      <c r="A136" s="39" t="s">
        <v>171</v>
      </c>
      <c r="B136" s="39" t="s">
        <v>236</v>
      </c>
      <c r="C136" s="39" t="s">
        <v>64</v>
      </c>
      <c r="D136" s="39" t="s">
        <v>405</v>
      </c>
      <c r="E136" s="17" t="str">
        <f>IFERROR(INDEX(הגדרות!$I$2:$I$47,MATCH(B136,הגדרות!$H$2:$H$47,0)),"")</f>
        <v>9026-00</v>
      </c>
      <c r="F136" s="19" t="s">
        <v>108</v>
      </c>
      <c r="G136" s="17"/>
      <c r="H136" s="19" t="s">
        <v>67</v>
      </c>
      <c r="I136" s="19" t="s">
        <v>96</v>
      </c>
      <c r="J136" s="19" t="s">
        <v>68</v>
      </c>
      <c r="K136" s="19" t="s">
        <v>68</v>
      </c>
      <c r="L136" s="17"/>
      <c r="M136" s="17"/>
      <c r="N136" s="17"/>
      <c r="O136" s="17"/>
      <c r="P136" s="17"/>
      <c r="Q136" s="17"/>
      <c r="R136" s="17"/>
      <c r="S136" s="17"/>
      <c r="T136" s="17" t="s">
        <v>69</v>
      </c>
      <c r="U136" s="17"/>
      <c r="V136" s="17"/>
      <c r="W136" s="17"/>
      <c r="X136" s="17"/>
      <c r="Y136" s="17"/>
      <c r="Z136" t="str">
        <f>IFERROR(INDEX(הגדרות!$B$2:$B$17,MATCH(H136,הגדרות!$A$2:$A$17,0)),"")</f>
        <v>מדברי</v>
      </c>
      <c r="AA136">
        <f>IFERROR(INDEX(הגדרות!$C$2:$C$17,MATCH(H136,הגדרות!$A$2:$A$17,0)),"")</f>
        <v>0</v>
      </c>
      <c r="AB136" t="str">
        <f>IFERROR(INDEX(הגדרות!$B$2:$B$17,MATCH(I136,הגדרות!$A$2:$A$17,0)),"")</f>
        <v>מדברי</v>
      </c>
      <c r="AC136">
        <f>IFERROR(INDEX(הגדרות!$C$2:$C$17,MATCH(I136,הגדרות!$A$2:$A$17,0)),"")</f>
        <v>0</v>
      </c>
      <c r="AD136">
        <f>IF(AND(מלאי!D136&lt;&gt;"",OR('לוח בקרה'!$B$4="הכל",מלאי!Z136='לוח בקרה'!$B$4,מלאי!AA136='לוח בקרה'!$B$4,מלאי!AB136='לוח בקרה'!$B$4,מלאי!AC136='לוח בקרה'!$B$4),OR('לוח בקרה'!$B$5="הכל",מלאי!A136='לוח בקרה'!$B$5),OR('לוח בקרה'!$B$6="הכל",מלאי!B136='לוח בקרה'!$B$6),OR('לוח בקרה'!$B$7="הכל",מלאי!F136='לוח בקרה'!$B$7,מלאי!G136='לוח בקרה'!$B$7),OR('לוח בקרה'!$B$8="הכל",מלאי!T136='לוח בקרה'!$B$8),OR('לוח בקרה'!$B$9="הכל",מלאי!Q136='לוח בקרה'!$B$9),OR('לוח בקרה'!$E$4="הכל",מלאי!J136='לוח בקרה'!$E$4),OR('לוח בקרה'!$E$5="הכל",מלאי!L136='לוח בקרה'!$E$5),OR('לוח בקרה'!$E$6="הכל",מלאי!O136='לוח בקרה'!$E$6),OR('לוח בקרה'!$E$7="הכל",מלאי!R136='לוח בקרה'!$E$7),OR('לוח בקרה'!$E$8="הכל",'לוח בקרה'!$E$8="",מלאי!W136='לוח בקרה'!$E$8),OR('לוח בקרה'!$E$9="הכל",'לוח בקרה'!$E$9="",ISNUMBER(SEARCH('לוח בקרה'!$E$9,מלאי!C136)))),1,0)</f>
        <v>0</v>
      </c>
      <c r="AE136" t="e">
        <f>IF(AND(מלאי!D136&lt;&gt;"",OR('לוח בקרה טכנו-מבצעי'!$B$4="הכל",מלאי!Z136='לוח בקרה טכנו-מבצעי'!$B$4,מלאי!AA136='לוח בקרה טכנו-מבצעי'!$B$4,מלאי!AB136='לוח בקרה טכנו-מבצעי'!$B$4,מלאי!AC136='לוח בקרה טכנו-מבצעי'!$B$4),OR('לוח בקרה טכנו-מבצעי'!$B$5="הכל",מלאי!A136='לוח בקרה טכנו-מבצעי'!$B$5),OR('לוח בקרה טכנו-מבצעי'!$B$6="הכל",מלאי!B136='לוח בקרה טכנו-מבצעי'!$B$6),OR('לוח בקרה טכנו-מבצעי'!$B$7="הכל",מלאי!F136='לוח בקרה טכנו-מבצעי'!$B$7,מלאי!G136='לוח בקרה טכנו-מבצעי'!$B$7),OR('לוח בקרה טכנו-מבצעי'!$B$8="הכל",מלאי!T136='לוח בקרה טכנו-מבצעי'!$B$8),OR('לוח בקרה טכנו-מבצעי'!$B$9="הכל",מלאי!Q136='לוח בקרה טכנו-מבצעי'!$B$9),OR('לוח בקרה טכנו-מבצעי'!$E$4="הכל",מלאי!J136='לוח בקרה טכנו-מבצעי'!$E$4),OR('לוח בקרה טכנו-מבצעי'!$E$5="הכל",מלאי!L136='לוח בקרה טכנו-מבצעי'!$E$5),OR('לוח בקרה טכנו-מבצעי'!$E$6="הכל",מלאי!O136='לוח בקרה טכנו-מבצעי'!$E$6),OR('לוח בקרה טכנו-מבצעי'!$E$7="הכל",מלאי!R136='לוח בקרה טכנו-מבצעי'!$E$7),OR('לוח בקרה טכנו-מבצעי'!$E$8="הכל",'לוח בקרה טכנו-מבצעי'!$E$8="",מלאי!W136='לוח בקרה טכנו-מבצעי'!$E$8),OR('לוח בקרה טכנו-מבצעי'!$E$9="הכל",'לוח בקרה טכנו-מבצעי'!$E$9="",ISNUMBER(SEARCH('לוח בקרה טכנו-מבצעי'!$E$9,מלאי!C136))),OR('לוח בקרה טכנו-מבצעי'!$B$10="הכל",מלאי!#REF!='לוח בקרה טכנו-מבצעי'!$B$10)),1,0)</f>
        <v>#REF!</v>
      </c>
      <c r="AF136" t="str">
        <f>IF(AD136=1,COUNTIF($AD$3:$AD136,1),"")</f>
        <v/>
      </c>
      <c r="AG136" t="e">
        <f>IF(AE136=1,COUNTIF($AE$3:$AE136,1),"")</f>
        <v>#REF!</v>
      </c>
    </row>
    <row r="137" spans="1:33" ht="15" customHeight="1" x14ac:dyDescent="0.25">
      <c r="A137" s="39" t="s">
        <v>171</v>
      </c>
      <c r="B137" s="39" t="s">
        <v>406</v>
      </c>
      <c r="C137" s="39" t="s">
        <v>64</v>
      </c>
      <c r="D137" s="39" t="s">
        <v>407</v>
      </c>
      <c r="E137" s="17" t="str">
        <f>IFERROR(INDEX(הגדרות!$I$2:$I$47,MATCH(B137,הגדרות!$H$2:$H$47,0)),"")</f>
        <v/>
      </c>
      <c r="F137" s="17" t="s">
        <v>184</v>
      </c>
      <c r="G137" s="17"/>
      <c r="H137" s="19" t="s">
        <v>67</v>
      </c>
      <c r="I137" s="19" t="s">
        <v>96</v>
      </c>
      <c r="J137" s="17" t="s">
        <v>68</v>
      </c>
      <c r="K137" s="17" t="s">
        <v>68</v>
      </c>
      <c r="L137" s="17" t="s">
        <v>14</v>
      </c>
      <c r="M137" s="17" t="s">
        <v>14</v>
      </c>
      <c r="N137" s="17"/>
      <c r="O137" s="17"/>
      <c r="P137" s="17" t="s">
        <v>408</v>
      </c>
      <c r="Q137" s="17" t="s">
        <v>68</v>
      </c>
      <c r="R137" s="17"/>
      <c r="S137" s="17"/>
      <c r="T137" s="17" t="s">
        <v>69</v>
      </c>
      <c r="U137" s="17"/>
      <c r="V137" s="17"/>
      <c r="W137" s="17"/>
      <c r="X137" s="17"/>
      <c r="Y137" s="17"/>
      <c r="Z137" t="str">
        <f>IFERROR(INDEX(הגדרות!$B$2:$B$17,MATCH(H137,הגדרות!$A$2:$A$17,0)),"")</f>
        <v>מדברי</v>
      </c>
      <c r="AA137">
        <f>IFERROR(INDEX(הגדרות!$C$2:$C$17,MATCH(H137,הגדרות!$A$2:$A$17,0)),"")</f>
        <v>0</v>
      </c>
      <c r="AB137" t="str">
        <f>IFERROR(INDEX(הגדרות!$B$2:$B$17,MATCH(I137,הגדרות!$A$2:$A$17,0)),"")</f>
        <v>מדברי</v>
      </c>
      <c r="AC137">
        <f>IFERROR(INDEX(הגדרות!$C$2:$C$17,MATCH(I137,הגדרות!$A$2:$A$17,0)),"")</f>
        <v>0</v>
      </c>
      <c r="AD137">
        <f>IF(AND(מלאי!D137&lt;&gt;"",OR('לוח בקרה'!$B$4="הכל",מלאי!Z137='לוח בקרה'!$B$4,מלאי!AA137='לוח בקרה'!$B$4,מלאי!AB137='לוח בקרה'!$B$4,מלאי!AC137='לוח בקרה'!$B$4),OR('לוח בקרה'!$B$5="הכל",מלאי!A137='לוח בקרה'!$B$5),OR('לוח בקרה'!$B$6="הכל",מלאי!B137='לוח בקרה'!$B$6),OR('לוח בקרה'!$B$7="הכל",מלאי!F137='לוח בקרה'!$B$7,מלאי!G137='לוח בקרה'!$B$7),OR('לוח בקרה'!$B$8="הכל",מלאי!T137='לוח בקרה'!$B$8),OR('לוח בקרה'!$B$9="הכל",מלאי!Q137='לוח בקרה'!$B$9),OR('לוח בקרה'!$E$4="הכל",מלאי!J137='לוח בקרה'!$E$4),OR('לוח בקרה'!$E$5="הכל",מלאי!L137='לוח בקרה'!$E$5),OR('לוח בקרה'!$E$6="הכל",מלאי!O137='לוח בקרה'!$E$6),OR('לוח בקרה'!$E$7="הכל",מלאי!R137='לוח בקרה'!$E$7),OR('לוח בקרה'!$E$8="הכל",'לוח בקרה'!$E$8="",מלאי!W137='לוח בקרה'!$E$8),OR('לוח בקרה'!$E$9="הכל",'לוח בקרה'!$E$9="",ISNUMBER(SEARCH('לוח בקרה'!$E$9,מלאי!C137)))),1,0)</f>
        <v>0</v>
      </c>
      <c r="AE137" t="e">
        <f>IF(AND(מלאי!D137&lt;&gt;"",OR('לוח בקרה טכנו-מבצעי'!$B$4="הכל",מלאי!Z137='לוח בקרה טכנו-מבצעי'!$B$4,מלאי!AA137='לוח בקרה טכנו-מבצעי'!$B$4,מלאי!AB137='לוח בקרה טכנו-מבצעי'!$B$4,מלאי!AC137='לוח בקרה טכנו-מבצעי'!$B$4),OR('לוח בקרה טכנו-מבצעי'!$B$5="הכל",מלאי!A137='לוח בקרה טכנו-מבצעי'!$B$5),OR('לוח בקרה טכנו-מבצעי'!$B$6="הכל",מלאי!B137='לוח בקרה טכנו-מבצעי'!$B$6),OR('לוח בקרה טכנו-מבצעי'!$B$7="הכל",מלאי!F137='לוח בקרה טכנו-מבצעי'!$B$7,מלאי!G137='לוח בקרה טכנו-מבצעי'!$B$7),OR('לוח בקרה טכנו-מבצעי'!$B$8="הכל",מלאי!T137='לוח בקרה טכנו-מבצעי'!$B$8),OR('לוח בקרה טכנו-מבצעי'!$B$9="הכל",מלאי!Q137='לוח בקרה טכנו-מבצעי'!$B$9),OR('לוח בקרה טכנו-מבצעי'!$E$4="הכל",מלאי!J137='לוח בקרה טכנו-מבצעי'!$E$4),OR('לוח בקרה טכנו-מבצעי'!$E$5="הכל",מלאי!L137='לוח בקרה טכנו-מבצעי'!$E$5),OR('לוח בקרה טכנו-מבצעי'!$E$6="הכל",מלאי!O137='לוח בקרה טכנו-מבצעי'!$E$6),OR('לוח בקרה טכנו-מבצעי'!$E$7="הכל",מלאי!R137='לוח בקרה טכנו-מבצעי'!$E$7),OR('לוח בקרה טכנו-מבצעי'!$E$8="הכל",'לוח בקרה טכנו-מבצעי'!$E$8="",מלאי!W137='לוח בקרה טכנו-מבצעי'!$E$8),OR('לוח בקרה טכנו-מבצעי'!$E$9="הכל",'לוח בקרה טכנו-מבצעי'!$E$9="",ISNUMBER(SEARCH('לוח בקרה טכנו-מבצעי'!$E$9,מלאי!C137))),OR('לוח בקרה טכנו-מבצעי'!$B$10="הכל",מלאי!#REF!='לוח בקרה טכנו-מבצעי'!$B$10)),1,0)</f>
        <v>#REF!</v>
      </c>
      <c r="AF137" t="str">
        <f>IF(AD137=1,COUNTIF($AD$3:$AD137,1),"")</f>
        <v/>
      </c>
      <c r="AG137" t="e">
        <f>IF(AE137=1,COUNTIF($AE$3:$AE137,1),"")</f>
        <v>#REF!</v>
      </c>
    </row>
    <row r="138" spans="1:33" ht="15" customHeight="1" x14ac:dyDescent="0.25">
      <c r="A138" s="39" t="s">
        <v>171</v>
      </c>
      <c r="B138" s="40" t="s">
        <v>409</v>
      </c>
      <c r="C138" s="40"/>
      <c r="D138" s="40" t="s">
        <v>410</v>
      </c>
      <c r="E138" s="19" t="str">
        <f>IFERROR(INDEX(הגדרות!$I$2:$I$47,MATCH(B138,הגדרות!$H$2:$H$47,0)),"")</f>
        <v/>
      </c>
      <c r="F138" s="19" t="s">
        <v>108</v>
      </c>
      <c r="G138" s="19"/>
      <c r="H138" s="19" t="s">
        <v>67</v>
      </c>
      <c r="I138" s="19" t="s">
        <v>96</v>
      </c>
      <c r="J138" s="17" t="s">
        <v>68</v>
      </c>
      <c r="K138" s="17" t="s">
        <v>68</v>
      </c>
      <c r="L138" s="17" t="s">
        <v>14</v>
      </c>
      <c r="M138" s="17" t="s">
        <v>14</v>
      </c>
      <c r="N138" s="19"/>
      <c r="O138" s="19"/>
      <c r="P138" s="19"/>
      <c r="Q138" s="19"/>
      <c r="R138" s="19"/>
      <c r="S138" s="19"/>
      <c r="T138" s="19" t="s">
        <v>69</v>
      </c>
      <c r="U138" s="19"/>
      <c r="V138" s="19"/>
      <c r="W138" s="19"/>
      <c r="X138" s="19"/>
      <c r="Y138" s="19"/>
      <c r="Z138" t="str">
        <f>IFERROR(INDEX(הגדרות!$B$2:$B$17,MATCH(H138,הגדרות!$A$2:$A$17,0)),"")</f>
        <v>מדברי</v>
      </c>
      <c r="AA138">
        <f>IFERROR(INDEX(הגדרות!$C$2:$C$17,MATCH(H138,הגדרות!$A$2:$A$17,0)),"")</f>
        <v>0</v>
      </c>
      <c r="AB138" t="str">
        <f>IFERROR(INDEX(הגדרות!$B$2:$B$17,MATCH(I138,הגדרות!$A$2:$A$17,0)),"")</f>
        <v>מדברי</v>
      </c>
      <c r="AC138">
        <f>IFERROR(INDEX(הגדרות!$C$2:$C$17,MATCH(I138,הגדרות!$A$2:$A$17,0)),"")</f>
        <v>0</v>
      </c>
      <c r="AD138">
        <f>IF(AND(מלאי!D138&lt;&gt;"",OR('לוח בקרה'!$B$4="הכל",מלאי!Z138='לוח בקרה'!$B$4,מלאי!AA138='לוח בקרה'!$B$4,מלאי!AB138='לוח בקרה'!$B$4,מלאי!AC138='לוח בקרה'!$B$4),OR('לוח בקרה'!$B$5="הכל",מלאי!A138='לוח בקרה'!$B$5),OR('לוח בקרה'!$B$6="הכל",מלאי!B138='לוח בקרה'!$B$6),OR('לוח בקרה'!$B$7="הכל",מלאי!F138='לוח בקרה'!$B$7,מלאי!G138='לוח בקרה'!$B$7),OR('לוח בקרה'!$B$8="הכל",מלאי!T138='לוח בקרה'!$B$8),OR('לוח בקרה'!$B$9="הכל",מלאי!Q138='לוח בקרה'!$B$9),OR('לוח בקרה'!$E$4="הכל",מלאי!J138='לוח בקרה'!$E$4),OR('לוח בקרה'!$E$5="הכל",מלאי!L138='לוח בקרה'!$E$5),OR('לוח בקרה'!$E$6="הכל",מלאי!O138='לוח בקרה'!$E$6),OR('לוח בקרה'!$E$7="הכל",מלאי!R138='לוח בקרה'!$E$7),OR('לוח בקרה'!$E$8="הכל",'לוח בקרה'!$E$8="",מלאי!W138='לוח בקרה'!$E$8),OR('לוח בקרה'!$E$9="הכל",'לוח בקרה'!$E$9="",ISNUMBER(SEARCH('לוח בקרה'!$E$9,מלאי!C138)))),1,0)</f>
        <v>0</v>
      </c>
      <c r="AE138" t="e">
        <f>IF(AND(מלאי!D138&lt;&gt;"",OR('לוח בקרה טכנו-מבצעי'!$B$4="הכל",מלאי!Z138='לוח בקרה טכנו-מבצעי'!$B$4,מלאי!AA138='לוח בקרה טכנו-מבצעי'!$B$4,מלאי!AB138='לוח בקרה טכנו-מבצעי'!$B$4,מלאי!AC138='לוח בקרה טכנו-מבצעי'!$B$4),OR('לוח בקרה טכנו-מבצעי'!$B$5="הכל",מלאי!A138='לוח בקרה טכנו-מבצעי'!$B$5),OR('לוח בקרה טכנו-מבצעי'!$B$6="הכל",מלאי!B138='לוח בקרה טכנו-מבצעי'!$B$6),OR('לוח בקרה טכנו-מבצעי'!$B$7="הכל",מלאי!F138='לוח בקרה טכנו-מבצעי'!$B$7,מלאי!G138='לוח בקרה טכנו-מבצעי'!$B$7),OR('לוח בקרה טכנו-מבצעי'!$B$8="הכל",מלאי!T138='לוח בקרה טכנו-מבצעי'!$B$8),OR('לוח בקרה טכנו-מבצעי'!$B$9="הכל",מלאי!Q138='לוח בקרה טכנו-מבצעי'!$B$9),OR('לוח בקרה טכנו-מבצעי'!$E$4="הכל",מלאי!J138='לוח בקרה טכנו-מבצעי'!$E$4),OR('לוח בקרה טכנו-מבצעי'!$E$5="הכל",מלאי!L138='לוח בקרה טכנו-מבצעי'!$E$5),OR('לוח בקרה טכנו-מבצעי'!$E$6="הכל",מלאי!O138='לוח בקרה טכנו-מבצעי'!$E$6),OR('לוח בקרה טכנו-מבצעי'!$E$7="הכל",מלאי!R138='לוח בקרה טכנו-מבצעי'!$E$7),OR('לוח בקרה טכנו-מבצעי'!$E$8="הכל",'לוח בקרה טכנו-מבצעי'!$E$8="",מלאי!W138='לוח בקרה טכנו-מבצעי'!$E$8),OR('לוח בקרה טכנו-מבצעי'!$E$9="הכל",'לוח בקרה טכנו-מבצעי'!$E$9="",ISNUMBER(SEARCH('לוח בקרה טכנו-מבצעי'!$E$9,מלאי!C138))),OR('לוח בקרה טכנו-מבצעי'!$B$10="הכל",מלאי!#REF!='לוח בקרה טכנו-מבצעי'!$B$10)),1,0)</f>
        <v>#REF!</v>
      </c>
      <c r="AF138" t="str">
        <f>IF(AD138=1,COUNTIF($AD$3:$AD138,1),"")</f>
        <v/>
      </c>
      <c r="AG138" t="e">
        <f>IF(AE138=1,COUNTIF($AE$3:$AE138,1),"")</f>
        <v>#REF!</v>
      </c>
    </row>
    <row r="139" spans="1:33" ht="15" customHeight="1" x14ac:dyDescent="0.25">
      <c r="A139" s="39" t="s">
        <v>191</v>
      </c>
      <c r="B139" s="39" t="s">
        <v>398</v>
      </c>
      <c r="C139" s="39"/>
      <c r="D139" s="39" t="s">
        <v>411</v>
      </c>
      <c r="E139" s="17" t="str">
        <f>IFERROR(INDEX(הגדרות!$I$2:$I$47,MATCH(B139,הגדרות!$H$2:$H$47,0)),"")</f>
        <v/>
      </c>
      <c r="F139" s="17" t="s">
        <v>184</v>
      </c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 t="s">
        <v>68</v>
      </c>
      <c r="R139" s="17"/>
      <c r="S139" s="17"/>
      <c r="T139" s="17" t="s">
        <v>69</v>
      </c>
      <c r="U139" s="17" t="s">
        <v>412</v>
      </c>
      <c r="V139" s="17"/>
      <c r="W139" s="17"/>
      <c r="X139" s="17"/>
      <c r="Y139" s="17"/>
      <c r="Z139" t="str">
        <f>IFERROR(INDEX(הגדרות!$B$2:$B$17,MATCH(H139,הגדרות!$A$2:$A$17,0)),"")</f>
        <v/>
      </c>
      <c r="AA139" t="str">
        <f>IFERROR(INDEX(הגדרות!$C$2:$C$17,MATCH(H139,הגדרות!$A$2:$A$17,0)),"")</f>
        <v/>
      </c>
      <c r="AB139" t="str">
        <f>IFERROR(INDEX(הגדרות!$B$2:$B$17,MATCH(I139,הגדרות!$A$2:$A$17,0)),"")</f>
        <v/>
      </c>
      <c r="AC139" t="str">
        <f>IFERROR(INDEX(הגדרות!$C$2:$C$17,MATCH(I139,הגדרות!$A$2:$A$17,0)),"")</f>
        <v/>
      </c>
      <c r="AD139">
        <f>IF(AND(מלאי!D139&lt;&gt;"",OR('לוח בקרה'!$B$4="הכל",מלאי!Z139='לוח בקרה'!$B$4,מלאי!AA139='לוח בקרה'!$B$4,מלאי!AB139='לוח בקרה'!$B$4,מלאי!AC139='לוח בקרה'!$B$4),OR('לוח בקרה'!$B$5="הכל",מלאי!A139='לוח בקרה'!$B$5),OR('לוח בקרה'!$B$6="הכל",מלאי!B139='לוח בקרה'!$B$6),OR('לוח בקרה'!$B$7="הכל",מלאי!F139='לוח בקרה'!$B$7,מלאי!G139='לוח בקרה'!$B$7),OR('לוח בקרה'!$B$8="הכל",מלאי!T139='לוח בקרה'!$B$8),OR('לוח בקרה'!$B$9="הכל",מלאי!Q139='לוח בקרה'!$B$9),OR('לוח בקרה'!$E$4="הכל",מלאי!J139='לוח בקרה'!$E$4),OR('לוח בקרה'!$E$5="הכל",מלאי!L139='לוח בקרה'!$E$5),OR('לוח בקרה'!$E$6="הכל",מלאי!O139='לוח בקרה'!$E$6),OR('לוח בקרה'!$E$7="הכל",מלאי!R139='לוח בקרה'!$E$7),OR('לוח בקרה'!$E$8="הכל",'לוח בקרה'!$E$8="",מלאי!W139='לוח בקרה'!$E$8),OR('לוח בקרה'!$E$9="הכל",'לוח בקרה'!$E$9="",ISNUMBER(SEARCH('לוח בקרה'!$E$9,מלאי!C139)))),1,0)</f>
        <v>0</v>
      </c>
      <c r="AE139" t="e">
        <f>IF(AND(מלאי!D139&lt;&gt;"",OR('לוח בקרה טכנו-מבצעי'!$B$4="הכל",מלאי!Z139='לוח בקרה טכנו-מבצעי'!$B$4,מלאי!AA139='לוח בקרה טכנו-מבצעי'!$B$4,מלאי!AB139='לוח בקרה טכנו-מבצעי'!$B$4,מלאי!AC139='לוח בקרה טכנו-מבצעי'!$B$4),OR('לוח בקרה טכנו-מבצעי'!$B$5="הכל",מלאי!A139='לוח בקרה טכנו-מבצעי'!$B$5),OR('לוח בקרה טכנו-מבצעי'!$B$6="הכל",מלאי!B139='לוח בקרה טכנו-מבצעי'!$B$6),OR('לוח בקרה טכנו-מבצעי'!$B$7="הכל",מלאי!F139='לוח בקרה טכנו-מבצעי'!$B$7,מלאי!G139='לוח בקרה טכנו-מבצעי'!$B$7),OR('לוח בקרה טכנו-מבצעי'!$B$8="הכל",מלאי!T139='לוח בקרה טכנו-מבצעי'!$B$8),OR('לוח בקרה טכנו-מבצעי'!$B$9="הכל",מלאי!Q139='לוח בקרה טכנו-מבצעי'!$B$9),OR('לוח בקרה טכנו-מבצעי'!$E$4="הכל",מלאי!J139='לוח בקרה טכנו-מבצעי'!$E$4),OR('לוח בקרה טכנו-מבצעי'!$E$5="הכל",מלאי!L139='לוח בקרה טכנו-מבצעי'!$E$5),OR('לוח בקרה טכנו-מבצעי'!$E$6="הכל",מלאי!O139='לוח בקרה טכנו-מבצעי'!$E$6),OR('לוח בקרה טכנו-מבצעי'!$E$7="הכל",מלאי!R139='לוח בקרה טכנו-מבצעי'!$E$7),OR('לוח בקרה טכנו-מבצעי'!$E$8="הכל",'לוח בקרה טכנו-מבצעי'!$E$8="",מלאי!W139='לוח בקרה טכנו-מבצעי'!$E$8),OR('לוח בקרה טכנו-מבצעי'!$E$9="הכל",'לוח בקרה טכנו-מבצעי'!$E$9="",ISNUMBER(SEARCH('לוח בקרה טכנו-מבצעי'!$E$9,מלאי!C139))),OR('לוח בקרה טכנו-מבצעי'!$B$10="הכל",מלאי!#REF!='לוח בקרה טכנו-מבצעי'!$B$10)),1,0)</f>
        <v>#REF!</v>
      </c>
      <c r="AF139" t="str">
        <f>IF(AD139=1,COUNTIF($AD$3:$AD139,1),"")</f>
        <v/>
      </c>
      <c r="AG139" t="e">
        <f>IF(AE139=1,COUNTIF($AE$3:$AE139,1),"")</f>
        <v>#REF!</v>
      </c>
    </row>
    <row r="140" spans="1:33" ht="15" customHeight="1" x14ac:dyDescent="0.25">
      <c r="A140" s="39" t="s">
        <v>171</v>
      </c>
      <c r="B140" s="40"/>
      <c r="C140" s="40"/>
      <c r="D140" t="s">
        <v>425</v>
      </c>
      <c r="E140" s="19" t="str">
        <f>IFERROR(INDEX(הגדרות!$I$2:$I$47,MATCH(B140,הגדרות!$H$2:$H$47,0)),"")</f>
        <v/>
      </c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7" t="s">
        <v>69</v>
      </c>
      <c r="U140" s="19"/>
      <c r="V140" s="19"/>
      <c r="W140" s="19"/>
      <c r="X140" s="19"/>
      <c r="Y140" s="19"/>
      <c r="Z140" t="str">
        <f>IFERROR(INDEX(הגדרות!$B$2:$B$17,MATCH(H140,הגדרות!$A$2:$A$17,0)),"")</f>
        <v/>
      </c>
      <c r="AA140" t="str">
        <f>IFERROR(INDEX(הגדרות!$C$2:$C$17,MATCH(H140,הגדרות!$A$2:$A$17,0)),"")</f>
        <v/>
      </c>
      <c r="AB140" t="str">
        <f>IFERROR(INDEX(הגדרות!$B$2:$B$17,MATCH(I140,הגדרות!$A$2:$A$17,0)),"")</f>
        <v/>
      </c>
      <c r="AC140" t="str">
        <f>IFERROR(INDEX(הגדרות!$C$2:$C$17,MATCH(I140,הגדרות!$A$2:$A$17,0)),"")</f>
        <v/>
      </c>
      <c r="AD140">
        <f>IF(AND(מלאי!D140&lt;&gt;"",OR('לוח בקרה'!$B$4="הכל",מלאי!Z140='לוח בקרה'!$B$4,מלאי!AA140='לוח בקרה'!$B$4,מלאי!AB140='לוח בקרה'!$B$4,מלאי!AC140='לוח בקרה'!$B$4),OR('לוח בקרה'!$B$5="הכל",מלאי!A140='לוח בקרה'!$B$5),OR('לוח בקרה'!$B$6="הכל",מלאי!B140='לוח בקרה'!$B$6),OR('לוח בקרה'!$B$7="הכל",מלאי!F140='לוח בקרה'!$B$7,מלאי!G140='לוח בקרה'!$B$7),OR('לוח בקרה'!$B$8="הכל",מלאי!T140='לוח בקרה'!$B$8),OR('לוח בקרה'!$B$9="הכל",מלאי!Q140='לוח בקרה'!$B$9),OR('לוח בקרה'!$E$4="הכל",מלאי!J140='לוח בקרה'!$E$4),OR('לוח בקרה'!$E$5="הכל",מלאי!L140='לוח בקרה'!$E$5),OR('לוח בקרה'!$E$6="הכל",מלאי!O140='לוח בקרה'!$E$6),OR('לוח בקרה'!$E$7="הכל",מלאי!R140='לוח בקרה'!$E$7),OR('לוח בקרה'!$E$8="הכל",'לוח בקרה'!$E$8="",מלאי!W140='לוח בקרה'!$E$8),OR('לוח בקרה'!$E$9="הכל",'לוח בקרה'!$E$9="",ISNUMBER(SEARCH('לוח בקרה'!$E$9,מלאי!C140)))),1,0)</f>
        <v>0</v>
      </c>
      <c r="AE140" t="e">
        <f>IF(AND(מלאי!D140&lt;&gt;"",OR('לוח בקרה טכנו-מבצעי'!$B$4="הכל",מלאי!Z140='לוח בקרה טכנו-מבצעי'!$B$4,מלאי!AA140='לוח בקרה טכנו-מבצעי'!$B$4,מלאי!AB140='לוח בקרה טכנו-מבצעי'!$B$4,מלאי!AC140='לוח בקרה טכנו-מבצעי'!$B$4),OR('לוח בקרה טכנו-מבצעי'!$B$5="הכל",מלאי!A140='לוח בקרה טכנו-מבצעי'!$B$5),OR('לוח בקרה טכנו-מבצעי'!$B$6="הכל",מלאי!B140='לוח בקרה טכנו-מבצעי'!$B$6),OR('לוח בקרה טכנו-מבצעי'!$B$7="הכל",מלאי!F140='לוח בקרה טכנו-מבצעי'!$B$7,מלאי!G140='לוח בקרה טכנו-מבצעי'!$B$7),OR('לוח בקרה טכנו-מבצעי'!$B$8="הכל",מלאי!T140='לוח בקרה טכנו-מבצעי'!$B$8),OR('לוח בקרה טכנו-מבצעי'!$B$9="הכל",מלאי!Q140='לוח בקרה טכנו-מבצעי'!$B$9),OR('לוח בקרה טכנו-מבצעי'!$E$4="הכל",מלאי!J140='לוח בקרה טכנו-מבצעי'!$E$4),OR('לוח בקרה טכנו-מבצעי'!$E$5="הכל",מלאי!L140='לוח בקרה טכנו-מבצעי'!$E$5),OR('לוח בקרה טכנו-מבצעי'!$E$6="הכל",מלאי!O140='לוח בקרה טכנו-מבצעי'!$E$6),OR('לוח בקרה טכנו-מבצעי'!$E$7="הכל",מלאי!R140='לוח בקרה טכנו-מבצעי'!$E$7),OR('לוח בקרה טכנו-מבצעי'!$E$8="הכל",'לוח בקרה טכנו-מבצעי'!$E$8="",מלאי!W140='לוח בקרה טכנו-מבצעי'!$E$8),OR('לוח בקרה טכנו-מבצעי'!$E$9="הכל",'לוח בקרה טכנו-מבצעי'!$E$9="",ISNUMBER(SEARCH('לוח בקרה טכנו-מבצעי'!$E$9,מלאי!C140))),OR('לוח בקרה טכנו-מבצעי'!$B$10="הכל",מלאי!#REF!='לוח בקרה טכנו-מבצעי'!$B$10)),1,0)</f>
        <v>#REF!</v>
      </c>
      <c r="AF140" t="str">
        <f>IF(AD140=1,COUNTIF($AD$3:$AD140,1),"")</f>
        <v/>
      </c>
      <c r="AG140" t="e">
        <f>IF(AE140=1,COUNTIF($AE$3:$AE140,1),"")</f>
        <v>#REF!</v>
      </c>
    </row>
    <row r="141" spans="1:33" ht="15" customHeight="1" x14ac:dyDescent="0.25">
      <c r="A141" s="39" t="s">
        <v>171</v>
      </c>
      <c r="B141" s="39"/>
      <c r="C141" s="39"/>
      <c r="D141" s="40" t="s">
        <v>413</v>
      </c>
      <c r="E141" s="17" t="str">
        <f>IFERROR(INDEX(הגדרות!$I$2:$I$47,MATCH(B141,הגדרות!$H$2:$H$47,0)),"")</f>
        <v/>
      </c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 t="s">
        <v>69</v>
      </c>
      <c r="U141" s="17"/>
      <c r="V141" s="17"/>
      <c r="W141" s="17"/>
      <c r="X141" s="17"/>
      <c r="Y141" s="17"/>
      <c r="Z141" t="str">
        <f>IFERROR(INDEX(הגדרות!$B$2:$B$17,MATCH(H141,הגדרות!$A$2:$A$17,0)),"")</f>
        <v/>
      </c>
      <c r="AA141" t="str">
        <f>IFERROR(INDEX(הגדרות!$C$2:$C$17,MATCH(H141,הגדרות!$A$2:$A$17,0)),"")</f>
        <v/>
      </c>
      <c r="AB141" t="str">
        <f>IFERROR(INDEX(הגדרות!$B$2:$B$17,MATCH(I141,הגדרות!$A$2:$A$17,0)),"")</f>
        <v/>
      </c>
      <c r="AC141" t="str">
        <f>IFERROR(INDEX(הגדרות!$C$2:$C$17,MATCH(I141,הגדרות!$A$2:$A$17,0)),"")</f>
        <v/>
      </c>
      <c r="AD141">
        <f>IF(AND(מלאי!D141&lt;&gt;"",OR('לוח בקרה'!$B$4="הכל",מלאי!Z141='לוח בקרה'!$B$4,מלאי!AA141='לוח בקרה'!$B$4,מלאי!AB141='לוח בקרה'!$B$4,מלאי!AC141='לוח בקרה'!$B$4),OR('לוח בקרה'!$B$5="הכל",מלאי!A141='לוח בקרה'!$B$5),OR('לוח בקרה'!$B$6="הכל",מלאי!B141='לוח בקרה'!$B$6),OR('לוח בקרה'!$B$7="הכל",מלאי!F141='לוח בקרה'!$B$7,מלאי!G141='לוח בקרה'!$B$7),OR('לוח בקרה'!$B$8="הכל",מלאי!T141='לוח בקרה'!$B$8),OR('לוח בקרה'!$B$9="הכל",מלאי!Q141='לוח בקרה'!$B$9),OR('לוח בקרה'!$E$4="הכל",מלאי!J141='לוח בקרה'!$E$4),OR('לוח בקרה'!$E$5="הכל",מלאי!L141='לוח בקרה'!$E$5),OR('לוח בקרה'!$E$6="הכל",מלאי!O141='לוח בקרה'!$E$6),OR('לוח בקרה'!$E$7="הכל",מלאי!R141='לוח בקרה'!$E$7),OR('לוח בקרה'!$E$8="הכל",'לוח בקרה'!$E$8="",מלאי!W141='לוח בקרה'!$E$8),OR('לוח בקרה'!$E$9="הכל",'לוח בקרה'!$E$9="",ISNUMBER(SEARCH('לוח בקרה'!$E$9,מלאי!C141)))),1,0)</f>
        <v>0</v>
      </c>
      <c r="AE141" t="e">
        <f>IF(AND(מלאי!D141&lt;&gt;"",OR('לוח בקרה טכנו-מבצעי'!$B$4="הכל",מלאי!Z141='לוח בקרה טכנו-מבצעי'!$B$4,מלאי!AA141='לוח בקרה טכנו-מבצעי'!$B$4,מלאי!AB141='לוח בקרה טכנו-מבצעי'!$B$4,מלאי!AC141='לוח בקרה טכנו-מבצעי'!$B$4),OR('לוח בקרה טכנו-מבצעי'!$B$5="הכל",מלאי!A141='לוח בקרה טכנו-מבצעי'!$B$5),OR('לוח בקרה טכנו-מבצעי'!$B$6="הכל",מלאי!B141='לוח בקרה טכנו-מבצעי'!$B$6),OR('לוח בקרה טכנו-מבצעי'!$B$7="הכל",מלאי!F141='לוח בקרה טכנו-מבצעי'!$B$7,מלאי!G141='לוח בקרה טכנו-מבצעי'!$B$7),OR('לוח בקרה טכנו-מבצעי'!$B$8="הכל",מלאי!T141='לוח בקרה טכנו-מבצעי'!$B$8),OR('לוח בקרה טכנו-מבצעי'!$B$9="הכל",מלאי!Q141='לוח בקרה טכנו-מבצעי'!$B$9),OR('לוח בקרה טכנו-מבצעי'!$E$4="הכל",מלאי!J141='לוח בקרה טכנו-מבצעי'!$E$4),OR('לוח בקרה טכנו-מבצעי'!$E$5="הכל",מלאי!L141='לוח בקרה טכנו-מבצעי'!$E$5),OR('לוח בקרה טכנו-מבצעי'!$E$6="הכל",מלאי!O141='לוח בקרה טכנו-מבצעי'!$E$6),OR('לוח בקרה טכנו-מבצעי'!$E$7="הכל",מלאי!R141='לוח בקרה טכנו-מבצעי'!$E$7),OR('לוח בקרה טכנו-מבצעי'!$E$8="הכל",'לוח בקרה טכנו-מבצעי'!$E$8="",מלאי!W141='לוח בקרה טכנו-מבצעי'!$E$8),OR('לוח בקרה טכנו-מבצעי'!$E$9="הכל",'לוח בקרה טכנו-מבצעי'!$E$9="",ISNUMBER(SEARCH('לוח בקרה טכנו-מבצעי'!$E$9,מלאי!C141))),OR('לוח בקרה טכנו-מבצעי'!$B$10="הכל",מלאי!#REF!='לוח בקרה טכנו-מבצעי'!$B$10)),1,0)</f>
        <v>#REF!</v>
      </c>
      <c r="AF141" t="str">
        <f>IF(AD141=1,COUNTIF($AD$3:$AD141,1),"")</f>
        <v/>
      </c>
      <c r="AG141" t="e">
        <f>IF(AE141=1,COUNTIF($AE$3:$AE141,1),"")</f>
        <v>#REF!</v>
      </c>
    </row>
    <row r="142" spans="1:33" ht="15" customHeight="1" x14ac:dyDescent="0.25">
      <c r="A142" s="39" t="s">
        <v>171</v>
      </c>
      <c r="B142" s="40"/>
      <c r="C142" s="40"/>
      <c r="D142" s="40" t="s">
        <v>414</v>
      </c>
      <c r="E142" s="19" t="str">
        <f>IFERROR(INDEX(הגדרות!$I$2:$I$47,MATCH(B142,הגדרות!$H$2:$H$47,0)),"")</f>
        <v/>
      </c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7" t="s">
        <v>69</v>
      </c>
      <c r="U142" s="19"/>
      <c r="V142" s="19"/>
      <c r="W142" s="19"/>
      <c r="X142" s="19"/>
      <c r="Y142" s="19"/>
      <c r="Z142" t="str">
        <f>IFERROR(INDEX(הגדרות!$B$2:$B$17,MATCH(H142,הגדרות!$A$2:$A$17,0)),"")</f>
        <v/>
      </c>
      <c r="AA142" t="str">
        <f>IFERROR(INDEX(הגדרות!$C$2:$C$17,MATCH(H142,הגדרות!$A$2:$A$17,0)),"")</f>
        <v/>
      </c>
      <c r="AB142" t="str">
        <f>IFERROR(INDEX(הגדרות!$B$2:$B$17,MATCH(I142,הגדרות!$A$2:$A$17,0)),"")</f>
        <v/>
      </c>
      <c r="AC142" t="str">
        <f>IFERROR(INDEX(הגדרות!$C$2:$C$17,MATCH(I142,הגדרות!$A$2:$A$17,0)),"")</f>
        <v/>
      </c>
      <c r="AD142">
        <f>IF(AND(מלאי!D142&lt;&gt;"",OR('לוח בקרה'!$B$4="הכל",מלאי!Z142='לוח בקרה'!$B$4,מלאי!AA142='לוח בקרה'!$B$4,מלאי!AB142='לוח בקרה'!$B$4,מלאי!AC142='לוח בקרה'!$B$4),OR('לוח בקרה'!$B$5="הכל",מלאי!A142='לוח בקרה'!$B$5),OR('לוח בקרה'!$B$6="הכל",מלאי!B142='לוח בקרה'!$B$6),OR('לוח בקרה'!$B$7="הכל",מלאי!F142='לוח בקרה'!$B$7,מלאי!G142='לוח בקרה'!$B$7),OR('לוח בקרה'!$B$8="הכל",מלאי!T142='לוח בקרה'!$B$8),OR('לוח בקרה'!$B$9="הכל",מלאי!Q142='לוח בקרה'!$B$9),OR('לוח בקרה'!$E$4="הכל",מלאי!J142='לוח בקרה'!$E$4),OR('לוח בקרה'!$E$5="הכל",מלאי!L142='לוח בקרה'!$E$5),OR('לוח בקרה'!$E$6="הכל",מלאי!O142='לוח בקרה'!$E$6),OR('לוח בקרה'!$E$7="הכל",מלאי!R142='לוח בקרה'!$E$7),OR('לוח בקרה'!$E$8="הכל",'לוח בקרה'!$E$8="",מלאי!W142='לוח בקרה'!$E$8),OR('לוח בקרה'!$E$9="הכל",'לוח בקרה'!$E$9="",ISNUMBER(SEARCH('לוח בקרה'!$E$9,מלאי!C142)))),1,0)</f>
        <v>0</v>
      </c>
      <c r="AE142" t="e">
        <f>IF(AND(מלאי!D142&lt;&gt;"",OR('לוח בקרה טכנו-מבצעי'!$B$4="הכל",מלאי!Z142='לוח בקרה טכנו-מבצעי'!$B$4,מלאי!AA142='לוח בקרה טכנו-מבצעי'!$B$4,מלאי!AB142='לוח בקרה טכנו-מבצעי'!$B$4,מלאי!AC142='לוח בקרה טכנו-מבצעי'!$B$4),OR('לוח בקרה טכנו-מבצעי'!$B$5="הכל",מלאי!A142='לוח בקרה טכנו-מבצעי'!$B$5),OR('לוח בקרה טכנו-מבצעי'!$B$6="הכל",מלאי!B142='לוח בקרה טכנו-מבצעי'!$B$6),OR('לוח בקרה טכנו-מבצעי'!$B$7="הכל",מלאי!F142='לוח בקרה טכנו-מבצעי'!$B$7,מלאי!G142='לוח בקרה טכנו-מבצעי'!$B$7),OR('לוח בקרה טכנו-מבצעי'!$B$8="הכל",מלאי!T142='לוח בקרה טכנו-מבצעי'!$B$8),OR('לוח בקרה טכנו-מבצעי'!$B$9="הכל",מלאי!Q142='לוח בקרה טכנו-מבצעי'!$B$9),OR('לוח בקרה טכנו-מבצעי'!$E$4="הכל",מלאי!J142='לוח בקרה טכנו-מבצעי'!$E$4),OR('לוח בקרה טכנו-מבצעי'!$E$5="הכל",מלאי!L142='לוח בקרה טכנו-מבצעי'!$E$5),OR('לוח בקרה טכנו-מבצעי'!$E$6="הכל",מלאי!O142='לוח בקרה טכנו-מבצעי'!$E$6),OR('לוח בקרה טכנו-מבצעי'!$E$7="הכל",מלאי!R142='לוח בקרה טכנו-מבצעי'!$E$7),OR('לוח בקרה טכנו-מבצעי'!$E$8="הכל",'לוח בקרה טכנו-מבצעי'!$E$8="",מלאי!W142='לוח בקרה טכנו-מבצעי'!$E$8),OR('לוח בקרה טכנו-מבצעי'!$E$9="הכל",'לוח בקרה טכנו-מבצעי'!$E$9="",ISNUMBER(SEARCH('לוח בקרה טכנו-מבצעי'!$E$9,מלאי!C142))),OR('לוח בקרה טכנו-מבצעי'!$B$10="הכל",מלאי!#REF!='לוח בקרה טכנו-מבצעי'!$B$10)),1,0)</f>
        <v>#REF!</v>
      </c>
      <c r="AF142" t="str">
        <f>IF(AD142=1,COUNTIF($AD$3:$AD142,1),"")</f>
        <v/>
      </c>
      <c r="AG142" t="e">
        <f>IF(AE142=1,COUNTIF($AE$3:$AE142,1),"")</f>
        <v>#REF!</v>
      </c>
    </row>
    <row r="143" spans="1:33" ht="15" customHeight="1" x14ac:dyDescent="0.25">
      <c r="A143" s="39" t="s">
        <v>106</v>
      </c>
      <c r="B143" s="39" t="s">
        <v>221</v>
      </c>
      <c r="C143" s="39" t="s">
        <v>64</v>
      </c>
      <c r="D143" s="39" t="s">
        <v>415</v>
      </c>
      <c r="E143" s="17">
        <f>IFERROR(INDEX(הגדרות!$I$2:$I$47,MATCH(B143,הגדרות!$H$2:$H$47,0)),"")</f>
        <v>0</v>
      </c>
      <c r="F143" s="17" t="s">
        <v>108</v>
      </c>
      <c r="G143" s="17"/>
      <c r="H143" s="17" t="s">
        <v>66</v>
      </c>
      <c r="I143" s="17" t="s">
        <v>67</v>
      </c>
      <c r="J143" s="17" t="s">
        <v>68</v>
      </c>
      <c r="K143" s="17" t="s">
        <v>68</v>
      </c>
      <c r="L143" s="17" t="s">
        <v>14</v>
      </c>
      <c r="M143" s="17" t="s">
        <v>14</v>
      </c>
      <c r="N143" s="17" t="s">
        <v>14</v>
      </c>
      <c r="O143" s="17" t="s">
        <v>14</v>
      </c>
      <c r="P143" s="17" t="s">
        <v>417</v>
      </c>
      <c r="Q143" s="17" t="s">
        <v>68</v>
      </c>
      <c r="R143" s="17"/>
      <c r="S143" s="17" t="s">
        <v>68</v>
      </c>
      <c r="T143" s="17" t="s">
        <v>69</v>
      </c>
      <c r="U143" s="17" t="s">
        <v>112</v>
      </c>
      <c r="V143" s="17"/>
      <c r="W143" s="17"/>
      <c r="X143" s="17"/>
      <c r="Y143" s="17"/>
      <c r="Z143" t="str">
        <f>IFERROR(INDEX(הגדרות!$B$2:$B$17,MATCH(H143,הגדרות!$A$2:$A$17,0)),"")</f>
        <v>מיוער</v>
      </c>
      <c r="AA143">
        <f>IFERROR(INDEX(הגדרות!$C$2:$C$17,MATCH(H143,הגדרות!$A$2:$A$17,0)),"")</f>
        <v>0</v>
      </c>
      <c r="AB143" t="str">
        <f>IFERROR(INDEX(הגדרות!$B$2:$B$17,MATCH(I143,הגדרות!$A$2:$A$17,0)),"")</f>
        <v>מדברי</v>
      </c>
      <c r="AC143">
        <f>IFERROR(INDEX(הגדרות!$C$2:$C$17,MATCH(I143,הגדרות!$A$2:$A$17,0)),"")</f>
        <v>0</v>
      </c>
      <c r="AD143">
        <f>IF(AND(מלאי!D143&lt;&gt;"",OR('לוח בקרה'!$B$4="הכל",מלאי!Z143='לוח בקרה'!$B$4,מלאי!AA143='לוח בקרה'!$B$4,מלאי!AB143='לוח בקרה'!$B$4,מלאי!AC143='לוח בקרה'!$B$4),OR('לוח בקרה'!$B$5="הכל",מלאי!A143='לוח בקרה'!$B$5),OR('לוח בקרה'!$B$6="הכל",מלאי!B143='לוח בקרה'!$B$6),OR('לוח בקרה'!$B$7="הכל",מלאי!F143='לוח בקרה'!$B$7,מלאי!G143='לוח בקרה'!$B$7),OR('לוח בקרה'!$B$8="הכל",מלאי!T143='לוח בקרה'!$B$8),OR('לוח בקרה'!$B$9="הכל",מלאי!Q143='לוח בקרה'!$B$9),OR('לוח בקרה'!$E$4="הכל",מלאי!J143='לוח בקרה'!$E$4),OR('לוח בקרה'!$E$5="הכל",מלאי!L143='לוח בקרה'!$E$5),OR('לוח בקרה'!$E$6="הכל",מלאי!O143='לוח בקרה'!$E$6),OR('לוח בקרה'!$E$7="הכל",מלאי!R143='לוח בקרה'!$E$7),OR('לוח בקרה'!$E$8="הכל",'לוח בקרה'!$E$8="",מלאי!W143='לוח בקרה'!$E$8),OR('לוח בקרה'!$E$9="הכל",'לוח בקרה'!$E$9="",ISNUMBER(SEARCH('לוח בקרה'!$E$9,מלאי!C143)))),1,0)</f>
        <v>0</v>
      </c>
      <c r="AE143" t="e">
        <f>IF(AND(מלאי!D143&lt;&gt;"",OR('לוח בקרה טכנו-מבצעי'!$B$4="הכל",מלאי!Z143='לוח בקרה טכנו-מבצעי'!$B$4,מלאי!AA143='לוח בקרה טכנו-מבצעי'!$B$4,מלאי!AB143='לוח בקרה טכנו-מבצעי'!$B$4,מלאי!AC143='לוח בקרה טכנו-מבצעי'!$B$4),OR('לוח בקרה טכנו-מבצעי'!$B$5="הכל",מלאי!A143='לוח בקרה טכנו-מבצעי'!$B$5),OR('לוח בקרה טכנו-מבצעי'!$B$6="הכל",מלאי!B143='לוח בקרה טכנו-מבצעי'!$B$6),OR('לוח בקרה טכנו-מבצעי'!$B$7="הכל",מלאי!F143='לוח בקרה טכנו-מבצעי'!$B$7,מלאי!G143='לוח בקרה טכנו-מבצעי'!$B$7),OR('לוח בקרה טכנו-מבצעי'!$B$8="הכל",מלאי!T143='לוח בקרה טכנו-מבצעי'!$B$8),OR('לוח בקרה טכנו-מבצעי'!$B$9="הכל",מלאי!Q143='לוח בקרה טכנו-מבצעי'!$B$9),OR('לוח בקרה טכנו-מבצעי'!$E$4="הכל",מלאי!J143='לוח בקרה טכנו-מבצעי'!$E$4),OR('לוח בקרה טכנו-מבצעי'!$E$5="הכל",מלאי!L143='לוח בקרה טכנו-מבצעי'!$E$5),OR('לוח בקרה טכנו-מבצעי'!$E$6="הכל",מלאי!O143='לוח בקרה טכנו-מבצעי'!$E$6),OR('לוח בקרה טכנו-מבצעי'!$E$7="הכל",מלאי!R143='לוח בקרה טכנו-מבצעי'!$E$7),OR('לוח בקרה טכנו-מבצעי'!$E$8="הכל",'לוח בקרה טכנו-מבצעי'!$E$8="",מלאי!W143='לוח בקרה טכנו-מבצעי'!$E$8),OR('לוח בקרה טכנו-מבצעי'!$E$9="הכל",'לוח בקרה טכנו-מבצעי'!$E$9="",ISNUMBER(SEARCH('לוח בקרה טכנו-מבצעי'!$E$9,מלאי!C143))),OR('לוח בקרה טכנו-מבצעי'!$B$10="הכל",מלאי!#REF!='לוח בקרה טכנו-מבצעי'!$B$10)),1,0)</f>
        <v>#REF!</v>
      </c>
      <c r="AF143" t="str">
        <f>IF(AD143=1,COUNTIF($AD$3:$AD143,1),"")</f>
        <v/>
      </c>
      <c r="AG143" t="e">
        <f>IF(AE143=1,COUNTIF($AE$3:$AE143,1),"")</f>
        <v>#REF!</v>
      </c>
    </row>
    <row r="144" spans="1:33" ht="15" customHeight="1" x14ac:dyDescent="0.25">
      <c r="A144" s="39" t="s">
        <v>106</v>
      </c>
      <c r="B144" s="39" t="s">
        <v>221</v>
      </c>
      <c r="C144" s="39" t="s">
        <v>64</v>
      </c>
      <c r="D144" s="39" t="s">
        <v>416</v>
      </c>
      <c r="E144" s="17">
        <f>IFERROR(INDEX(הגדרות!$I$2:$I$47,MATCH(B144,הגדרות!$H$2:$H$47,0)),"")</f>
        <v>0</v>
      </c>
      <c r="F144" s="17" t="s">
        <v>108</v>
      </c>
      <c r="G144" s="17"/>
      <c r="H144" s="17" t="s">
        <v>66</v>
      </c>
      <c r="I144" s="17" t="s">
        <v>67</v>
      </c>
      <c r="J144" s="17" t="s">
        <v>68</v>
      </c>
      <c r="K144" s="17" t="s">
        <v>68</v>
      </c>
      <c r="L144" s="17" t="s">
        <v>14</v>
      </c>
      <c r="M144" s="17" t="s">
        <v>14</v>
      </c>
      <c r="N144" s="17" t="s">
        <v>14</v>
      </c>
      <c r="O144" s="17" t="s">
        <v>14</v>
      </c>
      <c r="P144" s="17" t="s">
        <v>417</v>
      </c>
      <c r="Q144" s="17" t="s">
        <v>68</v>
      </c>
      <c r="R144" s="17"/>
      <c r="S144" s="17" t="s">
        <v>68</v>
      </c>
      <c r="T144" s="17" t="s">
        <v>69</v>
      </c>
      <c r="U144" s="17" t="s">
        <v>112</v>
      </c>
      <c r="V144" s="17"/>
      <c r="W144" s="17"/>
      <c r="X144" s="17"/>
      <c r="Y144" s="17"/>
      <c r="Z144" t="str">
        <f>IFERROR(INDEX(הגדרות!$B$2:$B$17,MATCH(H144,הגדרות!$A$2:$A$17,0)),"")</f>
        <v>מיוער</v>
      </c>
      <c r="AA144">
        <f>IFERROR(INDEX(הגדרות!$C$2:$C$17,MATCH(H144,הגדרות!$A$2:$A$17,0)),"")</f>
        <v>0</v>
      </c>
      <c r="AB144" t="str">
        <f>IFERROR(INDEX(הגדרות!$B$2:$B$17,MATCH(I144,הגדרות!$A$2:$A$17,0)),"")</f>
        <v>מדברי</v>
      </c>
      <c r="AC144">
        <f>IFERROR(INDEX(הגדרות!$C$2:$C$17,MATCH(I144,הגדרות!$A$2:$A$17,0)),"")</f>
        <v>0</v>
      </c>
      <c r="AD144">
        <f>IF(AND(מלאי!D144&lt;&gt;"",OR('לוח בקרה'!$B$4="הכל",מלאי!Z144='לוח בקרה'!$B$4,מלאי!AA144='לוח בקרה'!$B$4,מלאי!AB144='לוח בקרה'!$B$4,מלאי!AC144='לוח בקרה'!$B$4),OR('לוח בקרה'!$B$5="הכל",מלאי!A144='לוח בקרה'!$B$5),OR('לוח בקרה'!$B$6="הכל",מלאי!B144='לוח בקרה'!$B$6),OR('לוח בקרה'!$B$7="הכל",מלאי!F144='לוח בקרה'!$B$7,מלאי!G144='לוח בקרה'!$B$7),OR('לוח בקרה'!$B$8="הכל",מלאי!T144='לוח בקרה'!$B$8),OR('לוח בקרה'!$B$9="הכל",מלאי!Q144='לוח בקרה'!$B$9),OR('לוח בקרה'!$E$4="הכל",מלאי!J144='לוח בקרה'!$E$4),OR('לוח בקרה'!$E$5="הכל",מלאי!L144='לוח בקרה'!$E$5),OR('לוח בקרה'!$E$6="הכל",מלאי!O144='לוח בקרה'!$E$6),OR('לוח בקרה'!$E$7="הכל",מלאי!R144='לוח בקרה'!$E$7),OR('לוח בקרה'!$E$8="הכל",'לוח בקרה'!$E$8="",מלאי!W144='לוח בקרה'!$E$8),OR('לוח בקרה'!$E$9="הכל",'לוח בקרה'!$E$9="",ISNUMBER(SEARCH('לוח בקרה'!$E$9,מלאי!C144)))),1,0)</f>
        <v>0</v>
      </c>
      <c r="AE144" t="e">
        <f>IF(AND(מלאי!D144&lt;&gt;"",OR('לוח בקרה טכנו-מבצעי'!$B$4="הכל",מלאי!Z144='לוח בקרה טכנו-מבצעי'!$B$4,מלאי!AA144='לוח בקרה טכנו-מבצעי'!$B$4,מלאי!AB144='לוח בקרה טכנו-מבצעי'!$B$4,מלאי!AC144='לוח בקרה טכנו-מבצעי'!$B$4),OR('לוח בקרה טכנו-מבצעי'!$B$5="הכל",מלאי!A144='לוח בקרה טכנו-מבצעי'!$B$5),OR('לוח בקרה טכנו-מבצעי'!$B$6="הכל",מלאי!B144='לוח בקרה טכנו-מבצעי'!$B$6),OR('לוח בקרה טכנו-מבצעי'!$B$7="הכל",מלאי!F144='לוח בקרה טכנו-מבצעי'!$B$7,מלאי!G144='לוח בקרה טכנו-מבצעי'!$B$7),OR('לוח בקרה טכנו-מבצעי'!$B$8="הכל",מלאי!T144='לוח בקרה טכנו-מבצעי'!$B$8),OR('לוח בקרה טכנו-מבצעי'!$B$9="הכל",מלאי!Q144='לוח בקרה טכנו-מבצעי'!$B$9),OR('לוח בקרה טכנו-מבצעי'!$E$4="הכל",מלאי!J144='לוח בקרה טכנו-מבצעי'!$E$4),OR('לוח בקרה טכנו-מבצעי'!$E$5="הכל",מלאי!L144='לוח בקרה טכנו-מבצעי'!$E$5),OR('לוח בקרה טכנו-מבצעי'!$E$6="הכל",מלאי!O144='לוח בקרה טכנו-מבצעי'!$E$6),OR('לוח בקרה טכנו-מבצעי'!$E$7="הכל",מלאי!R144='לוח בקרה טכנו-מבצעי'!$E$7),OR('לוח בקרה טכנו-מבצעי'!$E$8="הכל",'לוח בקרה טכנו-מבצעי'!$E$8="",מלאי!W144='לוח בקרה טכנו-מבצעי'!$E$8),OR('לוח בקרה טכנו-מבצעי'!$E$9="הכל",'לוח בקרה טכנו-מבצעי'!$E$9="",ISNUMBER(SEARCH('לוח בקרה טכנו-מבצעי'!$E$9,מלאי!C144))),OR('לוח בקרה טכנו-מבצעי'!$B$10="הכל",מלאי!#REF!='לוח בקרה טכנו-מבצעי'!$B$10)),1,0)</f>
        <v>#REF!</v>
      </c>
      <c r="AF144" t="str">
        <f>IF(AD144=1,COUNTIF($AD$3:$AD144,1),"")</f>
        <v/>
      </c>
      <c r="AG144" t="e">
        <f>IF(AE144=1,COUNTIF($AE$3:$AE144,1),"")</f>
        <v>#REF!</v>
      </c>
    </row>
    <row r="145" spans="1:33" ht="15" customHeight="1" x14ac:dyDescent="0.25">
      <c r="A145" s="44" t="s">
        <v>171</v>
      </c>
      <c r="B145" s="45"/>
      <c r="C145" s="45" t="s">
        <v>418</v>
      </c>
      <c r="D145" s="45"/>
      <c r="E145" s="17" t="str">
        <f>IFERROR(INDEX(הגדרות!$I$2:$I$47,MATCH(B145,הגדרות!$H$2:$H$47,0)),"")</f>
        <v/>
      </c>
      <c r="F145" s="17"/>
      <c r="G145" s="17"/>
      <c r="H145" s="37" t="s">
        <v>96</v>
      </c>
      <c r="I145" s="37" t="s">
        <v>67</v>
      </c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 t="s">
        <v>69</v>
      </c>
      <c r="U145" s="17"/>
      <c r="V145" s="17"/>
      <c r="W145" s="17"/>
      <c r="X145" s="17"/>
      <c r="Y145" s="17"/>
      <c r="Z145" t="str">
        <f>IFERROR(INDEX(הגדרות!$B$2:$B$17,MATCH(H145,הגדרות!$A$2:$A$17,0)),"")</f>
        <v>מדברי</v>
      </c>
      <c r="AA145">
        <f>IFERROR(INDEX(הגדרות!$C$2:$C$17,MATCH(H145,הגדרות!$A$2:$A$17,0)),"")</f>
        <v>0</v>
      </c>
      <c r="AB145" t="str">
        <f>IFERROR(INDEX(הגדרות!$B$2:$B$17,MATCH(I145,הגדרות!$A$2:$A$17,0)),"")</f>
        <v>מדברי</v>
      </c>
      <c r="AC145">
        <f>IFERROR(INDEX(הגדרות!$C$2:$C$17,MATCH(I145,הגדרות!$A$2:$A$17,0)),"")</f>
        <v>0</v>
      </c>
      <c r="AD145">
        <f>IF(AND(מלאי!D145&lt;&gt;"",OR('לוח בקרה'!$B$4="הכל",מלאי!Z145='לוח בקרה'!$B$4,מלאי!AA145='לוח בקרה'!$B$4,מלאי!AB145='לוח בקרה'!$B$4,מלאי!AC145='לוח בקרה'!$B$4),OR('לוח בקרה'!$B$5="הכל",מלאי!A145='לוח בקרה'!$B$5),OR('לוח בקרה'!$B$6="הכל",מלאי!B145='לוח בקרה'!$B$6),OR('לוח בקרה'!$B$7="הכל",מלאי!F145='לוח בקרה'!$B$7,מלאי!G145='לוח בקרה'!$B$7),OR('לוח בקרה'!$B$8="הכל",מלאי!T145='לוח בקרה'!$B$8),OR('לוח בקרה'!$B$9="הכל",מלאי!Q145='לוח בקרה'!$B$9),OR('לוח בקרה'!$E$4="הכל",מלאי!J145='לוח בקרה'!$E$4),OR('לוח בקרה'!$E$5="הכל",מלאי!L145='לוח בקרה'!$E$5),OR('לוח בקרה'!$E$6="הכל",מלאי!O145='לוח בקרה'!$E$6),OR('לוח בקרה'!$E$7="הכל",מלאי!R145='לוח בקרה'!$E$7),OR('לוח בקרה'!$E$8="הכל",'לוח בקרה'!$E$8="",מלאי!W145='לוח בקרה'!$E$8),OR('לוח בקרה'!$E$9="הכל",'לוח בקרה'!$E$9="",ISNUMBER(SEARCH('לוח בקרה'!$E$9,מלאי!C145)))),1,0)</f>
        <v>0</v>
      </c>
      <c r="AE145" t="e">
        <f>IF(AND(מלאי!D145&lt;&gt;"",OR('לוח בקרה טכנו-מבצעי'!$B$4="הכל",מלאי!Z145='לוח בקרה טכנו-מבצעי'!$B$4,מלאי!AA145='לוח בקרה טכנו-מבצעי'!$B$4,מלאי!AB145='לוח בקרה טכנו-מבצעי'!$B$4,מלאי!AC145='לוח בקרה טכנו-מבצעי'!$B$4),OR('לוח בקרה טכנו-מבצעי'!$B$5="הכל",מלאי!A145='לוח בקרה טכנו-מבצעי'!$B$5),OR('לוח בקרה טכנו-מבצעי'!$B$6="הכל",מלאי!B145='לוח בקרה טכנו-מבצעי'!$B$6),OR('לוח בקרה טכנו-מבצעי'!$B$7="הכל",מלאי!F145='לוח בקרה טכנו-מבצעי'!$B$7,מלאי!G145='לוח בקרה טכנו-מבצעי'!$B$7),OR('לוח בקרה טכנו-מבצעי'!$B$8="הכל",מלאי!T145='לוח בקרה טכנו-מבצעי'!$B$8),OR('לוח בקרה טכנו-מבצעי'!$B$9="הכל",מלאי!Q145='לוח בקרה טכנו-מבצעי'!$B$9),OR('לוח בקרה טכנו-מבצעי'!$E$4="הכל",מלאי!J145='לוח בקרה טכנו-מבצעי'!$E$4),OR('לוח בקרה טכנו-מבצעי'!$E$5="הכל",מלאי!L145='לוח בקרה טכנו-מבצעי'!$E$5),OR('לוח בקרה טכנו-מבצעי'!$E$6="הכל",מלאי!O145='לוח בקרה טכנו-מבצעי'!$E$6),OR('לוח בקרה טכנו-מבצעי'!$E$7="הכל",מלאי!R145='לוח בקרה טכנו-מבצעי'!$E$7),OR('לוח בקרה טכנו-מבצעי'!$E$8="הכל",'לוח בקרה טכנו-מבצעי'!$E$8="",מלאי!W145='לוח בקרה טכנו-מבצעי'!$E$8),OR('לוח בקרה טכנו-מבצעי'!$E$9="הכל",'לוח בקרה טכנו-מבצעי'!$E$9="",ISNUMBER(SEARCH('לוח בקרה טכנו-מבצעי'!$E$9,מלאי!C145))),OR('לוח בקרה טכנו-מבצעי'!$B$10="הכל",מלאי!#REF!='לוח בקרה טכנו-מבצעי'!$B$10)),1,0)</f>
        <v>#REF!</v>
      </c>
      <c r="AF145" t="str">
        <f>IF(AD145=1,COUNTIF($AD$3:$AD145,1),"")</f>
        <v/>
      </c>
      <c r="AG145" t="e">
        <f>IF(AE145=1,COUNTIF($AE$3:$AE145,1),"")</f>
        <v>#REF!</v>
      </c>
    </row>
    <row r="146" spans="1:33" ht="15" customHeight="1" x14ac:dyDescent="0.25">
      <c r="A146" s="46" t="s">
        <v>171</v>
      </c>
      <c r="B146" s="46"/>
      <c r="C146" s="46" t="s">
        <v>419</v>
      </c>
      <c r="D146" s="46"/>
      <c r="E146" s="19" t="str">
        <f>IFERROR(INDEX(הגדרות!$I$2:$I$47,MATCH(B146,הגדרות!$H$2:$H$47,0)),"")</f>
        <v/>
      </c>
      <c r="F146" s="19"/>
      <c r="G146" s="19"/>
      <c r="H146" s="19" t="s">
        <v>96</v>
      </c>
      <c r="I146" s="19" t="s">
        <v>67</v>
      </c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t="str">
        <f>IFERROR(INDEX(הגדרות!$B$2:$B$17,MATCH(H146,הגדרות!$A$2:$A$17,0)),"")</f>
        <v>מדברי</v>
      </c>
      <c r="AA146">
        <f>IFERROR(INDEX(הגדרות!$C$2:$C$17,MATCH(H146,הגדרות!$A$2:$A$17,0)),"")</f>
        <v>0</v>
      </c>
      <c r="AB146" t="str">
        <f>IFERROR(INDEX(הגדרות!$B$2:$B$17,MATCH(I146,הגדרות!$A$2:$A$17,0)),"")</f>
        <v>מדברי</v>
      </c>
      <c r="AC146">
        <f>IFERROR(INDEX(הגדרות!$C$2:$C$17,MATCH(I146,הגדרות!$A$2:$A$17,0)),"")</f>
        <v>0</v>
      </c>
      <c r="AD146">
        <f>IF(AND(מלאי!D146&lt;&gt;"",OR('לוח בקרה'!$B$4="הכל",מלאי!Z146='לוח בקרה'!$B$4,מלאי!AA146='לוח בקרה'!$B$4,מלאי!AB146='לוח בקרה'!$B$4,מלאי!AC146='לוח בקרה'!$B$4),OR('לוח בקרה'!$B$5="הכל",מלאי!A146='לוח בקרה'!$B$5),OR('לוח בקרה'!$B$6="הכל",מלאי!B146='לוח בקרה'!$B$6),OR('לוח בקרה'!$B$7="הכל",מלאי!F146='לוח בקרה'!$B$7,מלאי!G146='לוח בקרה'!$B$7),OR('לוח בקרה'!$B$8="הכל",מלאי!T146='לוח בקרה'!$B$8),OR('לוח בקרה'!$B$9="הכל",מלאי!Q146='לוח בקרה'!$B$9),OR('לוח בקרה'!$E$4="הכל",מלאי!J146='לוח בקרה'!$E$4),OR('לוח בקרה'!$E$5="הכל",מלאי!L146='לוח בקרה'!$E$5),OR('לוח בקרה'!$E$6="הכל",מלאי!O146='לוח בקרה'!$E$6),OR('לוח בקרה'!$E$7="הכל",מלאי!R146='לוח בקרה'!$E$7),OR('לוח בקרה'!$E$8="הכל",'לוח בקרה'!$E$8="",מלאי!W146='לוח בקרה'!$E$8),OR('לוח בקרה'!$E$9="הכל",'לוח בקרה'!$E$9="",ISNUMBER(SEARCH('לוח בקרה'!$E$9,מלאי!C146)))),1,0)</f>
        <v>0</v>
      </c>
      <c r="AE146" t="e">
        <f>IF(AND(מלאי!D146&lt;&gt;"",OR('לוח בקרה טכנו-מבצעי'!$B$4="הכל",מלאי!Z146='לוח בקרה טכנו-מבצעי'!$B$4,מלאי!AA146='לוח בקרה טכנו-מבצעי'!$B$4,מלאי!AB146='לוח בקרה טכנו-מבצעי'!$B$4,מלאי!AC146='לוח בקרה טכנו-מבצעי'!$B$4),OR('לוח בקרה טכנו-מבצעי'!$B$5="הכל",מלאי!A146='לוח בקרה טכנו-מבצעי'!$B$5),OR('לוח בקרה טכנו-מבצעי'!$B$6="הכל",מלאי!B146='לוח בקרה טכנו-מבצעי'!$B$6),OR('לוח בקרה טכנו-מבצעי'!$B$7="הכל",מלאי!F146='לוח בקרה טכנו-מבצעי'!$B$7,מלאי!G146='לוח בקרה טכנו-מבצעי'!$B$7),OR('לוח בקרה טכנו-מבצעי'!$B$8="הכל",מלאי!T146='לוח בקרה טכנו-מבצעי'!$B$8),OR('לוח בקרה טכנו-מבצעי'!$B$9="הכל",מלאי!Q146='לוח בקרה טכנו-מבצעי'!$B$9),OR('לוח בקרה טכנו-מבצעי'!$E$4="הכל",מלאי!J146='לוח בקרה טכנו-מבצעי'!$E$4),OR('לוח בקרה טכנו-מבצעי'!$E$5="הכל",מלאי!L146='לוח בקרה טכנו-מבצעי'!$E$5),OR('לוח בקרה טכנו-מבצעי'!$E$6="הכל",מלאי!O146='לוח בקרה טכנו-מבצעי'!$E$6),OR('לוח בקרה טכנו-מבצעי'!$E$7="הכל",מלאי!R146='לוח בקרה טכנו-מבצעי'!$E$7),OR('לוח בקרה טכנו-מבצעי'!$E$8="הכל",'לוח בקרה טכנו-מבצעי'!$E$8="",מלאי!W146='לוח בקרה טכנו-מבצעי'!$E$8),OR('לוח בקרה טכנו-מבצעי'!$E$9="הכל",'לוח בקרה טכנו-מבצעי'!$E$9="",ISNUMBER(SEARCH('לוח בקרה טכנו-מבצעי'!$E$9,מלאי!C146))),OR('לוח בקרה טכנו-מבצעי'!$B$10="הכל",מלאי!#REF!='לוח בקרה טכנו-מבצעי'!$B$10)),1,0)</f>
        <v>#REF!</v>
      </c>
      <c r="AF146" t="str">
        <f>IF(AD146=1,COUNTIF($AD$3:$AD146,1),"")</f>
        <v/>
      </c>
      <c r="AG146" t="e">
        <f>IF(AE146=1,COUNTIF($AE$3:$AE146,1),"")</f>
        <v>#REF!</v>
      </c>
    </row>
    <row r="147" spans="1:33" ht="15" customHeight="1" x14ac:dyDescent="0.25">
      <c r="A147" s="44" t="s">
        <v>171</v>
      </c>
      <c r="B147" s="45" t="s">
        <v>217</v>
      </c>
      <c r="C147" s="44" t="s">
        <v>420</v>
      </c>
      <c r="D147" s="45"/>
      <c r="E147" s="17" t="str">
        <f>IFERROR(INDEX(הגדרות!$I$2:$I$47,MATCH(B147,הגדרות!$H$2:$H$47,0)),"")</f>
        <v>9004-01</v>
      </c>
      <c r="F147" s="17"/>
      <c r="G147" s="17"/>
      <c r="H147" s="37" t="s">
        <v>96</v>
      </c>
      <c r="I147" s="37" t="s">
        <v>67</v>
      </c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t="str">
        <f>IFERROR(INDEX(הגדרות!$B$2:$B$17,MATCH(H147,הגדרות!$A$2:$A$17,0)),"")</f>
        <v>מדברי</v>
      </c>
      <c r="AA147">
        <f>IFERROR(INDEX(הגדרות!$C$2:$C$17,MATCH(H147,הגדרות!$A$2:$A$17,0)),"")</f>
        <v>0</v>
      </c>
      <c r="AB147" t="str">
        <f>IFERROR(INDEX(הגדרות!$B$2:$B$17,MATCH(I147,הגדרות!$A$2:$A$17,0)),"")</f>
        <v>מדברי</v>
      </c>
      <c r="AC147">
        <f>IFERROR(INDEX(הגדרות!$C$2:$C$17,MATCH(I147,הגדרות!$A$2:$A$17,0)),"")</f>
        <v>0</v>
      </c>
      <c r="AD147">
        <f>IF(AND(מלאי!D147&lt;&gt;"",OR('לוח בקרה'!$B$4="הכל",מלאי!Z147='לוח בקרה'!$B$4,מלאי!AA147='לוח בקרה'!$B$4,מלאי!AB147='לוח בקרה'!$B$4,מלאי!AC147='לוח בקרה'!$B$4),OR('לוח בקרה'!$B$5="הכל",מלאי!A147='לוח בקרה'!$B$5),OR('לוח בקרה'!$B$6="הכל",מלאי!B147='לוח בקרה'!$B$6),OR('לוח בקרה'!$B$7="הכל",מלאי!F147='לוח בקרה'!$B$7,מלאי!G147='לוח בקרה'!$B$7),OR('לוח בקרה'!$B$8="הכל",מלאי!T147='לוח בקרה'!$B$8),OR('לוח בקרה'!$B$9="הכל",מלאי!Q147='לוח בקרה'!$B$9),OR('לוח בקרה'!$E$4="הכל",מלאי!J147='לוח בקרה'!$E$4),OR('לוח בקרה'!$E$5="הכל",מלאי!L147='לוח בקרה'!$E$5),OR('לוח בקרה'!$E$6="הכל",מלאי!O147='לוח בקרה'!$E$6),OR('לוח בקרה'!$E$7="הכל",מלאי!R147='לוח בקרה'!$E$7),OR('לוח בקרה'!$E$8="הכל",'לוח בקרה'!$E$8="",מלאי!W147='לוח בקרה'!$E$8),OR('לוח בקרה'!$E$9="הכל",'לוח בקרה'!$E$9="",ISNUMBER(SEARCH('לוח בקרה'!$E$9,מלאי!C147)))),1,0)</f>
        <v>0</v>
      </c>
      <c r="AE147" t="e">
        <f>IF(AND(מלאי!D147&lt;&gt;"",OR('לוח בקרה טכנו-מבצעי'!$B$4="הכל",מלאי!Z147='לוח בקרה טכנו-מבצעי'!$B$4,מלאי!AA147='לוח בקרה טכנו-מבצעי'!$B$4,מלאי!AB147='לוח בקרה טכנו-מבצעי'!$B$4,מלאי!AC147='לוח בקרה טכנו-מבצעי'!$B$4),OR('לוח בקרה טכנו-מבצעי'!$B$5="הכל",מלאי!A147='לוח בקרה טכנו-מבצעי'!$B$5),OR('לוח בקרה טכנו-מבצעי'!$B$6="הכל",מלאי!B147='לוח בקרה טכנו-מבצעי'!$B$6),OR('לוח בקרה טכנו-מבצעי'!$B$7="הכל",מלאי!F147='לוח בקרה טכנו-מבצעי'!$B$7,מלאי!G147='לוח בקרה טכנו-מבצעי'!$B$7),OR('לוח בקרה טכנו-מבצעי'!$B$8="הכל",מלאי!T147='לוח בקרה טכנו-מבצעי'!$B$8),OR('לוח בקרה טכנו-מבצעי'!$B$9="הכל",מלאי!Q147='לוח בקרה טכנו-מבצעי'!$B$9),OR('לוח בקרה טכנו-מבצעי'!$E$4="הכל",מלאי!J147='לוח בקרה טכנו-מבצעי'!$E$4),OR('לוח בקרה טכנו-מבצעי'!$E$5="הכל",מלאי!L147='לוח בקרה טכנו-מבצעי'!$E$5),OR('לוח בקרה טכנו-מבצעי'!$E$6="הכל",מלאי!O147='לוח בקרה טכנו-מבצעי'!$E$6),OR('לוח בקרה טכנו-מבצעי'!$E$7="הכל",מלאי!R147='לוח בקרה טכנו-מבצעי'!$E$7),OR('לוח בקרה טכנו-מבצעי'!$E$8="הכל",'לוח בקרה טכנו-מבצעי'!$E$8="",מלאי!W147='לוח בקרה טכנו-מבצעי'!$E$8),OR('לוח בקרה טכנו-מבצעי'!$E$9="הכל",'לוח בקרה טכנו-מבצעי'!$E$9="",ISNUMBER(SEARCH('לוח בקרה טכנו-מבצעי'!$E$9,מלאי!C147))),OR('לוח בקרה טכנו-מבצעי'!$B$10="הכל",מלאי!#REF!='לוח בקרה טכנו-מבצעי'!$B$10)),1,0)</f>
        <v>#REF!</v>
      </c>
      <c r="AF147" t="str">
        <f>IF(AD147=1,COUNTIF($AD$3:$AD147,1),"")</f>
        <v/>
      </c>
      <c r="AG147" t="e">
        <f>IF(AE147=1,COUNTIF($AE$3:$AE147,1),"")</f>
        <v>#REF!</v>
      </c>
    </row>
    <row r="148" spans="1:33" ht="15" customHeight="1" x14ac:dyDescent="0.25">
      <c r="A148" s="46" t="s">
        <v>171</v>
      </c>
      <c r="B148" s="46"/>
      <c r="C148" s="46" t="s">
        <v>422</v>
      </c>
      <c r="D148" s="46"/>
      <c r="E148" s="19" t="str">
        <f>IFERROR(INDEX(הגדרות!$I$2:$I$47,MATCH(B148,הגדרות!$H$2:$H$47,0)),"")</f>
        <v/>
      </c>
      <c r="F148" s="19"/>
      <c r="G148" s="19"/>
      <c r="H148" s="19" t="s">
        <v>96</v>
      </c>
      <c r="I148" s="19" t="s">
        <v>67</v>
      </c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t="str">
        <f>IFERROR(INDEX(הגדרות!$B$2:$B$17,MATCH(H148,הגדרות!$A$2:$A$17,0)),"")</f>
        <v>מדברי</v>
      </c>
      <c r="AA148">
        <f>IFERROR(INDEX(הגדרות!$C$2:$C$17,MATCH(H148,הגדרות!$A$2:$A$17,0)),"")</f>
        <v>0</v>
      </c>
      <c r="AB148" t="str">
        <f>IFERROR(INDEX(הגדרות!$B$2:$B$17,MATCH(I148,הגדרות!$A$2:$A$17,0)),"")</f>
        <v>מדברי</v>
      </c>
      <c r="AC148">
        <f>IFERROR(INDEX(הגדרות!$C$2:$C$17,MATCH(I148,הגדרות!$A$2:$A$17,0)),"")</f>
        <v>0</v>
      </c>
      <c r="AD148">
        <f>IF(AND(מלאי!D148&lt;&gt;"",OR('לוח בקרה'!$B$4="הכל",מלאי!Z148='לוח בקרה'!$B$4,מלאי!AA148='לוח בקרה'!$B$4,מלאי!AB148='לוח בקרה'!$B$4,מלאי!AC148='לוח בקרה'!$B$4),OR('לוח בקרה'!$B$5="הכל",מלאי!A148='לוח בקרה'!$B$5),OR('לוח בקרה'!$B$6="הכל",מלאי!B148='לוח בקרה'!$B$6),OR('לוח בקרה'!$B$7="הכל",מלאי!F148='לוח בקרה'!$B$7,מלאי!G148='לוח בקרה'!$B$7),OR('לוח בקרה'!$B$8="הכל",מלאי!T148='לוח בקרה'!$B$8),OR('לוח בקרה'!$B$9="הכל",מלאי!Q148='לוח בקרה'!$B$9),OR('לוח בקרה'!$E$4="הכל",מלאי!J148='לוח בקרה'!$E$4),OR('לוח בקרה'!$E$5="הכל",מלאי!L148='לוח בקרה'!$E$5),OR('לוח בקרה'!$E$6="הכל",מלאי!O148='לוח בקרה'!$E$6),OR('לוח בקרה'!$E$7="הכל",מלאי!R148='לוח בקרה'!$E$7),OR('לוח בקרה'!$E$8="הכל",'לוח בקרה'!$E$8="",מלאי!W148='לוח בקרה'!$E$8),OR('לוח בקרה'!$E$9="הכל",'לוח בקרה'!$E$9="",ISNUMBER(SEARCH('לוח בקרה'!$E$9,מלאי!C148)))),1,0)</f>
        <v>0</v>
      </c>
      <c r="AE148" t="e">
        <f>IF(AND(מלאי!D148&lt;&gt;"",OR('לוח בקרה טכנו-מבצעי'!$B$4="הכל",מלאי!Z148='לוח בקרה טכנו-מבצעי'!$B$4,מלאי!AA148='לוח בקרה טכנו-מבצעי'!$B$4,מלאי!AB148='לוח בקרה טכנו-מבצעי'!$B$4,מלאי!AC148='לוח בקרה טכנו-מבצעי'!$B$4),OR('לוח בקרה טכנו-מבצעי'!$B$5="הכל",מלאי!A148='לוח בקרה טכנו-מבצעי'!$B$5),OR('לוח בקרה טכנו-מבצעי'!$B$6="הכל",מלאי!B148='לוח בקרה טכנו-מבצעי'!$B$6),OR('לוח בקרה טכנו-מבצעי'!$B$7="הכל",מלאי!F148='לוח בקרה טכנו-מבצעי'!$B$7,מלאי!G148='לוח בקרה טכנו-מבצעי'!$B$7),OR('לוח בקרה טכנו-מבצעי'!$B$8="הכל",מלאי!T148='לוח בקרה טכנו-מבצעי'!$B$8),OR('לוח בקרה טכנו-מבצעי'!$B$9="הכל",מלאי!Q148='לוח בקרה טכנו-מבצעי'!$B$9),OR('לוח בקרה טכנו-מבצעי'!$E$4="הכל",מלאי!J148='לוח בקרה טכנו-מבצעי'!$E$4),OR('לוח בקרה טכנו-מבצעי'!$E$5="הכל",מלאי!L148='לוח בקרה טכנו-מבצעי'!$E$5),OR('לוח בקרה טכנו-מבצעי'!$E$6="הכל",מלאי!O148='לוח בקרה טכנו-מבצעי'!$E$6),OR('לוח בקרה טכנו-מבצעי'!$E$7="הכל",מלאי!R148='לוח בקרה טכנו-מבצעי'!$E$7),OR('לוח בקרה טכנו-מבצעי'!$E$8="הכל",'לוח בקרה טכנו-מבצעי'!$E$8="",מלאי!W148='לוח בקרה טכנו-מבצעי'!$E$8),OR('לוח בקרה טכנו-מבצעי'!$E$9="הכל",'לוח בקרה טכנו-מבצעי'!$E$9="",ISNUMBER(SEARCH('לוח בקרה טכנו-מבצעי'!$E$9,מלאי!C148))),OR('לוח בקרה טכנו-מבצעי'!$B$10="הכל",מלאי!#REF!='לוח בקרה טכנו-מבצעי'!$B$10)),1,0)</f>
        <v>#REF!</v>
      </c>
      <c r="AF148" t="str">
        <f>IF(AD148=1,COUNTIF($AD$3:$AD148,1),"")</f>
        <v/>
      </c>
      <c r="AG148" t="e">
        <f>IF(AE148=1,COUNTIF($AE$3:$AE148,1),"")</f>
        <v>#REF!</v>
      </c>
    </row>
    <row r="149" spans="1:33" ht="15" customHeight="1" x14ac:dyDescent="0.25">
      <c r="A149" s="44" t="s">
        <v>171</v>
      </c>
      <c r="B149" s="45" t="s">
        <v>217</v>
      </c>
      <c r="C149" s="45"/>
      <c r="D149" s="45" t="s">
        <v>423</v>
      </c>
      <c r="E149" s="17" t="str">
        <f>IFERROR(INDEX(הגדרות!$I$2:$I$47,MATCH(B149,הגדרות!$H$2:$H$47,0)),"")</f>
        <v>9004-01</v>
      </c>
      <c r="F149" s="17"/>
      <c r="G149" s="17"/>
      <c r="H149" s="37" t="s">
        <v>96</v>
      </c>
      <c r="I149" s="37" t="s">
        <v>67</v>
      </c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t="str">
        <f>IFERROR(INDEX(הגדרות!$B$2:$B$17,MATCH(H149,הגדרות!$A$2:$A$17,0)),"")</f>
        <v>מדברי</v>
      </c>
      <c r="AA149">
        <f>IFERROR(INDEX(הגדרות!$C$2:$C$17,MATCH(H149,הגדרות!$A$2:$A$17,0)),"")</f>
        <v>0</v>
      </c>
      <c r="AB149" t="str">
        <f>IFERROR(INDEX(הגדרות!$B$2:$B$17,MATCH(I149,הגדרות!$A$2:$A$17,0)),"")</f>
        <v>מדברי</v>
      </c>
      <c r="AC149">
        <f>IFERROR(INDEX(הגדרות!$C$2:$C$17,MATCH(I149,הגדרות!$A$2:$A$17,0)),"")</f>
        <v>0</v>
      </c>
      <c r="AD149">
        <f>IF(AND(מלאי!D149&lt;&gt;"",OR('לוח בקרה'!$B$4="הכל",מלאי!Z149='לוח בקרה'!$B$4,מלאי!AA149='לוח בקרה'!$B$4,מלאי!AB149='לוח בקרה'!$B$4,מלאי!AC149='לוח בקרה'!$B$4),OR('לוח בקרה'!$B$5="הכל",מלאי!A149='לוח בקרה'!$B$5),OR('לוח בקרה'!$B$6="הכל",מלאי!B149='לוח בקרה'!$B$6),OR('לוח בקרה'!$B$7="הכל",מלאי!F149='לוח בקרה'!$B$7,מלאי!G149='לוח בקרה'!$B$7),OR('לוח בקרה'!$B$8="הכל",מלאי!T149='לוח בקרה'!$B$8),OR('לוח בקרה'!$B$9="הכל",מלאי!Q149='לוח בקרה'!$B$9),OR('לוח בקרה'!$E$4="הכל",מלאי!J149='לוח בקרה'!$E$4),OR('לוח בקרה'!$E$5="הכל",מלאי!L149='לוח בקרה'!$E$5),OR('לוח בקרה'!$E$6="הכל",מלאי!O149='לוח בקרה'!$E$6),OR('לוח בקרה'!$E$7="הכל",מלאי!R149='לוח בקרה'!$E$7),OR('לוח בקרה'!$E$8="הכל",'לוח בקרה'!$E$8="",מלאי!W149='לוח בקרה'!$E$8),OR('לוח בקרה'!$E$9="הכל",'לוח בקרה'!$E$9="",ISNUMBER(SEARCH('לוח בקרה'!$E$9,מלאי!C149)))),1,0)</f>
        <v>0</v>
      </c>
      <c r="AE149" t="e">
        <f>IF(AND(מלאי!D149&lt;&gt;"",OR('לוח בקרה טכנו-מבצעי'!$B$4="הכל",מלאי!Z149='לוח בקרה טכנו-מבצעי'!$B$4,מלאי!AA149='לוח בקרה טכנו-מבצעי'!$B$4,מלאי!AB149='לוח בקרה טכנו-מבצעי'!$B$4,מלאי!AC149='לוח בקרה טכנו-מבצעי'!$B$4),OR('לוח בקרה טכנו-מבצעי'!$B$5="הכל",מלאי!A149='לוח בקרה טכנו-מבצעי'!$B$5),OR('לוח בקרה טכנו-מבצעי'!$B$6="הכל",מלאי!B149='לוח בקרה טכנו-מבצעי'!$B$6),OR('לוח בקרה טכנו-מבצעי'!$B$7="הכל",מלאי!F149='לוח בקרה טכנו-מבצעי'!$B$7,מלאי!G149='לוח בקרה טכנו-מבצעי'!$B$7),OR('לוח בקרה טכנו-מבצעי'!$B$8="הכל",מלאי!T149='לוח בקרה טכנו-מבצעי'!$B$8),OR('לוח בקרה טכנו-מבצעי'!$B$9="הכל",מלאי!Q149='לוח בקרה טכנו-מבצעי'!$B$9),OR('לוח בקרה טכנו-מבצעי'!$E$4="הכל",מלאי!J149='לוח בקרה טכנו-מבצעי'!$E$4),OR('לוח בקרה טכנו-מבצעי'!$E$5="הכל",מלאי!L149='לוח בקרה טכנו-מבצעי'!$E$5),OR('לוח בקרה טכנו-מבצעי'!$E$6="הכל",מלאי!O149='לוח בקרה טכנו-מבצעי'!$E$6),OR('לוח בקרה טכנו-מבצעי'!$E$7="הכל",מלאי!R149='לוח בקרה טכנו-מבצעי'!$E$7),OR('לוח בקרה טכנו-מבצעי'!$E$8="הכל",'לוח בקרה טכנו-מבצעי'!$E$8="",מלאי!W149='לוח בקרה טכנו-מבצעי'!$E$8),OR('לוח בקרה טכנו-מבצעי'!$E$9="הכל",'לוח בקרה טכנו-מבצעי'!$E$9="",ISNUMBER(SEARCH('לוח בקרה טכנו-מבצעי'!$E$9,מלאי!C149))),OR('לוח בקרה טכנו-מבצעי'!$B$10="הכל",מלאי!#REF!='לוח בקרה טכנו-מבצעי'!$B$10)),1,0)</f>
        <v>#REF!</v>
      </c>
      <c r="AF149" t="str">
        <f>IF(AD149=1,COUNTIF($AD$3:$AD149,1),"")</f>
        <v/>
      </c>
      <c r="AG149" t="e">
        <f>IF(AE149=1,COUNTIF($AE$3:$AE149,1),"")</f>
        <v>#REF!</v>
      </c>
    </row>
    <row r="150" spans="1:33" ht="15" customHeight="1" x14ac:dyDescent="0.25">
      <c r="A150" s="46" t="s">
        <v>171</v>
      </c>
      <c r="B150" s="46"/>
      <c r="C150" s="46" t="s">
        <v>421</v>
      </c>
      <c r="D150" s="47" t="s">
        <v>424</v>
      </c>
      <c r="E150" s="19" t="str">
        <f>IFERROR(INDEX(הגדרות!$I$2:$I$47,MATCH(B150,הגדרות!$H$2:$H$47,0)),"")</f>
        <v/>
      </c>
      <c r="F150" s="19"/>
      <c r="G150" s="19"/>
      <c r="H150" s="19" t="s">
        <v>66</v>
      </c>
      <c r="I150" s="19" t="s">
        <v>67</v>
      </c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t="str">
        <f>IFERROR(INDEX(הגדרות!$B$2:$B$17,MATCH(H150,הגדרות!$A$2:$A$17,0)),"")</f>
        <v>מיוער</v>
      </c>
      <c r="AA150">
        <f>IFERROR(INDEX(הגדרות!$C$2:$C$17,MATCH(H150,הגדרות!$A$2:$A$17,0)),"")</f>
        <v>0</v>
      </c>
      <c r="AB150" t="str">
        <f>IFERROR(INDEX(הגדרות!$B$2:$B$17,MATCH(I150,הגדרות!$A$2:$A$17,0)),"")</f>
        <v>מדברי</v>
      </c>
      <c r="AC150">
        <f>IFERROR(INDEX(הגדרות!$C$2:$C$17,MATCH(I150,הגדרות!$A$2:$A$17,0)),"")</f>
        <v>0</v>
      </c>
      <c r="AD150">
        <f>IF(AND(מלאי!D150&lt;&gt;"",OR('לוח בקרה'!$B$4="הכל",מלאי!Z150='לוח בקרה'!$B$4,מלאי!AA150='לוח בקרה'!$B$4,מלאי!AB150='לוח בקרה'!$B$4,מלאי!AC150='לוח בקרה'!$B$4),OR('לוח בקרה'!$B$5="הכל",מלאי!A150='לוח בקרה'!$B$5),OR('לוח בקרה'!$B$6="הכל",מלאי!B150='לוח בקרה'!$B$6),OR('לוח בקרה'!$B$7="הכל",מלאי!F150='לוח בקרה'!$B$7,מלאי!G150='לוח בקרה'!$B$7),OR('לוח בקרה'!$B$8="הכל",מלאי!T150='לוח בקרה'!$B$8),OR('לוח בקרה'!$B$9="הכל",מלאי!Q150='לוח בקרה'!$B$9),OR('לוח בקרה'!$E$4="הכל",מלאי!J150='לוח בקרה'!$E$4),OR('לוח בקרה'!$E$5="הכל",מלאי!L150='לוח בקרה'!$E$5),OR('לוח בקרה'!$E$6="הכל",מלאי!O150='לוח בקרה'!$E$6),OR('לוח בקרה'!$E$7="הכל",מלאי!R150='לוח בקרה'!$E$7),OR('לוח בקרה'!$E$8="הכל",'לוח בקרה'!$E$8="",מלאי!W150='לוח בקרה'!$E$8),OR('לוח בקרה'!$E$9="הכל",'לוח בקרה'!$E$9="",ISNUMBER(SEARCH('לוח בקרה'!$E$9,מלאי!C150)))),1,0)</f>
        <v>0</v>
      </c>
      <c r="AE150" t="e">
        <f>IF(AND(מלאי!D150&lt;&gt;"",OR('לוח בקרה טכנו-מבצעי'!$B$4="הכל",מלאי!Z150='לוח בקרה טכנו-מבצעי'!$B$4,מלאי!AA150='לוח בקרה טכנו-מבצעי'!$B$4,מלאי!AB150='לוח בקרה טכנו-מבצעי'!$B$4,מלאי!AC150='לוח בקרה טכנו-מבצעי'!$B$4),OR('לוח בקרה טכנו-מבצעי'!$B$5="הכל",מלאי!A150='לוח בקרה טכנו-מבצעי'!$B$5),OR('לוח בקרה טכנו-מבצעי'!$B$6="הכל",מלאי!B150='לוח בקרה טכנו-מבצעי'!$B$6),OR('לוח בקרה טכנו-מבצעי'!$B$7="הכל",מלאי!F150='לוח בקרה טכנו-מבצעי'!$B$7,מלאי!G150='לוח בקרה טכנו-מבצעי'!$B$7),OR('לוח בקרה טכנו-מבצעי'!$B$8="הכל",מלאי!T150='לוח בקרה טכנו-מבצעי'!$B$8),OR('לוח בקרה טכנו-מבצעי'!$B$9="הכל",מלאי!Q150='לוח בקרה טכנו-מבצעי'!$B$9),OR('לוח בקרה טכנו-מבצעי'!$E$4="הכל",מלאי!J150='לוח בקרה טכנו-מבצעי'!$E$4),OR('לוח בקרה טכנו-מבצעי'!$E$5="הכל",מלאי!L150='לוח בקרה טכנו-מבצעי'!$E$5),OR('לוח בקרה טכנו-מבצעי'!$E$6="הכל",מלאי!O150='לוח בקרה טכנו-מבצעי'!$E$6),OR('לוח בקרה טכנו-מבצעי'!$E$7="הכל",מלאי!R150='לוח בקרה טכנו-מבצעי'!$E$7),OR('לוח בקרה טכנו-מבצעי'!$E$8="הכל",'לוח בקרה טכנו-מבצעי'!$E$8="",מלאי!W150='לוח בקרה טכנו-מבצעי'!$E$8),OR('לוח בקרה טכנו-מבצעי'!$E$9="הכל",'לוח בקרה טכנו-מבצעי'!$E$9="",ISNUMBER(SEARCH('לוח בקרה טכנו-מבצעי'!$E$9,מלאי!C150))),OR('לוח בקרה טכנו-מבצעי'!$B$10="הכל",מלאי!#REF!='לוח בקרה טכנו-מבצעי'!$B$10)),1,0)</f>
        <v>#REF!</v>
      </c>
      <c r="AF150" t="str">
        <f>IF(AD150=1,COUNTIF($AD$3:$AD150,1),"")</f>
        <v/>
      </c>
      <c r="AG150" t="e">
        <f>IF(AE150=1,COUNTIF($AE$3:$AE150,1),"")</f>
        <v>#REF!</v>
      </c>
    </row>
    <row r="151" spans="1:33" ht="15" customHeight="1" x14ac:dyDescent="0.25">
      <c r="A151" s="38" t="s">
        <v>106</v>
      </c>
      <c r="B151" s="38" t="s">
        <v>107</v>
      </c>
      <c r="C151" t="s">
        <v>64</v>
      </c>
      <c r="D151" s="38" t="s">
        <v>427</v>
      </c>
      <c r="E151" s="38" t="str">
        <f>IFERROR(INDEX(הגדרות!$I$2:$I$47,MATCH(B151,הגדרות!$H$2:$H$47,0)),"")</f>
        <v>9001-00</v>
      </c>
      <c r="F151" s="38" t="s">
        <v>79</v>
      </c>
      <c r="G151" s="38"/>
      <c r="H151" s="37" t="s">
        <v>194</v>
      </c>
      <c r="I151" s="38"/>
      <c r="J151" s="37" t="s">
        <v>68</v>
      </c>
      <c r="K151" s="37" t="s">
        <v>68</v>
      </c>
      <c r="L151" s="37" t="s">
        <v>68</v>
      </c>
      <c r="M151" s="37" t="s">
        <v>68</v>
      </c>
      <c r="N151" s="37" t="s">
        <v>68</v>
      </c>
      <c r="O151" s="38"/>
      <c r="P151" s="38"/>
      <c r="Q151" s="38"/>
      <c r="R151" s="38"/>
      <c r="S151" s="38"/>
      <c r="T151" s="38" t="s">
        <v>69</v>
      </c>
      <c r="U151" s="38"/>
      <c r="V151" s="38"/>
      <c r="W151" s="38"/>
      <c r="X151" s="38"/>
      <c r="Y151" s="38"/>
      <c r="Z151" t="str">
        <f>IFERROR(INDEX(הגדרות!$B$2:$B$17,MATCH(H151,הגדרות!$A$2:$A$17,0)),"")</f>
        <v>שלג</v>
      </c>
      <c r="AA151">
        <f>IFERROR(INDEX(הגדרות!$C$2:$C$17,MATCH(H151,הגדרות!$A$2:$A$17,0)),"")</f>
        <v>0</v>
      </c>
      <c r="AB151" t="str">
        <f>IFERROR(INDEX(הגדרות!$B$2:$B$17,MATCH(I151,הגדרות!$A$2:$A$17,0)),"")</f>
        <v/>
      </c>
      <c r="AC151" t="str">
        <f>IFERROR(INDEX(הגדרות!$C$2:$C$17,MATCH(I151,הגדרות!$A$2:$A$17,0)),"")</f>
        <v/>
      </c>
      <c r="AD151">
        <f>IF(AND(מלאי!D151&lt;&gt;"",OR('לוח בקרה'!$B$4="הכל",מלאי!Z151='לוח בקרה'!$B$4,מלאי!AA151='לוח בקרה'!$B$4,מלאי!AB151='לוח בקרה'!$B$4,מלאי!AC151='לוח בקרה'!$B$4),OR('לוח בקרה'!$B$5="הכל",מלאי!A151='לוח בקרה'!$B$5),OR('לוח בקרה'!$B$6="הכל",מלאי!B151='לוח בקרה'!$B$6),OR('לוח בקרה'!$B$7="הכל",מלאי!F151='לוח בקרה'!$B$7,מלאי!G151='לוח בקרה'!$B$7),OR('לוח בקרה'!$B$8="הכל",מלאי!T151='לוח בקרה'!$B$8),OR('לוח בקרה'!$B$9="הכל",מלאי!Q151='לוח בקרה'!$B$9),OR('לוח בקרה'!$E$4="הכל",מלאי!J151='לוח בקרה'!$E$4),OR('לוח בקרה'!$E$5="הכל",מלאי!L151='לוח בקרה'!$E$5),OR('לוח בקרה'!$E$6="הכל",מלאי!O151='לוח בקרה'!$E$6),OR('לוח בקרה'!$E$7="הכל",מלאי!R151='לוח בקרה'!$E$7),OR('לוח בקרה'!$E$8="הכל",'לוח בקרה'!$E$8="",מלאי!W151='לוח בקרה'!$E$8),OR('לוח בקרה'!$E$9="הכל",'לוח בקרה'!$E$9="",ISNUMBER(SEARCH('לוח בקרה'!$E$9,מלאי!C151)))),1,0)</f>
        <v>0</v>
      </c>
      <c r="AE151" t="e">
        <f>IF(AND(מלאי!D151&lt;&gt;"",OR('לוח בקרה טכנו-מבצעי'!$B$4="הכל",מלאי!Z151='לוח בקרה טכנו-מבצעי'!$B$4,מלאי!AA151='לוח בקרה טכנו-מבצעי'!$B$4,מלאי!AB151='לוח בקרה טכנו-מבצעי'!$B$4,מלאי!AC151='לוח בקרה טכנו-מבצעי'!$B$4),OR('לוח בקרה טכנו-מבצעי'!$B$5="הכל",מלאי!A151='לוח בקרה טכנו-מבצעי'!$B$5),OR('לוח בקרה טכנו-מבצעי'!$B$6="הכל",מלאי!B151='לוח בקרה טכנו-מבצעי'!$B$6),OR('לוח בקרה טכנו-מבצעי'!$B$7="הכל",מלאי!F151='לוח בקרה טכנו-מבצעי'!$B$7,מלאי!G151='לוח בקרה טכנו-מבצעי'!$B$7),OR('לוח בקרה טכנו-מבצעי'!$B$8="הכל",מלאי!T151='לוח בקרה טכנו-מבצעי'!$B$8),OR('לוח בקרה טכנו-מבצעי'!$B$9="הכל",מלאי!Q151='לוח בקרה טכנו-מבצעי'!$B$9),OR('לוח בקרה טכנו-מבצעי'!$E$4="הכל",מלאי!J151='לוח בקרה טכנו-מבצעי'!$E$4),OR('לוח בקרה טכנו-מבצעי'!$E$5="הכל",מלאי!L151='לוח בקרה טכנו-מבצעי'!$E$5),OR('לוח בקרה טכנו-מבצעי'!$E$6="הכל",מלאי!O151='לוח בקרה טכנו-מבצעי'!$E$6),OR('לוח בקרה טכנו-מבצעי'!$E$7="הכל",מלאי!R151='לוח בקרה טכנו-מבצעי'!$E$7),OR('לוח בקרה טכנו-מבצעי'!$E$8="הכל",'לוח בקרה טכנו-מבצעי'!$E$8="",מלאי!W151='לוח בקרה טכנו-מבצעי'!$E$8),OR('לוח בקרה טכנו-מבצעי'!$E$9="הכל",'לוח בקרה טכנו-מבצעי'!$E$9="",ISNUMBER(SEARCH('לוח בקרה טכנו-מבצעי'!$E$9,מלאי!C151))),OR('לוח בקרה טכנו-מבצעי'!$B$10="הכל",מלאי!#REF!='לוח בקרה טכנו-מבצעי'!$B$10)),1,0)</f>
        <v>#REF!</v>
      </c>
      <c r="AF151" t="str">
        <f>IF(AD151=1,COUNTIF($AD$3:$AD151,1),"")</f>
        <v/>
      </c>
      <c r="AG151" t="e">
        <f>IF(AE151=1,COUNTIF($AE$3:$AE151,1),"")</f>
        <v>#REF!</v>
      </c>
    </row>
    <row r="152" spans="1:33" ht="15" customHeight="1" x14ac:dyDescent="0.25">
      <c r="A152" s="38" t="s">
        <v>62</v>
      </c>
      <c r="B152" s="37" t="s">
        <v>198</v>
      </c>
      <c r="C152" s="38" t="s">
        <v>64</v>
      </c>
      <c r="D152" t="s">
        <v>428</v>
      </c>
      <c r="E152" s="37" t="str">
        <f>IFERROR(INDEX(הגדרות!$I$2:$I$47,MATCH(B152,הגדרות!$H$2:$H$47,0)),"")</f>
        <v>7051-00</v>
      </c>
      <c r="F152" s="37" t="s">
        <v>79</v>
      </c>
      <c r="G152" s="37"/>
      <c r="H152" s="37" t="s">
        <v>194</v>
      </c>
      <c r="I152" s="37"/>
      <c r="J152" s="37" t="s">
        <v>68</v>
      </c>
      <c r="K152" s="37" t="s">
        <v>68</v>
      </c>
      <c r="L152" s="37" t="s">
        <v>68</v>
      </c>
      <c r="M152" s="37" t="s">
        <v>68</v>
      </c>
      <c r="N152" s="37" t="s">
        <v>68</v>
      </c>
      <c r="O152" s="37"/>
      <c r="P152" s="38"/>
      <c r="Q152" s="37"/>
      <c r="R152" s="37"/>
      <c r="S152" s="37"/>
      <c r="T152" s="38" t="s">
        <v>69</v>
      </c>
      <c r="U152" s="37"/>
      <c r="V152" s="37"/>
      <c r="W152" s="37"/>
      <c r="X152" s="37"/>
      <c r="Y152" s="37"/>
      <c r="Z152" t="str">
        <f>IFERROR(INDEX(הגדרות!$B$2:$B$17,MATCH(H152,הגדרות!$A$2:$A$17,0)),"")</f>
        <v>שלג</v>
      </c>
      <c r="AA152">
        <f>IFERROR(INDEX(הגדרות!$C$2:$C$17,MATCH(H152,הגדרות!$A$2:$A$17,0)),"")</f>
        <v>0</v>
      </c>
      <c r="AB152" t="str">
        <f>IFERROR(INDEX(הגדרות!$B$2:$B$17,MATCH(I152,הגדרות!$A$2:$A$17,0)),"")</f>
        <v/>
      </c>
      <c r="AC152" t="str">
        <f>IFERROR(INDEX(הגדרות!$C$2:$C$17,MATCH(I152,הגדרות!$A$2:$A$17,0)),"")</f>
        <v/>
      </c>
      <c r="AD152">
        <f>IF(AND(מלאי!D152&lt;&gt;"",OR('לוח בקרה'!$B$4="הכל",מלאי!Z152='לוח בקרה'!$B$4,מלאי!AA152='לוח בקרה'!$B$4,מלאי!AB152='לוח בקרה'!$B$4,מלאי!AC152='לוח בקרה'!$B$4),OR('לוח בקרה'!$B$5="הכל",מלאי!A152='לוח בקרה'!$B$5),OR('לוח בקרה'!$B$6="הכל",מלאי!B152='לוח בקרה'!$B$6),OR('לוח בקרה'!$B$7="הכל",מלאי!F152='לוח בקרה'!$B$7,מלאי!G152='לוח בקרה'!$B$7),OR('לוח בקרה'!$B$8="הכל",מלאי!T152='לוח בקרה'!$B$8),OR('לוח בקרה'!$B$9="הכל",מלאי!Q152='לוח בקרה'!$B$9),OR('לוח בקרה'!$E$4="הכל",מלאי!J152='לוח בקרה'!$E$4),OR('לוח בקרה'!$E$5="הכל",מלאי!L152='לוח בקרה'!$E$5),OR('לוח בקרה'!$E$6="הכל",מלאי!O152='לוח בקרה'!$E$6),OR('לוח בקרה'!$E$7="הכל",מלאי!R152='לוח בקרה'!$E$7),OR('לוח בקרה'!$E$8="הכל",'לוח בקרה'!$E$8="",מלאי!W152='לוח בקרה'!$E$8),OR('לוח בקרה'!$E$9="הכל",'לוח בקרה'!$E$9="",ISNUMBER(SEARCH('לוח בקרה'!$E$9,מלאי!C152)))),1,0)</f>
        <v>0</v>
      </c>
      <c r="AE152" t="e">
        <f>IF(AND(מלאי!D152&lt;&gt;"",OR('לוח בקרה טכנו-מבצעי'!$B$4="הכל",מלאי!Z152='לוח בקרה טכנו-מבצעי'!$B$4,מלאי!AA152='לוח בקרה טכנו-מבצעי'!$B$4,מלאי!AB152='לוח בקרה טכנו-מבצעי'!$B$4,מלאי!AC152='לוח בקרה טכנו-מבצעי'!$B$4),OR('לוח בקרה טכנו-מבצעי'!$B$5="הכל",מלאי!A152='לוח בקרה טכנו-מבצעי'!$B$5),OR('לוח בקרה טכנו-מבצעי'!$B$6="הכל",מלאי!B152='לוח בקרה טכנו-מבצעי'!$B$6),OR('לוח בקרה טכנו-מבצעי'!$B$7="הכל",מלאי!F152='לוח בקרה טכנו-מבצעי'!$B$7,מלאי!G152='לוח בקרה טכנו-מבצעי'!$B$7),OR('לוח בקרה טכנו-מבצעי'!$B$8="הכל",מלאי!T152='לוח בקרה טכנו-מבצעי'!$B$8),OR('לוח בקרה טכנו-מבצעי'!$B$9="הכל",מלאי!Q152='לוח בקרה טכנו-מבצעי'!$B$9),OR('לוח בקרה טכנו-מבצעי'!$E$4="הכל",מלאי!J152='לוח בקרה טכנו-מבצעי'!$E$4),OR('לוח בקרה טכנו-מבצעי'!$E$5="הכל",מלאי!L152='לוח בקרה טכנו-מבצעי'!$E$5),OR('לוח בקרה טכנו-מבצעי'!$E$6="הכל",מלאי!O152='לוח בקרה טכנו-מבצעי'!$E$6),OR('לוח בקרה טכנו-מבצעי'!$E$7="הכל",מלאי!R152='לוח בקרה טכנו-מבצעי'!$E$7),OR('לוח בקרה טכנו-מבצעי'!$E$8="הכל",'לוח בקרה טכנו-מבצעי'!$E$8="",מלאי!W152='לוח בקרה טכנו-מבצעי'!$E$8),OR('לוח בקרה טכנו-מבצעי'!$E$9="הכל",'לוח בקרה טכנו-מבצעי'!$E$9="",ISNUMBER(SEARCH('לוח בקרה טכנו-מבצעי'!$E$9,מלאי!C152))),OR('לוח בקרה טכנו-מבצעי'!$B$10="הכל",מלאי!#REF!='לוח בקרה טכנו-מבצעי'!$B$10)),1,0)</f>
        <v>#REF!</v>
      </c>
      <c r="AF152" t="str">
        <f>IF(AD152=1,COUNTIF($AD$3:$AD152,1),"")</f>
        <v/>
      </c>
      <c r="AG152" t="e">
        <f>IF(AE152=1,COUNTIF($AE$3:$AE152,1),"")</f>
        <v>#REF!</v>
      </c>
    </row>
    <row r="153" spans="1:33" ht="15" customHeight="1" x14ac:dyDescent="0.25">
      <c r="A153" s="37" t="s">
        <v>62</v>
      </c>
      <c r="B153" s="38" t="s">
        <v>201</v>
      </c>
      <c r="C153" s="38" t="s">
        <v>64</v>
      </c>
      <c r="D153" t="s">
        <v>430</v>
      </c>
      <c r="E153" s="38" t="str">
        <f>IFERROR(INDEX(הגדרות!$I$2:$I$47,MATCH(B153,הגדרות!$H$2:$H$47,0)),"")</f>
        <v>7052-00</v>
      </c>
      <c r="F153" s="37" t="s">
        <v>79</v>
      </c>
      <c r="G153" s="38"/>
      <c r="H153" s="37" t="s">
        <v>194</v>
      </c>
      <c r="I153" s="38"/>
      <c r="J153" s="37" t="s">
        <v>68</v>
      </c>
      <c r="K153" s="37" t="s">
        <v>68</v>
      </c>
      <c r="L153" s="37" t="s">
        <v>68</v>
      </c>
      <c r="M153" s="37" t="s">
        <v>68</v>
      </c>
      <c r="N153" s="37" t="s">
        <v>68</v>
      </c>
      <c r="O153" s="38"/>
      <c r="P153" s="38"/>
      <c r="Q153" s="38"/>
      <c r="R153" s="38"/>
      <c r="S153" s="38"/>
      <c r="T153" s="37" t="s">
        <v>69</v>
      </c>
      <c r="U153" s="38"/>
      <c r="V153" s="38"/>
      <c r="W153" s="38"/>
      <c r="X153" s="38"/>
      <c r="Y153" s="38"/>
      <c r="Z153" t="str">
        <f>IFERROR(INDEX(הגדרות!$B$2:$B$17,MATCH(H153,הגדרות!$A$2:$A$17,0)),"")</f>
        <v>שלג</v>
      </c>
      <c r="AA153">
        <f>IFERROR(INDEX(הגדרות!$C$2:$C$17,MATCH(H153,הגדרות!$A$2:$A$17,0)),"")</f>
        <v>0</v>
      </c>
      <c r="AB153" t="str">
        <f>IFERROR(INDEX(הגדרות!$B$2:$B$17,MATCH(I153,הגדרות!$A$2:$A$17,0)),"")</f>
        <v/>
      </c>
      <c r="AC153" t="str">
        <f>IFERROR(INDEX(הגדרות!$C$2:$C$17,MATCH(I153,הגדרות!$A$2:$A$17,0)),"")</f>
        <v/>
      </c>
      <c r="AD153">
        <f>IF(AND(מלאי!D153&lt;&gt;"",OR('לוח בקרה'!$B$4="הכל",מלאי!Z153='לוח בקרה'!$B$4,מלאי!AA153='לוח בקרה'!$B$4,מלאי!AB153='לוח בקרה'!$B$4,מלאי!AC153='לוח בקרה'!$B$4),OR('לוח בקרה'!$B$5="הכל",מלאי!A153='לוח בקרה'!$B$5),OR('לוח בקרה'!$B$6="הכל",מלאי!B153='לוח בקרה'!$B$6),OR('לוח בקרה'!$B$7="הכל",מלאי!F153='לוח בקרה'!$B$7,מלאי!G153='לוח בקרה'!$B$7),OR('לוח בקרה'!$B$8="הכל",מלאי!T153='לוח בקרה'!$B$8),OR('לוח בקרה'!$B$9="הכל",מלאי!Q153='לוח בקרה'!$B$9),OR('לוח בקרה'!$E$4="הכל",מלאי!J153='לוח בקרה'!$E$4),OR('לוח בקרה'!$E$5="הכל",מלאי!L153='לוח בקרה'!$E$5),OR('לוח בקרה'!$E$6="הכל",מלאי!O153='לוח בקרה'!$E$6),OR('לוח בקרה'!$E$7="הכל",מלאי!R153='לוח בקרה'!$E$7),OR('לוח בקרה'!$E$8="הכל",'לוח בקרה'!$E$8="",מלאי!W153='לוח בקרה'!$E$8),OR('לוח בקרה'!$E$9="הכל",'לוח בקרה'!$E$9="",ISNUMBER(SEARCH('לוח בקרה'!$E$9,מלאי!C153)))),1,0)</f>
        <v>0</v>
      </c>
      <c r="AE153" t="e">
        <f>IF(AND(מלאי!D153&lt;&gt;"",OR('לוח בקרה טכנו-מבצעי'!$B$4="הכל",מלאי!Z153='לוח בקרה טכנו-מבצעי'!$B$4,מלאי!AA153='לוח בקרה טכנו-מבצעי'!$B$4,מלאי!AB153='לוח בקרה טכנו-מבצעי'!$B$4,מלאי!AC153='לוח בקרה טכנו-מבצעי'!$B$4),OR('לוח בקרה טכנו-מבצעי'!$B$5="הכל",מלאי!A153='לוח בקרה טכנו-מבצעי'!$B$5),OR('לוח בקרה טכנו-מבצעי'!$B$6="הכל",מלאי!B153='לוח בקרה טכנו-מבצעי'!$B$6),OR('לוח בקרה טכנו-מבצעי'!$B$7="הכל",מלאי!F153='לוח בקרה טכנו-מבצעי'!$B$7,מלאי!G153='לוח בקרה טכנו-מבצעי'!$B$7),OR('לוח בקרה טכנו-מבצעי'!$B$8="הכל",מלאי!T153='לוח בקרה טכנו-מבצעי'!$B$8),OR('לוח בקרה טכנו-מבצעי'!$B$9="הכל",מלאי!Q153='לוח בקרה טכנו-מבצעי'!$B$9),OR('לוח בקרה טכנו-מבצעי'!$E$4="הכל",מלאי!J153='לוח בקרה טכנו-מבצעי'!$E$4),OR('לוח בקרה טכנו-מבצעי'!$E$5="הכל",מלאי!L153='לוח בקרה טכנו-מבצעי'!$E$5),OR('לוח בקרה טכנו-מבצעי'!$E$6="הכל",מלאי!O153='לוח בקרה טכנו-מבצעי'!$E$6),OR('לוח בקרה טכנו-מבצעי'!$E$7="הכל",מלאי!R153='לוח בקרה טכנו-מבצעי'!$E$7),OR('לוח בקרה טכנו-מבצעי'!$E$8="הכל",'לוח בקרה טכנו-מבצעי'!$E$8="",מלאי!W153='לוח בקרה טכנו-מבצעי'!$E$8),OR('לוח בקרה טכנו-מבצעי'!$E$9="הכל",'לוח בקרה טכנו-מבצעי'!$E$9="",ISNUMBER(SEARCH('לוח בקרה טכנו-מבצעי'!$E$9,מלאי!C153))),OR('לוח בקרה טכנו-מבצעי'!$B$10="הכל",מלאי!#REF!='לוח בקרה טכנו-מבצעי'!$B$10)),1,0)</f>
        <v>#REF!</v>
      </c>
      <c r="AF153" t="str">
        <f>IF(AD153=1,COUNTIF($AD$3:$AD153,1),"")</f>
        <v/>
      </c>
      <c r="AG153" t="e">
        <f>IF(AE153=1,COUNTIF($AE$3:$AE153,1),"")</f>
        <v>#REF!</v>
      </c>
    </row>
    <row r="154" spans="1:33" ht="15" customHeight="1" x14ac:dyDescent="0.25">
      <c r="A154" s="38" t="s">
        <v>62</v>
      </c>
      <c r="B154" s="38" t="s">
        <v>204</v>
      </c>
      <c r="C154" s="38" t="s">
        <v>64</v>
      </c>
      <c r="D154" t="s">
        <v>432</v>
      </c>
      <c r="E154" s="38">
        <f>IFERROR(INDEX(הגדרות!$I$2:$I$47,MATCH(B154,הגדרות!$H$2:$H$47,0)),"")</f>
        <v>0</v>
      </c>
      <c r="F154" s="37" t="s">
        <v>79</v>
      </c>
      <c r="G154" s="38"/>
      <c r="H154" s="37" t="s">
        <v>194</v>
      </c>
      <c r="I154" s="38"/>
      <c r="J154" s="37" t="s">
        <v>68</v>
      </c>
      <c r="K154" s="37" t="s">
        <v>68</v>
      </c>
      <c r="L154" s="37" t="s">
        <v>68</v>
      </c>
      <c r="M154" s="37" t="s">
        <v>68</v>
      </c>
      <c r="N154" s="37" t="s">
        <v>68</v>
      </c>
      <c r="O154" s="38"/>
      <c r="P154" s="38"/>
      <c r="Q154" s="38"/>
      <c r="R154" s="38"/>
      <c r="S154" s="38"/>
      <c r="T154" s="37" t="s">
        <v>69</v>
      </c>
      <c r="U154" s="38"/>
      <c r="V154" s="38"/>
      <c r="W154" s="38"/>
      <c r="X154" s="38"/>
      <c r="Y154" s="38"/>
      <c r="Z154" t="str">
        <f>IFERROR(INDEX(הגדרות!$B$2:$B$17,MATCH(H154,הגדרות!$A$2:$A$17,0)),"")</f>
        <v>שלג</v>
      </c>
      <c r="AA154">
        <f>IFERROR(INDEX(הגדרות!$C$2:$C$17,MATCH(H154,הגדרות!$A$2:$A$17,0)),"")</f>
        <v>0</v>
      </c>
      <c r="AB154" t="str">
        <f>IFERROR(INDEX(הגדרות!$B$2:$B$17,MATCH(I154,הגדרות!$A$2:$A$17,0)),"")</f>
        <v/>
      </c>
      <c r="AC154" t="str">
        <f>IFERROR(INDEX(הגדרות!$C$2:$C$17,MATCH(I154,הגדרות!$A$2:$A$17,0)),"")</f>
        <v/>
      </c>
      <c r="AD154">
        <f>IF(AND(מלאי!D159&lt;&gt;"",OR('לוח בקרה'!$B$4="הכל",מלאי!Z154='לוח בקרה'!$B$4,מלאי!AA154='לוח בקרה'!$B$4,מלאי!AB154='לוח בקרה'!$B$4,מלאי!AC154='לוח בקרה'!$B$4),OR('לוח בקרה'!$B$5="הכל",מלאי!A154='לוח בקרה'!$B$5),OR('לוח בקרה'!$B$6="הכל",מלאי!B154='לוח בקרה'!$B$6),OR('לוח בקרה'!$B$7="הכל",מלאי!F154='לוח בקרה'!$B$7,מלאי!G154='לוח בקרה'!$B$7),OR('לוח בקרה'!$B$8="הכל",מלאי!T154='לוח בקרה'!$B$8),OR('לוח בקרה'!$B$9="הכל",מלאי!Q154='לוח בקרה'!$B$9),OR('לוח בקרה'!$E$4="הכל",מלאי!J154='לוח בקרה'!$E$4),OR('לוח בקרה'!$E$5="הכל",מלאי!L154='לוח בקרה'!$E$5),OR('לוח בקרה'!$E$6="הכל",מלאי!O154='לוח בקרה'!$E$6),OR('לוח בקרה'!$E$7="הכל",מלאי!R154='לוח בקרה'!$E$7),OR('לוח בקרה'!$E$8="הכל",'לוח בקרה'!$E$8="",מלאי!W154='לוח בקרה'!$E$8),OR('לוח בקרה'!$E$9="הכל",'לוח בקרה'!$E$9="",ISNUMBER(SEARCH('לוח בקרה'!$E$9,מלאי!C154)))),1,0)</f>
        <v>0</v>
      </c>
      <c r="AE154" t="e">
        <f>IF(AND(מלאי!D159&lt;&gt;"",OR('לוח בקרה טכנו-מבצעי'!$B$4="הכל",מלאי!Z154='לוח בקרה טכנו-מבצעי'!$B$4,מלאי!AA154='לוח בקרה טכנו-מבצעי'!$B$4,מלאי!AB154='לוח בקרה טכנו-מבצעי'!$B$4,מלאי!AC154='לוח בקרה טכנו-מבצעי'!$B$4),OR('לוח בקרה טכנו-מבצעי'!$B$5="הכל",מלאי!A154='לוח בקרה טכנו-מבצעי'!$B$5),OR('לוח בקרה טכנו-מבצעי'!$B$6="הכל",מלאי!B154='לוח בקרה טכנו-מבצעי'!$B$6),OR('לוח בקרה טכנו-מבצעי'!$B$7="הכל",מלאי!F154='לוח בקרה טכנו-מבצעי'!$B$7,מלאי!G154='לוח בקרה טכנו-מבצעי'!$B$7),OR('לוח בקרה טכנו-מבצעי'!$B$8="הכל",מלאי!T154='לוח בקרה טכנו-מבצעי'!$B$8),OR('לוח בקרה טכנו-מבצעי'!$B$9="הכל",מלאי!Q154='לוח בקרה טכנו-מבצעי'!$B$9),OR('לוח בקרה טכנו-מבצעי'!$E$4="הכל",מלאי!J154='לוח בקרה טכנו-מבצעי'!$E$4),OR('לוח בקרה טכנו-מבצעי'!$E$5="הכל",מלאי!L154='לוח בקרה טכנו-מבצעי'!$E$5),OR('לוח בקרה טכנו-מבצעי'!$E$6="הכל",מלאי!O154='לוח בקרה טכנו-מבצעי'!$E$6),OR('לוח בקרה טכנו-מבצעי'!$E$7="הכל",מלאי!R154='לוח בקרה טכנו-מבצעי'!$E$7),OR('לוח בקרה טכנו-מבצעי'!$E$8="הכל",'לוח בקרה טכנו-מבצעי'!$E$8="",מלאי!W154='לוח בקרה טכנו-מבצעי'!$E$8),OR('לוח בקרה טכנו-מבצעי'!$E$9="הכל",'לוח בקרה טכנו-מבצעי'!$E$9="",ISNUMBER(SEARCH('לוח בקרה טכנו-מבצעי'!$E$9,מלאי!C154))),OR('לוח בקרה טכנו-מבצעי'!$B$10="הכל",מלאי!#REF!='לוח בקרה טכנו-מבצעי'!$B$10)),1,0)</f>
        <v>#REF!</v>
      </c>
      <c r="AF154" t="str">
        <f>IF(AD154=1,COUNTIF($AD$3:$AD154,1),"")</f>
        <v/>
      </c>
      <c r="AG154" t="e">
        <f>IF(AE154=1,COUNTIF($AE$3:$AE154,1),"")</f>
        <v>#REF!</v>
      </c>
    </row>
    <row r="155" spans="1:33" ht="15" customHeight="1" x14ac:dyDescent="0.25">
      <c r="A155" s="38" t="s">
        <v>62</v>
      </c>
      <c r="B155" s="38" t="s">
        <v>226</v>
      </c>
      <c r="C155" s="38" t="s">
        <v>64</v>
      </c>
      <c r="D155" s="37" t="s">
        <v>431</v>
      </c>
      <c r="E155" s="38" t="str">
        <f>IFERROR(INDEX(הגדרות!$I$2:$I$47,MATCH(B155,הגדרות!$H$2:$H$47,0)),"")</f>
        <v>5004-00</v>
      </c>
      <c r="F155" s="38" t="s">
        <v>79</v>
      </c>
      <c r="G155" s="38"/>
      <c r="H155" s="37" t="s">
        <v>194</v>
      </c>
      <c r="I155" s="38"/>
      <c r="J155" s="37" t="s">
        <v>68</v>
      </c>
      <c r="K155" s="37" t="s">
        <v>68</v>
      </c>
      <c r="L155" s="37" t="s">
        <v>68</v>
      </c>
      <c r="M155" s="37" t="s">
        <v>68</v>
      </c>
      <c r="N155" s="37" t="s">
        <v>68</v>
      </c>
      <c r="O155" s="38"/>
      <c r="P155" s="38"/>
      <c r="Q155" s="38"/>
      <c r="R155" s="38"/>
      <c r="S155" s="38"/>
      <c r="T155" s="38" t="s">
        <v>69</v>
      </c>
      <c r="U155" s="38"/>
      <c r="V155" s="38"/>
      <c r="W155" s="38"/>
      <c r="X155" s="38"/>
      <c r="Y155" s="38"/>
      <c r="Z155" t="str">
        <f>IFERROR(INDEX(הגדרות!$B$2:$B$17,MATCH(H155,הגדרות!$A$2:$A$17,0)),"")</f>
        <v>שלג</v>
      </c>
      <c r="AA155">
        <f>IFERROR(INDEX(הגדרות!$C$2:$C$17,MATCH(H155,הגדרות!$A$2:$A$17,0)),"")</f>
        <v>0</v>
      </c>
      <c r="AB155" t="str">
        <f>IFERROR(INDEX(הגדרות!$B$2:$B$17,MATCH(I155,הגדרות!$A$2:$A$17,0)),"")</f>
        <v/>
      </c>
      <c r="AC155" t="str">
        <f>IFERROR(INDEX(הגדרות!$C$2:$C$17,MATCH(I155,הגדרות!$A$2:$A$17,0)),"")</f>
        <v/>
      </c>
      <c r="AD155">
        <f>IF(AND(מלאי!D155&lt;&gt;"",OR('לוח בקרה'!$B$4="הכל",מלאי!Z155='לוח בקרה'!$B$4,מלאי!AA155='לוח בקרה'!$B$4,מלאי!AB155='לוח בקרה'!$B$4,מלאי!AC155='לוח בקרה'!$B$4),OR('לוח בקרה'!$B$5="הכל",מלאי!A155='לוח בקרה'!$B$5),OR('לוח בקרה'!$B$6="הכל",מלאי!B155='לוח בקרה'!$B$6),OR('לוח בקרה'!$B$7="הכל",מלאי!F155='לוח בקרה'!$B$7,מלאי!G155='לוח בקרה'!$B$7),OR('לוח בקרה'!$B$8="הכל",מלאי!T155='לוח בקרה'!$B$8),OR('לוח בקרה'!$B$9="הכל",מלאי!Q155='לוח בקרה'!$B$9),OR('לוח בקרה'!$E$4="הכל",מלאי!J155='לוח בקרה'!$E$4),OR('לוח בקרה'!$E$5="הכל",מלאי!L155='לוח בקרה'!$E$5),OR('לוח בקרה'!$E$6="הכל",מלאי!O155='לוח בקרה'!$E$6),OR('לוח בקרה'!$E$7="הכל",מלאי!R155='לוח בקרה'!$E$7),OR('לוח בקרה'!$E$8="הכל",'לוח בקרה'!$E$8="",מלאי!W155='לוח בקרה'!$E$8),OR('לוח בקרה'!$E$9="הכל",'לוח בקרה'!$E$9="",ISNUMBER(SEARCH('לוח בקרה'!$E$9,מלאי!C155)))),1,0)</f>
        <v>0</v>
      </c>
      <c r="AE155" t="e">
        <f>IF(AND(מלאי!D155&lt;&gt;"",OR('לוח בקרה טכנו-מבצעי'!$B$4="הכל",מלאי!Z155='לוח בקרה טכנו-מבצעי'!$B$4,מלאי!AA155='לוח בקרה טכנו-מבצעי'!$B$4,מלאי!AB155='לוח בקרה טכנו-מבצעי'!$B$4,מלאי!AC155='לוח בקרה טכנו-מבצעי'!$B$4),OR('לוח בקרה טכנו-מבצעי'!$B$5="הכל",מלאי!A155='לוח בקרה טכנו-מבצעי'!$B$5),OR('לוח בקרה טכנו-מבצעי'!$B$6="הכל",מלאי!B155='לוח בקרה טכנו-מבצעי'!$B$6),OR('לוח בקרה טכנו-מבצעי'!$B$7="הכל",מלאי!F155='לוח בקרה טכנו-מבצעי'!$B$7,מלאי!G155='לוח בקרה טכנו-מבצעי'!$B$7),OR('לוח בקרה טכנו-מבצעי'!$B$8="הכל",מלאי!T155='לוח בקרה טכנו-מבצעי'!$B$8),OR('לוח בקרה טכנו-מבצעי'!$B$9="הכל",מלאי!Q155='לוח בקרה טכנו-מבצעי'!$B$9),OR('לוח בקרה טכנו-מבצעי'!$E$4="הכל",מלאי!J155='לוח בקרה טכנו-מבצעי'!$E$4),OR('לוח בקרה טכנו-מבצעי'!$E$5="הכל",מלאי!L155='לוח בקרה טכנו-מבצעי'!$E$5),OR('לוח בקרה טכנו-מבצעי'!$E$6="הכל",מלאי!O155='לוח בקרה טכנו-מבצעי'!$E$6),OR('לוח בקרה טכנו-מבצעי'!$E$7="הכל",מלאי!R155='לוח בקרה טכנו-מבצעי'!$E$7),OR('לוח בקרה טכנו-מבצעי'!$E$8="הכל",'לוח בקרה טכנו-מבצעי'!$E$8="",מלאי!W155='לוח בקרה טכנו-מבצעי'!$E$8),OR('לוח בקרה טכנו-מבצעי'!$E$9="הכל",'לוח בקרה טכנו-מבצעי'!$E$9="",ISNUMBER(SEARCH('לוח בקרה טכנו-מבצעי'!$E$9,מלאי!C155))),OR('לוח בקרה טכנו-מבצעי'!$B$10="הכל",מלאי!#REF!='לוח בקרה טכנו-מבצעי'!$B$10)),1,0)</f>
        <v>#REF!</v>
      </c>
      <c r="AF155" t="str">
        <f>IF(AD155=1,COUNTIF($AD$3:$AD155,1),"")</f>
        <v/>
      </c>
      <c r="AG155" t="e">
        <f>IF(AE155=1,COUNTIF($AE$3:$AE155,1),"")</f>
        <v>#REF!</v>
      </c>
    </row>
    <row r="156" spans="1:33" ht="15" customHeight="1" x14ac:dyDescent="0.25">
      <c r="A156" s="38" t="s">
        <v>106</v>
      </c>
      <c r="B156" s="38" t="s">
        <v>107</v>
      </c>
      <c r="C156" s="38" t="s">
        <v>64</v>
      </c>
      <c r="D156" s="38" t="s">
        <v>433</v>
      </c>
      <c r="E156" s="38" t="str">
        <f>IFERROR(INDEX(הגדרות!$I$2:$I$47,MATCH(B156,הגדרות!$H$2:$H$47,0)),"")</f>
        <v>9001-00</v>
      </c>
      <c r="F156" s="38" t="s">
        <v>79</v>
      </c>
      <c r="G156" s="38"/>
      <c r="H156" s="37" t="s">
        <v>197</v>
      </c>
      <c r="I156" s="38"/>
      <c r="J156" s="37" t="s">
        <v>68</v>
      </c>
      <c r="K156" s="37" t="s">
        <v>68</v>
      </c>
      <c r="L156" s="37" t="s">
        <v>68</v>
      </c>
      <c r="M156" s="37" t="s">
        <v>68</v>
      </c>
      <c r="N156" s="37" t="s">
        <v>68</v>
      </c>
      <c r="O156" s="38"/>
      <c r="P156" s="38"/>
      <c r="Q156" s="38"/>
      <c r="R156" s="38"/>
      <c r="S156" s="38"/>
      <c r="T156" s="38" t="s">
        <v>69</v>
      </c>
      <c r="U156" s="38"/>
      <c r="V156" s="38"/>
      <c r="W156" s="38"/>
      <c r="X156" s="38"/>
      <c r="Y156" s="38"/>
      <c r="Z156" t="str">
        <f>IFERROR(INDEX(הגדרות!$B$2:$B$17,MATCH(H156,הגדרות!$A$2:$A$17,0)),"")</f>
        <v>שלג</v>
      </c>
      <c r="AA156">
        <f>IFERROR(INDEX(הגדרות!$C$2:$C$17,MATCH(H156,הגדרות!$A$2:$A$17,0)),"")</f>
        <v>0</v>
      </c>
      <c r="AB156" t="str">
        <f>IFERROR(INDEX(הגדרות!$B$2:$B$17,MATCH(I156,הגדרות!$A$2:$A$17,0)),"")</f>
        <v/>
      </c>
      <c r="AC156" t="str">
        <f>IFERROR(INDEX(הגדרות!$C$2:$C$17,MATCH(I156,הגדרות!$A$2:$A$17,0)),"")</f>
        <v/>
      </c>
      <c r="AD156">
        <f>IF(AND(מלאי!D156&lt;&gt;"",OR('לוח בקרה'!$B$4="הכל",מלאי!Z156='לוח בקרה'!$B$4,מלאי!AA156='לוח בקרה'!$B$4,מלאי!AB156='לוח בקרה'!$B$4,מלאי!AC156='לוח בקרה'!$B$4),OR('לוח בקרה'!$B$5="הכל",מלאי!A156='לוח בקרה'!$B$5),OR('לוח בקרה'!$B$6="הכל",מלאי!B156='לוח בקרה'!$B$6),OR('לוח בקרה'!$B$7="הכל",מלאי!F156='לוח בקרה'!$B$7,מלאי!G156='לוח בקרה'!$B$7),OR('לוח בקרה'!$B$8="הכל",מלאי!T156='לוח בקרה'!$B$8),OR('לוח בקרה'!$B$9="הכל",מלאי!Q156='לוח בקרה'!$B$9),OR('לוח בקרה'!$E$4="הכל",מלאי!J156='לוח בקרה'!$E$4),OR('לוח בקרה'!$E$5="הכל",מלאי!L156='לוח בקרה'!$E$5),OR('לוח בקרה'!$E$6="הכל",מלאי!O156='לוח בקרה'!$E$6),OR('לוח בקרה'!$E$7="הכל",מלאי!R156='לוח בקרה'!$E$7),OR('לוח בקרה'!$E$8="הכל",'לוח בקרה'!$E$8="",מלאי!W156='לוח בקרה'!$E$8),OR('לוח בקרה'!$E$9="הכל",'לוח בקרה'!$E$9="",ISNUMBER(SEARCH('לוח בקרה'!$E$9,מלאי!C156)))),1,0)</f>
        <v>0</v>
      </c>
      <c r="AE156" t="e">
        <f>IF(AND(מלאי!D156&lt;&gt;"",OR('לוח בקרה טכנו-מבצעי'!$B$4="הכל",מלאי!Z156='לוח בקרה טכנו-מבצעי'!$B$4,מלאי!AA156='לוח בקרה טכנו-מבצעי'!$B$4,מלאי!AB156='לוח בקרה טכנו-מבצעי'!$B$4,מלאי!AC156='לוח בקרה טכנו-מבצעי'!$B$4),OR('לוח בקרה טכנו-מבצעי'!$B$5="הכל",מלאי!A156='לוח בקרה טכנו-מבצעי'!$B$5),OR('לוח בקרה טכנו-מבצעי'!$B$6="הכל",מלאי!B156='לוח בקרה טכנו-מבצעי'!$B$6),OR('לוח בקרה טכנו-מבצעי'!$B$7="הכל",מלאי!F156='לוח בקרה טכנו-מבצעי'!$B$7,מלאי!G156='לוח בקרה טכנו-מבצעי'!$B$7),OR('לוח בקרה טכנו-מבצעי'!$B$8="הכל",מלאי!T156='לוח בקרה טכנו-מבצעי'!$B$8),OR('לוח בקרה טכנו-מבצעי'!$B$9="הכל",מלאי!Q156='לוח בקרה טכנו-מבצעי'!$B$9),OR('לוח בקרה טכנו-מבצעי'!$E$4="הכל",מלאי!J156='לוח בקרה טכנו-מבצעי'!$E$4),OR('לוח בקרה טכנו-מבצעי'!$E$5="הכל",מלאי!L156='לוח בקרה טכנו-מבצעי'!$E$5),OR('לוח בקרה טכנו-מבצעי'!$E$6="הכל",מלאי!O156='לוח בקרה טכנו-מבצעי'!$E$6),OR('לוח בקרה טכנו-מבצעי'!$E$7="הכל",מלאי!R156='לוח בקרה טכנו-מבצעי'!$E$7),OR('לוח בקרה טכנו-מבצעי'!$E$8="הכל",'לוח בקרה טכנו-מבצעי'!$E$8="",מלאי!W156='לוח בקרה טכנו-מבצעי'!$E$8),OR('לוח בקרה טכנו-מבצעי'!$E$9="הכל",'לוח בקרה טכנו-מבצעי'!$E$9="",ISNUMBER(SEARCH('לוח בקרה טכנו-מבצעי'!$E$9,מלאי!C156))),OR('לוח בקרה טכנו-מבצעי'!$B$10="הכל",מלאי!#REF!='לוח בקרה טכנו-מבצעי'!$B$10)),1,0)</f>
        <v>#REF!</v>
      </c>
      <c r="AF156" t="str">
        <f>IF(AD156=1,COUNTIF($AD$3:$AD156,1),"")</f>
        <v/>
      </c>
      <c r="AG156" t="e">
        <f>IF(AE156=1,COUNTIF($AE$3:$AE156,1),"")</f>
        <v>#REF!</v>
      </c>
    </row>
    <row r="157" spans="1:33" ht="15" customHeight="1" x14ac:dyDescent="0.25">
      <c r="A157" s="38" t="s">
        <v>62</v>
      </c>
      <c r="B157" s="37" t="s">
        <v>198</v>
      </c>
      <c r="C157" s="38" t="s">
        <v>64</v>
      </c>
      <c r="D157" t="s">
        <v>434</v>
      </c>
      <c r="E157" s="37" t="str">
        <f>IFERROR(INDEX(הגדרות!$I$2:$I$47,MATCH(B157,הגדרות!$H$2:$H$47,0)),"")</f>
        <v>7051-00</v>
      </c>
      <c r="F157" s="37" t="s">
        <v>79</v>
      </c>
      <c r="G157" s="37"/>
      <c r="H157" s="37" t="s">
        <v>197</v>
      </c>
      <c r="I157" s="37"/>
      <c r="J157" s="37" t="s">
        <v>68</v>
      </c>
      <c r="K157" s="37" t="s">
        <v>68</v>
      </c>
      <c r="L157" s="37" t="s">
        <v>68</v>
      </c>
      <c r="M157" s="37" t="s">
        <v>68</v>
      </c>
      <c r="N157" s="37" t="s">
        <v>68</v>
      </c>
      <c r="O157" s="37"/>
      <c r="P157" s="38"/>
      <c r="Q157" s="37"/>
      <c r="R157" s="37"/>
      <c r="S157" s="37"/>
      <c r="T157" s="38" t="s">
        <v>69</v>
      </c>
      <c r="U157" s="37"/>
      <c r="V157" s="37"/>
      <c r="W157" s="37"/>
      <c r="X157" s="37"/>
      <c r="Y157" s="37"/>
      <c r="Z157" t="str">
        <f>IFERROR(INDEX(הגדרות!$B$2:$B$17,MATCH(H157,הגדרות!$A$2:$A$17,0)),"")</f>
        <v>שלג</v>
      </c>
      <c r="AA157">
        <f>IFERROR(INDEX(הגדרות!$C$2:$C$17,MATCH(H157,הגדרות!$A$2:$A$17,0)),"")</f>
        <v>0</v>
      </c>
      <c r="AB157" t="str">
        <f>IFERROR(INDEX(הגדרות!$B$2:$B$17,MATCH(I157,הגדרות!$A$2:$A$17,0)),"")</f>
        <v/>
      </c>
      <c r="AC157" t="str">
        <f>IFERROR(INDEX(הגדרות!$C$2:$C$17,MATCH(I157,הגדרות!$A$2:$A$17,0)),"")</f>
        <v/>
      </c>
      <c r="AD157">
        <f>IF(AND(מלאי!D157&lt;&gt;"",OR('לוח בקרה'!$B$4="הכל",מלאי!Z157='לוח בקרה'!$B$4,מלאי!AA157='לוח בקרה'!$B$4,מלאי!AB157='לוח בקרה'!$B$4,מלאי!AC157='לוח בקרה'!$B$4),OR('לוח בקרה'!$B$5="הכל",מלאי!A157='לוח בקרה'!$B$5),OR('לוח בקרה'!$B$6="הכל",מלאי!B157='לוח בקרה'!$B$6),OR('לוח בקרה'!$B$7="הכל",מלאי!F157='לוח בקרה'!$B$7,מלאי!G157='לוח בקרה'!$B$7),OR('לוח בקרה'!$B$8="הכל",מלאי!T157='לוח בקרה'!$B$8),OR('לוח בקרה'!$B$9="הכל",מלאי!Q157='לוח בקרה'!$B$9),OR('לוח בקרה'!$E$4="הכל",מלאי!J157='לוח בקרה'!$E$4),OR('לוח בקרה'!$E$5="הכל",מלאי!L157='לוח בקרה'!$E$5),OR('לוח בקרה'!$E$6="הכל",מלאי!O157='לוח בקרה'!$E$6),OR('לוח בקרה'!$E$7="הכל",מלאי!R157='לוח בקרה'!$E$7),OR('לוח בקרה'!$E$8="הכל",'לוח בקרה'!$E$8="",מלאי!W157='לוח בקרה'!$E$8),OR('לוח בקרה'!$E$9="הכל",'לוח בקרה'!$E$9="",ISNUMBER(SEARCH('לוח בקרה'!$E$9,מלאי!C157)))),1,0)</f>
        <v>0</v>
      </c>
      <c r="AE157" t="e">
        <f>IF(AND(מלאי!D157&lt;&gt;"",OR('לוח בקרה טכנו-מבצעי'!$B$4="הכל",מלאי!Z157='לוח בקרה טכנו-מבצעי'!$B$4,מלאי!AA157='לוח בקרה טכנו-מבצעי'!$B$4,מלאי!AB157='לוח בקרה טכנו-מבצעי'!$B$4,מלאי!AC157='לוח בקרה טכנו-מבצעי'!$B$4),OR('לוח בקרה טכנו-מבצעי'!$B$5="הכל",מלאי!A157='לוח בקרה טכנו-מבצעי'!$B$5),OR('לוח בקרה טכנו-מבצעי'!$B$6="הכל",מלאי!B157='לוח בקרה טכנו-מבצעי'!$B$6),OR('לוח בקרה טכנו-מבצעי'!$B$7="הכל",מלאי!F157='לוח בקרה טכנו-מבצעי'!$B$7,מלאי!G157='לוח בקרה טכנו-מבצעי'!$B$7),OR('לוח בקרה טכנו-מבצעי'!$B$8="הכל",מלאי!T157='לוח בקרה טכנו-מבצעי'!$B$8),OR('לוח בקרה טכנו-מבצעי'!$B$9="הכל",מלאי!Q157='לוח בקרה טכנו-מבצעי'!$B$9),OR('לוח בקרה טכנו-מבצעי'!$E$4="הכל",מלאי!J157='לוח בקרה טכנו-מבצעי'!$E$4),OR('לוח בקרה טכנו-מבצעי'!$E$5="הכל",מלאי!L157='לוח בקרה טכנו-מבצעי'!$E$5),OR('לוח בקרה טכנו-מבצעי'!$E$6="הכל",מלאי!O157='לוח בקרה טכנו-מבצעי'!$E$6),OR('לוח בקרה טכנו-מבצעי'!$E$7="הכל",מלאי!R157='לוח בקרה טכנו-מבצעי'!$E$7),OR('לוח בקרה טכנו-מבצעי'!$E$8="הכל",'לוח בקרה טכנו-מבצעי'!$E$8="",מלאי!W157='לוח בקרה טכנו-מבצעי'!$E$8),OR('לוח בקרה טכנו-מבצעי'!$E$9="הכל",'לוח בקרה טכנו-מבצעי'!$E$9="",ISNUMBER(SEARCH('לוח בקרה טכנו-מבצעי'!$E$9,מלאי!C157))),OR('לוח בקרה טכנו-מבצעי'!$B$10="הכל",מלאי!#REF!='לוח בקרה טכנו-מבצעי'!$B$10)),1,0)</f>
        <v>#REF!</v>
      </c>
      <c r="AF157" t="str">
        <f>IF(AD157=1,COUNTIF($AD$3:$AD157,1),"")</f>
        <v/>
      </c>
      <c r="AG157" t="e">
        <f>IF(AE157=1,COUNTIF($AE$3:$AE157,1),"")</f>
        <v>#REF!</v>
      </c>
    </row>
    <row r="158" spans="1:33" ht="15" customHeight="1" x14ac:dyDescent="0.25">
      <c r="A158" s="37" t="s">
        <v>62</v>
      </c>
      <c r="B158" s="38" t="s">
        <v>201</v>
      </c>
      <c r="C158" s="38" t="s">
        <v>64</v>
      </c>
      <c r="D158" t="s">
        <v>429</v>
      </c>
      <c r="E158" s="38" t="str">
        <f>IFERROR(INDEX(הגדרות!$I$2:$I$47,MATCH(B158,הגדרות!$H$2:$H$47,0)),"")</f>
        <v>7052-00</v>
      </c>
      <c r="F158" s="37" t="s">
        <v>79</v>
      </c>
      <c r="G158" s="38"/>
      <c r="H158" s="37" t="s">
        <v>197</v>
      </c>
      <c r="I158" s="38"/>
      <c r="J158" s="37" t="s">
        <v>68</v>
      </c>
      <c r="K158" s="37" t="s">
        <v>68</v>
      </c>
      <c r="L158" s="37" t="s">
        <v>68</v>
      </c>
      <c r="M158" s="37" t="s">
        <v>68</v>
      </c>
      <c r="N158" s="37" t="s">
        <v>68</v>
      </c>
      <c r="O158" s="38"/>
      <c r="P158" s="38"/>
      <c r="Q158" s="38"/>
      <c r="R158" s="38"/>
      <c r="S158" s="38"/>
      <c r="T158" s="37" t="s">
        <v>69</v>
      </c>
      <c r="U158" s="38"/>
      <c r="V158" s="38"/>
      <c r="W158" s="38"/>
      <c r="X158" s="38"/>
      <c r="Y158" s="38"/>
      <c r="Z158" t="str">
        <f>IFERROR(INDEX(הגדרות!$B$2:$B$17,MATCH(H158,הגדרות!$A$2:$A$17,0)),"")</f>
        <v>שלג</v>
      </c>
      <c r="AA158">
        <f>IFERROR(INDEX(הגדרות!$C$2:$C$17,MATCH(H158,הגדרות!$A$2:$A$17,0)),"")</f>
        <v>0</v>
      </c>
      <c r="AB158" t="str">
        <f>IFERROR(INDEX(הגדרות!$B$2:$B$17,MATCH(I158,הגדרות!$A$2:$A$17,0)),"")</f>
        <v/>
      </c>
      <c r="AC158" t="str">
        <f>IFERROR(INDEX(הגדרות!$C$2:$C$17,MATCH(I158,הגדרות!$A$2:$A$17,0)),"")</f>
        <v/>
      </c>
      <c r="AD158">
        <f>IF(AND(מלאי!D158&lt;&gt;"",OR('לוח בקרה'!$B$4="הכל",מלאי!Z158='לוח בקרה'!$B$4,מלאי!AA158='לוח בקרה'!$B$4,מלאי!AB158='לוח בקרה'!$B$4,מלאי!AC158='לוח בקרה'!$B$4),OR('לוח בקרה'!$B$5="הכל",מלאי!A158='לוח בקרה'!$B$5),OR('לוח בקרה'!$B$6="הכל",מלאי!B158='לוח בקרה'!$B$6),OR('לוח בקרה'!$B$7="הכל",מלאי!F158='לוח בקרה'!$B$7,מלאי!G158='לוח בקרה'!$B$7),OR('לוח בקרה'!$B$8="הכל",מלאי!T158='לוח בקרה'!$B$8),OR('לוח בקרה'!$B$9="הכל",מלאי!Q158='לוח בקרה'!$B$9),OR('לוח בקרה'!$E$4="הכל",מלאי!J158='לוח בקרה'!$E$4),OR('לוח בקרה'!$E$5="הכל",מלאי!L158='לוח בקרה'!$E$5),OR('לוח בקרה'!$E$6="הכל",מלאי!O158='לוח בקרה'!$E$6),OR('לוח בקרה'!$E$7="הכל",מלאי!R158='לוח בקרה'!$E$7),OR('לוח בקרה'!$E$8="הכל",'לוח בקרה'!$E$8="",מלאי!W158='לוח בקרה'!$E$8),OR('לוח בקרה'!$E$9="הכל",'לוח בקרה'!$E$9="",ISNUMBER(SEARCH('לוח בקרה'!$E$9,מלאי!C158)))),1,0)</f>
        <v>0</v>
      </c>
      <c r="AE158" t="e">
        <f>IF(AND(מלאי!D158&lt;&gt;"",OR('לוח בקרה טכנו-מבצעי'!$B$4="הכל",מלאי!Z158='לוח בקרה טכנו-מבצעי'!$B$4,מלאי!AA158='לוח בקרה טכנו-מבצעי'!$B$4,מלאי!AB158='לוח בקרה טכנו-מבצעי'!$B$4,מלאי!AC158='לוח בקרה טכנו-מבצעי'!$B$4),OR('לוח בקרה טכנו-מבצעי'!$B$5="הכל",מלאי!A158='לוח בקרה טכנו-מבצעי'!$B$5),OR('לוח בקרה טכנו-מבצעי'!$B$6="הכל",מלאי!B158='לוח בקרה טכנו-מבצעי'!$B$6),OR('לוח בקרה טכנו-מבצעי'!$B$7="הכל",מלאי!F158='לוח בקרה טכנו-מבצעי'!$B$7,מלאי!G158='לוח בקרה טכנו-מבצעי'!$B$7),OR('לוח בקרה טכנו-מבצעי'!$B$8="הכל",מלאי!T158='לוח בקרה טכנו-מבצעי'!$B$8),OR('לוח בקרה טכנו-מבצעי'!$B$9="הכל",מלאי!Q158='לוח בקרה טכנו-מבצעי'!$B$9),OR('לוח בקרה טכנו-מבצעי'!$E$4="הכל",מלאי!J158='לוח בקרה טכנו-מבצעי'!$E$4),OR('לוח בקרה טכנו-מבצעי'!$E$5="הכל",מלאי!L158='לוח בקרה טכנו-מבצעי'!$E$5),OR('לוח בקרה טכנו-מבצעי'!$E$6="הכל",מלאי!O158='לוח בקרה טכנו-מבצעי'!$E$6),OR('לוח בקרה טכנו-מבצעי'!$E$7="הכל",מלאי!R158='לוח בקרה טכנו-מבצעי'!$E$7),OR('לוח בקרה טכנו-מבצעי'!$E$8="הכל",'לוח בקרה טכנו-מבצעי'!$E$8="",מלאי!W158='לוח בקרה טכנו-מבצעי'!$E$8),OR('לוח בקרה טכנו-מבצעי'!$E$9="הכל",'לוח בקרה טכנו-מבצעי'!$E$9="",ISNUMBER(SEARCH('לוח בקרה טכנו-מבצעי'!$E$9,מלאי!C158))),OR('לוח בקרה טכנו-מבצעי'!$B$10="הכל",מלאי!#REF!='לוח בקרה טכנו-מבצעי'!$B$10)),1,0)</f>
        <v>#REF!</v>
      </c>
      <c r="AF158" t="str">
        <f>IF(AD158=1,COUNTIF($AD$3:$AD158,1),"")</f>
        <v/>
      </c>
      <c r="AG158" t="e">
        <f>IF(AE158=1,COUNTIF($AE$3:$AE158,1),"")</f>
        <v>#REF!</v>
      </c>
    </row>
    <row r="159" spans="1:33" ht="15" customHeight="1" x14ac:dyDescent="0.25">
      <c r="A159" s="38" t="s">
        <v>62</v>
      </c>
      <c r="B159" s="38" t="s">
        <v>204</v>
      </c>
      <c r="C159" s="38" t="s">
        <v>64</v>
      </c>
      <c r="D159" t="s">
        <v>435</v>
      </c>
      <c r="E159" s="38">
        <f>IFERROR(INDEX(הגדרות!$I$2:$I$47,MATCH(B159,הגדרות!$H$2:$H$47,0)),"")</f>
        <v>0</v>
      </c>
      <c r="F159" t="s">
        <v>79</v>
      </c>
      <c r="G159" s="38"/>
      <c r="H159" s="37" t="s">
        <v>197</v>
      </c>
      <c r="I159" s="38"/>
      <c r="J159" s="37" t="s">
        <v>68</v>
      </c>
      <c r="K159" s="37" t="s">
        <v>68</v>
      </c>
      <c r="L159" s="37" t="s">
        <v>68</v>
      </c>
      <c r="M159" s="37" t="s">
        <v>68</v>
      </c>
      <c r="N159" s="37" t="s">
        <v>68</v>
      </c>
      <c r="O159" s="38"/>
      <c r="P159" s="38"/>
      <c r="Q159" s="38"/>
      <c r="R159" s="38"/>
      <c r="S159" s="38"/>
      <c r="T159" s="37" t="s">
        <v>69</v>
      </c>
      <c r="U159" s="38"/>
      <c r="V159" s="38"/>
      <c r="W159" s="38"/>
      <c r="X159" s="38"/>
      <c r="Y159" s="38"/>
      <c r="Z159" t="str">
        <f>IFERROR(INDEX(הגדרות!$B$2:$B$17,MATCH(H159,הגדרות!$A$2:$A$17,0)),"")</f>
        <v>שלג</v>
      </c>
      <c r="AA159">
        <f>IFERROR(INDEX(הגדרות!$C$2:$C$17,MATCH(H159,הגדרות!$A$2:$A$17,0)),"")</f>
        <v>0</v>
      </c>
      <c r="AB159" t="str">
        <f>IFERROR(INDEX(הגדרות!$B$2:$B$17,MATCH(I159,הגדרות!$A$2:$A$17,0)),"")</f>
        <v/>
      </c>
      <c r="AC159" t="str">
        <f>IFERROR(INDEX(הגדרות!$C$2:$C$17,MATCH(I159,הגדרות!$A$2:$A$17,0)),"")</f>
        <v/>
      </c>
      <c r="AD159">
        <f>IF(AND(מלאי!D164&lt;&gt;"",OR('לוח בקרה'!$B$4="הכל",מלאי!Z159='לוח בקרה'!$B$4,מלאי!AA159='לוח בקרה'!$B$4,מלאי!AB159='לוח בקרה'!$B$4,מלאי!AC159='לוח בקרה'!$B$4),OR('לוח בקרה'!$B$5="הכל",מלאי!A159='לוח בקרה'!$B$5),OR('לוח בקרה'!$B$6="הכל",מלאי!B159='לוח בקרה'!$B$6),OR('לוח בקרה'!$B$7="הכל",מלאי!F159='לוח בקרה'!$B$7,מלאי!G159='לוח בקרה'!$B$7),OR('לוח בקרה'!$B$8="הכל",מלאי!T159='לוח בקרה'!$B$8),OR('לוח בקרה'!$B$9="הכל",מלאי!Q159='לוח בקרה'!$B$9),OR('לוח בקרה'!$E$4="הכל",מלאי!J159='לוח בקרה'!$E$4),OR('לוח בקרה'!$E$5="הכל",מלאי!L159='לוח בקרה'!$E$5),OR('לוח בקרה'!$E$6="הכל",מלאי!O159='לוח בקרה'!$E$6),OR('לוח בקרה'!$E$7="הכל",מלאי!R159='לוח בקרה'!$E$7),OR('לוח בקרה'!$E$8="הכל",'לוח בקרה'!$E$8="",מלאי!W159='לוח בקרה'!$E$8),OR('לוח בקרה'!$E$9="הכל",'לוח בקרה'!$E$9="",ISNUMBER(SEARCH('לוח בקרה'!$E$9,מלאי!C159)))),1,0)</f>
        <v>0</v>
      </c>
      <c r="AE159" t="e">
        <f>IF(AND(מלאי!D164&lt;&gt;"",OR('לוח בקרה טכנו-מבצעי'!$B$4="הכל",מלאי!Z159='לוח בקרה טכנו-מבצעי'!$B$4,מלאי!AA159='לוח בקרה טכנו-מבצעי'!$B$4,מלאי!AB159='לוח בקרה טכנו-מבצעי'!$B$4,מלאי!AC159='לוח בקרה טכנו-מבצעי'!$B$4),OR('לוח בקרה טכנו-מבצעי'!$B$5="הכל",מלאי!A159='לוח בקרה טכנו-מבצעי'!$B$5),OR('לוח בקרה טכנו-מבצעי'!$B$6="הכל",מלאי!B159='לוח בקרה טכנו-מבצעי'!$B$6),OR('לוח בקרה טכנו-מבצעי'!$B$7="הכל",מלאי!F159='לוח בקרה טכנו-מבצעי'!$B$7,מלאי!G159='לוח בקרה טכנו-מבצעי'!$B$7),OR('לוח בקרה טכנו-מבצעי'!$B$8="הכל",מלאי!T159='לוח בקרה טכנו-מבצעי'!$B$8),OR('לוח בקרה טכנו-מבצעי'!$B$9="הכל",מלאי!Q159='לוח בקרה טכנו-מבצעי'!$B$9),OR('לוח בקרה טכנו-מבצעי'!$E$4="הכל",מלאי!J159='לוח בקרה טכנו-מבצעי'!$E$4),OR('לוח בקרה טכנו-מבצעי'!$E$5="הכל",מלאי!L159='לוח בקרה טכנו-מבצעי'!$E$5),OR('לוח בקרה טכנו-מבצעי'!$E$6="הכל",מלאי!O159='לוח בקרה טכנו-מבצעי'!$E$6),OR('לוח בקרה טכנו-מבצעי'!$E$7="הכל",מלאי!R159='לוח בקרה טכנו-מבצעי'!$E$7),OR('לוח בקרה טכנו-מבצעי'!$E$8="הכל",'לוח בקרה טכנו-מבצעי'!$E$8="",מלאי!W159='לוח בקרה טכנו-מבצעי'!$E$8),OR('לוח בקרה טכנו-מבצעי'!$E$9="הכל",'לוח בקרה טכנו-מבצעי'!$E$9="",ISNUMBER(SEARCH('לוח בקרה טכנו-מבצעי'!$E$9,מלאי!C159))),OR('לוח בקרה טכנו-מבצעי'!$B$10="הכל",מלאי!#REF!='לוח בקרה טכנו-מבצעי'!$B$10)),1,0)</f>
        <v>#REF!</v>
      </c>
      <c r="AF159" t="str">
        <f>IF(AD159=1,COUNTIF($AD$3:$AD159,1),"")</f>
        <v/>
      </c>
      <c r="AG159" t="e">
        <f>IF(AE159=1,COUNTIF($AE$3:$AE159,1),"")</f>
        <v>#REF!</v>
      </c>
    </row>
    <row r="160" spans="1:33" ht="15" customHeight="1" x14ac:dyDescent="0.25">
      <c r="A160" s="38" t="s">
        <v>62</v>
      </c>
      <c r="B160" s="38" t="s">
        <v>226</v>
      </c>
      <c r="C160" s="38" t="s">
        <v>64</v>
      </c>
      <c r="D160" s="37" t="s">
        <v>436</v>
      </c>
      <c r="E160" s="38" t="str">
        <f>IFERROR(INDEX(הגדרות!$I$2:$I$47,MATCH(B160,הגדרות!$H$2:$H$47,0)),"")</f>
        <v>5004-00</v>
      </c>
      <c r="F160" s="38" t="s">
        <v>79</v>
      </c>
      <c r="G160" s="38"/>
      <c r="H160" s="37" t="s">
        <v>197</v>
      </c>
      <c r="I160" s="38"/>
      <c r="J160" s="37" t="s">
        <v>68</v>
      </c>
      <c r="K160" s="37" t="s">
        <v>68</v>
      </c>
      <c r="L160" s="37" t="s">
        <v>68</v>
      </c>
      <c r="M160" s="37" t="s">
        <v>68</v>
      </c>
      <c r="N160" s="37" t="s">
        <v>68</v>
      </c>
      <c r="O160" s="38"/>
      <c r="P160" s="38"/>
      <c r="Q160" s="38"/>
      <c r="R160" s="38"/>
      <c r="S160" s="38"/>
      <c r="T160" s="38" t="s">
        <v>69</v>
      </c>
      <c r="U160" s="38"/>
      <c r="V160" s="38"/>
      <c r="W160" s="38"/>
      <c r="X160" s="38"/>
      <c r="Y160" s="38"/>
      <c r="Z160" t="str">
        <f>IFERROR(INDEX(הגדרות!$B$2:$B$17,MATCH(H160,הגדרות!$A$2:$A$17,0)),"")</f>
        <v>שלג</v>
      </c>
      <c r="AA160">
        <f>IFERROR(INDEX(הגדרות!$C$2:$C$17,MATCH(H160,הגדרות!$A$2:$A$17,0)),"")</f>
        <v>0</v>
      </c>
      <c r="AB160" t="str">
        <f>IFERROR(INDEX(הגדרות!$B$2:$B$17,MATCH(I160,הגדרות!$A$2:$A$17,0)),"")</f>
        <v/>
      </c>
      <c r="AC160" t="str">
        <f>IFERROR(INDEX(הגדרות!$C$2:$C$17,MATCH(I160,הגדרות!$A$2:$A$17,0)),"")</f>
        <v/>
      </c>
      <c r="AD160">
        <f>IF(AND(מלאי!D160&lt;&gt;"",OR('לוח בקרה'!$B$4="הכל",מלאי!Z160='לוח בקרה'!$B$4,מלאי!AA160='לוח בקרה'!$B$4,מלאי!AB160='לוח בקרה'!$B$4,מלאי!AC160='לוח בקרה'!$B$4),OR('לוח בקרה'!$B$5="הכל",מלאי!A160='לוח בקרה'!$B$5),OR('לוח בקרה'!$B$6="הכל",מלאי!B160='לוח בקרה'!$B$6),OR('לוח בקרה'!$B$7="הכל",מלאי!F160='לוח בקרה'!$B$7,מלאי!G160='לוח בקרה'!$B$7),OR('לוח בקרה'!$B$8="הכל",מלאי!T160='לוח בקרה'!$B$8),OR('לוח בקרה'!$B$9="הכל",מלאי!Q160='לוח בקרה'!$B$9),OR('לוח בקרה'!$E$4="הכל",מלאי!J160='לוח בקרה'!$E$4),OR('לוח בקרה'!$E$5="הכל",מלאי!L160='לוח בקרה'!$E$5),OR('לוח בקרה'!$E$6="הכל",מלאי!O160='לוח בקרה'!$E$6),OR('לוח בקרה'!$E$7="הכל",מלאי!R160='לוח בקרה'!$E$7),OR('לוח בקרה'!$E$8="הכל",'לוח בקרה'!$E$8="",מלאי!W160='לוח בקרה'!$E$8),OR('לוח בקרה'!$E$9="הכל",'לוח בקרה'!$E$9="",ISNUMBER(SEARCH('לוח בקרה'!$E$9,מלאי!C160)))),1,0)</f>
        <v>0</v>
      </c>
      <c r="AE160" t="e">
        <f>IF(AND(מלאי!D160&lt;&gt;"",OR('לוח בקרה טכנו-מבצעי'!$B$4="הכל",מלאי!Z160='לוח בקרה טכנו-מבצעי'!$B$4,מלאי!AA160='לוח בקרה טכנו-מבצעי'!$B$4,מלאי!AB160='לוח בקרה טכנו-מבצעי'!$B$4,מלאי!AC160='לוח בקרה טכנו-מבצעי'!$B$4),OR('לוח בקרה טכנו-מבצעי'!$B$5="הכל",מלאי!A160='לוח בקרה טכנו-מבצעי'!$B$5),OR('לוח בקרה טכנו-מבצעי'!$B$6="הכל",מלאי!B160='לוח בקרה טכנו-מבצעי'!$B$6),OR('לוח בקרה טכנו-מבצעי'!$B$7="הכל",מלאי!F160='לוח בקרה טכנו-מבצעי'!$B$7,מלאי!G160='לוח בקרה טכנו-מבצעי'!$B$7),OR('לוח בקרה טכנו-מבצעי'!$B$8="הכל",מלאי!T160='לוח בקרה טכנו-מבצעי'!$B$8),OR('לוח בקרה טכנו-מבצעי'!$B$9="הכל",מלאי!Q160='לוח בקרה טכנו-מבצעי'!$B$9),OR('לוח בקרה טכנו-מבצעי'!$E$4="הכל",מלאי!J160='לוח בקרה טכנו-מבצעי'!$E$4),OR('לוח בקרה טכנו-מבצעי'!$E$5="הכל",מלאי!L160='לוח בקרה טכנו-מבצעי'!$E$5),OR('לוח בקרה טכנו-מבצעי'!$E$6="הכל",מלאי!O160='לוח בקרה טכנו-מבצעי'!$E$6),OR('לוח בקרה טכנו-מבצעי'!$E$7="הכל",מלאי!R160='לוח בקרה טכנו-מבצעי'!$E$7),OR('לוח בקרה טכנו-מבצעי'!$E$8="הכל",'לוח בקרה טכנו-מבצעי'!$E$8="",מלאי!W160='לוח בקרה טכנו-מבצעי'!$E$8),OR('לוח בקרה טכנו-מבצעי'!$E$9="הכל",'לוח בקרה טכנו-מבצעי'!$E$9="",ISNUMBER(SEARCH('לוח בקרה טכנו-מבצעי'!$E$9,מלאי!C160))),OR('לוח בקרה טכנו-מבצעי'!$B$10="הכל",מלאי!#REF!='לוח בקרה טכנו-מבצעי'!$B$10)),1,0)</f>
        <v>#REF!</v>
      </c>
      <c r="AF160" t="str">
        <f>IF(AD160=1,COUNTIF($AD$3:$AD160,1),"")</f>
        <v/>
      </c>
      <c r="AG160" t="e">
        <f>IF(AE160=1,COUNTIF($AE$3:$AE160,1),"")</f>
        <v>#REF!</v>
      </c>
    </row>
    <row r="161" spans="1:33" ht="15" customHeight="1" x14ac:dyDescent="0.25">
      <c r="A161" s="19" t="s">
        <v>176</v>
      </c>
      <c r="B161" s="19" t="s">
        <v>235</v>
      </c>
      <c r="C161" s="19" t="s">
        <v>460</v>
      </c>
      <c r="D161" s="19" t="s">
        <v>461</v>
      </c>
      <c r="E161" s="19">
        <f>IFERROR(INDEX(הגדרות!$I$2:$I$47,MATCH(B161,הגדרות!$H$2:$H$47,0)),"")</f>
        <v>0</v>
      </c>
      <c r="F161" s="19" t="s">
        <v>345</v>
      </c>
      <c r="G161" s="19"/>
      <c r="H161" s="19" t="s">
        <v>66</v>
      </c>
      <c r="I161" s="19"/>
      <c r="J161" s="19" t="s">
        <v>68</v>
      </c>
      <c r="K161" s="19"/>
      <c r="L161" s="19"/>
      <c r="M161" s="19"/>
      <c r="N161" s="19"/>
      <c r="O161" s="19"/>
      <c r="P161" s="19"/>
      <c r="Q161" s="19" t="s">
        <v>68</v>
      </c>
      <c r="R161" s="19" t="s">
        <v>179</v>
      </c>
      <c r="S161" s="19"/>
      <c r="T161" s="19" t="s">
        <v>69</v>
      </c>
      <c r="U161" s="19"/>
      <c r="V161" s="19"/>
      <c r="W161" s="19"/>
      <c r="X161" s="19"/>
      <c r="Y161" s="19"/>
      <c r="Z161" t="str">
        <f>IFERROR(INDEX(הגדרות!$B$2:$B$17,MATCH(H161,הגדרות!$A$2:$A$17,0)),"")</f>
        <v>מיוער</v>
      </c>
      <c r="AA161">
        <f>IFERROR(INDEX(הגדרות!$C$2:$C$17,MATCH(H161,הגדרות!$A$2:$A$17,0)),"")</f>
        <v>0</v>
      </c>
      <c r="AB161" t="str">
        <f>IFERROR(INDEX(הגדרות!$B$2:$B$17,MATCH(I161,הגדרות!$A$2:$A$17,0)),"")</f>
        <v/>
      </c>
      <c r="AC161" t="str">
        <f>IFERROR(INDEX(הגדרות!$C$2:$C$17,MATCH(I161,הגדרות!$A$2:$A$17,0)),"")</f>
        <v/>
      </c>
      <c r="AD161">
        <f>IF(AND(מלאי!D161&lt;&gt;"",OR('לוח בקרה'!$B$4="הכל",מלאי!Z161='לוח בקרה'!$B$4,מלאי!AA161='לוח בקרה'!$B$4,מלאי!AB161='לוח בקרה'!$B$4,מלאי!AC161='לוח בקרה'!$B$4),OR('לוח בקרה'!$B$5="הכל",מלאי!A161='לוח בקרה'!$B$5),OR('לוח בקרה'!$B$6="הכל",מלאי!B161='לוח בקרה'!$B$6),OR('לוח בקרה'!$B$7="הכל",מלאי!F161='לוח בקרה'!$B$7,מלאי!G161='לוח בקרה'!$B$7),OR('לוח בקרה'!$B$8="הכל",מלאי!T161='לוח בקרה'!$B$8),OR('לוח בקרה'!$B$9="הכל",מלאי!Q161='לוח בקרה'!$B$9),OR('לוח בקרה'!$E$4="הכל",מלאי!J161='לוח בקרה'!$E$4),OR('לוח בקרה'!$E$5="הכל",מלאי!L161='לוח בקרה'!$E$5),OR('לוח בקרה'!$E$6="הכל",מלאי!O161='לוח בקרה'!$E$6),OR('לוח בקרה'!$E$7="הכל",מלאי!R161='לוח בקרה'!$E$7),OR('לוח בקרה'!$E$8="הכל",'לוח בקרה'!$E$8="",מלאי!W161='לוח בקרה'!$E$8),OR('לוח בקרה'!$E$9="הכל",'לוח בקרה'!$E$9="",ISNUMBER(SEARCH('לוח בקרה'!$E$9,מלאי!C161)))),1,0)</f>
        <v>0</v>
      </c>
      <c r="AE161" t="e">
        <f>IF(AND(מלאי!D161&lt;&gt;"",OR('לוח בקרה טכנו-מבצעי'!$B$4="הכל",מלאי!Z161='לוח בקרה טכנו-מבצעי'!$B$4,מלאי!AA161='לוח בקרה טכנו-מבצעי'!$B$4,מלאי!AB161='לוח בקרה טכנו-מבצעי'!$B$4,מלאי!AC161='לוח בקרה טכנו-מבצעי'!$B$4),OR('לוח בקרה טכנו-מבצעי'!$B$5="הכל",מלאי!A161='לוח בקרה טכנו-מבצעי'!$B$5),OR('לוח בקרה טכנו-מבצעי'!$B$6="הכל",מלאי!B161='לוח בקרה טכנו-מבצעי'!$B$6),OR('לוח בקרה טכנו-מבצעי'!$B$7="הכל",מלאי!F161='לוח בקרה טכנו-מבצעי'!$B$7,מלאי!G161='לוח בקרה טכנו-מבצעי'!$B$7),OR('לוח בקרה טכנו-מבצעי'!$B$8="הכל",מלאי!T161='לוח בקרה טכנו-מבצעי'!$B$8),OR('לוח בקרה טכנו-מבצעי'!$B$9="הכל",מלאי!Q161='לוח בקרה טכנו-מבצעי'!$B$9),OR('לוח בקרה טכנו-מבצעי'!$E$4="הכל",מלאי!J161='לוח בקרה טכנו-מבצעי'!$E$4),OR('לוח בקרה טכנו-מבצעי'!$E$5="הכל",מלאי!L161='לוח בקרה טכנו-מבצעי'!$E$5),OR('לוח בקרה טכנו-מבצעי'!$E$6="הכל",מלאי!O161='לוח בקרה טכנו-מבצעי'!$E$6),OR('לוח בקרה טכנו-מבצעי'!$E$7="הכל",מלאי!R161='לוח בקרה טכנו-מבצעי'!$E$7),OR('לוח בקרה טכנו-מבצעי'!$E$8="הכל",'לוח בקרה טכנו-מבצעי'!$E$8="",מלאי!W161='לוח בקרה טכנו-מבצעי'!$E$8),OR('לוח בקרה טכנו-מבצעי'!$E$9="הכל",'לוח בקרה טכנו-מבצעי'!$E$9="",ISNUMBER(SEARCH('לוח בקרה טכנו-מבצעי'!$E$9,מלאי!C161))),OR('לוח בקרה טכנו-מבצעי'!$B$10="הכל",מלאי!#REF!='לוח בקרה טכנו-מבצעי'!$B$10)),1,0)</f>
        <v>#REF!</v>
      </c>
      <c r="AF161" t="str">
        <f>IF(AD161=1,COUNTIF($AD$3:$AD161,1),"")</f>
        <v/>
      </c>
      <c r="AG161" t="e">
        <f>IF(AE161=1,COUNTIF($AE$3:$AE161,1),"")</f>
        <v>#REF!</v>
      </c>
    </row>
    <row r="162" spans="1:33" ht="15" customHeight="1" x14ac:dyDescent="0.25">
      <c r="A162" s="19" t="s">
        <v>176</v>
      </c>
      <c r="B162" s="19" t="s">
        <v>234</v>
      </c>
      <c r="C162" s="19"/>
      <c r="D162" s="19" t="s">
        <v>464</v>
      </c>
      <c r="E162" s="19">
        <f>IFERROR(INDEX(הגדרות!$I$2:$I$47,MATCH(B162,הגדרות!$H$2:$H$47,0)),"")</f>
        <v>0</v>
      </c>
      <c r="F162" s="19" t="s">
        <v>343</v>
      </c>
      <c r="G162" s="19"/>
      <c r="H162" s="19" t="s">
        <v>100</v>
      </c>
      <c r="I162" s="19"/>
      <c r="J162" s="19" t="s">
        <v>14</v>
      </c>
      <c r="K162" s="19"/>
      <c r="L162" s="19"/>
      <c r="M162" s="19"/>
      <c r="N162" s="19"/>
      <c r="O162" s="19"/>
      <c r="P162" s="19"/>
      <c r="Q162" s="19"/>
      <c r="R162" s="19" t="s">
        <v>183</v>
      </c>
      <c r="S162" s="19"/>
      <c r="T162" s="19" t="s">
        <v>69</v>
      </c>
      <c r="U162" s="19" t="s">
        <v>462</v>
      </c>
      <c r="V162" s="19"/>
      <c r="W162" s="19"/>
      <c r="X162" s="19"/>
      <c r="Y162" s="19"/>
      <c r="Z162" t="str">
        <f>IFERROR(INDEX(הגדרות!$B$2:$B$17,MATCH(H162,הגדרות!$A$2:$A$17,0)),"")</f>
        <v>מיוער</v>
      </c>
      <c r="AA162">
        <f>IFERROR(INDEX(הגדרות!$C$2:$C$17,MATCH(H162,הגדרות!$A$2:$A$17,0)),"")</f>
        <v>0</v>
      </c>
      <c r="AB162" t="str">
        <f>IFERROR(INDEX(הגדרות!$B$2:$B$17,MATCH(I162,הגדרות!$A$2:$A$17,0)),"")</f>
        <v/>
      </c>
      <c r="AC162" t="str">
        <f>IFERROR(INDEX(הגדרות!$C$2:$C$17,MATCH(I162,הגדרות!$A$2:$A$17,0)),"")</f>
        <v/>
      </c>
      <c r="AD162">
        <f>IF(AND(מלאי!D162&lt;&gt;"",OR('לוח בקרה'!$B$4="הכל",מלאי!Z162='לוח בקרה'!$B$4,מלאי!AA162='לוח בקרה'!$B$4,מלאי!AB162='לוח בקרה'!$B$4,מלאי!AC162='לוח בקרה'!$B$4),OR('לוח בקרה'!$B$5="הכל",מלאי!A162='לוח בקרה'!$B$5),OR('לוח בקרה'!$B$6="הכל",מלאי!B162='לוח בקרה'!$B$6),OR('לוח בקרה'!$B$7="הכל",מלאי!F162='לוח בקרה'!$B$7,מלאי!G162='לוח בקרה'!$B$7),OR('לוח בקרה'!$B$8="הכל",מלאי!T162='לוח בקרה'!$B$8),OR('לוח בקרה'!$B$9="הכל",מלאי!Q162='לוח בקרה'!$B$9),OR('לוח בקרה'!$E$4="הכל",מלאי!J162='לוח בקרה'!$E$4),OR('לוח בקרה'!$E$5="הכל",מלאי!L162='לוח בקרה'!$E$5),OR('לוח בקרה'!$E$6="הכל",מלאי!O162='לוח בקרה'!$E$6),OR('לוח בקרה'!$E$7="הכל",מלאי!R162='לוח בקרה'!$E$7),OR('לוח בקרה'!$E$8="הכל",'לוח בקרה'!$E$8="",מלאי!W162='לוח בקרה'!$E$8),OR('לוח בקרה'!$E$9="הכל",'לוח בקרה'!$E$9="",ISNUMBER(SEARCH('לוח בקרה'!$E$9,מלאי!C162)))),1,0)</f>
        <v>0</v>
      </c>
      <c r="AE162" t="e">
        <f>IF(AND(מלאי!D162&lt;&gt;"",OR('לוח בקרה טכנו-מבצעי'!$B$4="הכל",מלאי!Z162='לוח בקרה טכנו-מבצעי'!$B$4,מלאי!AA162='לוח בקרה טכנו-מבצעי'!$B$4,מלאי!AB162='לוח בקרה טכנו-מבצעי'!$B$4,מלאי!AC162='לוח בקרה טכנו-מבצעי'!$B$4),OR('לוח בקרה טכנו-מבצעי'!$B$5="הכל",מלאי!A162='לוח בקרה טכנו-מבצעי'!$B$5),OR('לוח בקרה טכנו-מבצעי'!$B$6="הכל",מלאי!B162='לוח בקרה טכנו-מבצעי'!$B$6),OR('לוח בקרה טכנו-מבצעי'!$B$7="הכל",מלאי!F162='לוח בקרה טכנו-מבצעי'!$B$7,מלאי!G162='לוח בקרה טכנו-מבצעי'!$B$7),OR('לוח בקרה טכנו-מבצעי'!$B$8="הכל",מלאי!T162='לוח בקרה טכנו-מבצעי'!$B$8),OR('לוח בקרה טכנו-מבצעי'!$B$9="הכל",מלאי!Q162='לוח בקרה טכנו-מבצעי'!$B$9),OR('לוח בקרה טכנו-מבצעי'!$E$4="הכל",מלאי!J162='לוח בקרה טכנו-מבצעי'!$E$4),OR('לוח בקרה טכנו-מבצעי'!$E$5="הכל",מלאי!L162='לוח בקרה טכנו-מבצעי'!$E$5),OR('לוח בקרה טכנו-מבצעי'!$E$6="הכל",מלאי!O162='לוח בקרה טכנו-מבצעי'!$E$6),OR('לוח בקרה טכנו-מבצעי'!$E$7="הכל",מלאי!R162='לוח בקרה טכנו-מבצעי'!$E$7),OR('לוח בקרה טכנו-מבצעי'!$E$8="הכל",'לוח בקרה טכנו-מבצעי'!$E$8="",מלאי!W162='לוח בקרה טכנו-מבצעי'!$E$8),OR('לוח בקרה טכנו-מבצעי'!$E$9="הכל",'לוח בקרה טכנו-מבצעי'!$E$9="",ISNUMBER(SEARCH('לוח בקרה טכנו-מבצעי'!$E$9,מלאי!C162))),OR('לוח בקרה טכנו-מבצעי'!$B$10="הכל",מלאי!#REF!='לוח בקרה טכנו-מבצעי'!$B$10)),1,0)</f>
        <v>#REF!</v>
      </c>
      <c r="AF162" t="str">
        <f>IF(AD162=1,COUNTIF($AD$3:$AD162,1),"")</f>
        <v/>
      </c>
      <c r="AG162" t="e">
        <f>IF(AE162=1,COUNTIF($AE$3:$AE162,1),"")</f>
        <v>#REF!</v>
      </c>
    </row>
    <row r="163" spans="1:33" ht="15" customHeight="1" x14ac:dyDescent="0.25">
      <c r="A163" s="19" t="s">
        <v>176</v>
      </c>
      <c r="B163" s="19" t="s">
        <v>234</v>
      </c>
      <c r="C163" s="30" t="s">
        <v>355</v>
      </c>
      <c r="D163" s="19" t="s">
        <v>463</v>
      </c>
      <c r="E163" s="19">
        <f>IFERROR(INDEX(הגדרות!$I$2:$I$47,MATCH(B163,הגדרות!$H$2:$H$47,0)),"")</f>
        <v>0</v>
      </c>
      <c r="F163" s="19" t="s">
        <v>343</v>
      </c>
      <c r="G163" s="19"/>
      <c r="H163" s="19" t="s">
        <v>100</v>
      </c>
      <c r="I163" s="19"/>
      <c r="J163" s="19" t="s">
        <v>14</v>
      </c>
      <c r="K163" s="19"/>
      <c r="L163" s="19"/>
      <c r="M163" s="19"/>
      <c r="N163" s="19"/>
      <c r="O163" s="19"/>
      <c r="P163" s="19"/>
      <c r="Q163" s="19"/>
      <c r="R163" s="19" t="s">
        <v>183</v>
      </c>
      <c r="S163" s="19"/>
      <c r="T163" s="19" t="s">
        <v>69</v>
      </c>
      <c r="U163" s="19" t="s">
        <v>462</v>
      </c>
      <c r="V163" s="19"/>
      <c r="W163" s="19"/>
      <c r="X163" s="19"/>
      <c r="Y163" s="19"/>
      <c r="Z163" t="str">
        <f>IFERROR(INDEX(הגדרות!$B$2:$B$17,MATCH(H163,הגדרות!$A$2:$A$17,0)),"")</f>
        <v>מיוער</v>
      </c>
      <c r="AA163">
        <f>IFERROR(INDEX(הגדרות!$C$2:$C$17,MATCH(H163,הגדרות!$A$2:$A$17,0)),"")</f>
        <v>0</v>
      </c>
      <c r="AB163" t="str">
        <f>IFERROR(INDEX(הגדרות!$B$2:$B$17,MATCH(I163,הגדרות!$A$2:$A$17,0)),"")</f>
        <v/>
      </c>
      <c r="AC163" t="str">
        <f>IFERROR(INDEX(הגדרות!$C$2:$C$17,MATCH(I163,הגדרות!$A$2:$A$17,0)),"")</f>
        <v/>
      </c>
      <c r="AD163">
        <f>IF(AND(מלאי!D163&lt;&gt;"",OR('לוח בקרה'!$B$4="הכל",מלאי!Z163='לוח בקרה'!$B$4,מלאי!AA163='לוח בקרה'!$B$4,מלאי!AB163='לוח בקרה'!$B$4,מלאי!AC163='לוח בקרה'!$B$4),OR('לוח בקרה'!$B$5="הכל",מלאי!A163='לוח בקרה'!$B$5),OR('לוח בקרה'!$B$6="הכל",מלאי!B163='לוח בקרה'!$B$6),OR('לוח בקרה'!$B$7="הכל",מלאי!F163='לוח בקרה'!$B$7,מלאי!G163='לוח בקרה'!$B$7),OR('לוח בקרה'!$B$8="הכל",מלאי!T163='לוח בקרה'!$B$8),OR('לוח בקרה'!$B$9="הכל",מלאי!Q163='לוח בקרה'!$B$9),OR('לוח בקרה'!$E$4="הכל",מלאי!J163='לוח בקרה'!$E$4),OR('לוח בקרה'!$E$5="הכל",מלאי!L163='לוח בקרה'!$E$5),OR('לוח בקרה'!$E$6="הכל",מלאי!O163='לוח בקרה'!$E$6),OR('לוח בקרה'!$E$7="הכל",מלאי!R163='לוח בקרה'!$E$7),OR('לוח בקרה'!$E$8="הכל",'לוח בקרה'!$E$8="",מלאי!W163='לוח בקרה'!$E$8),OR('לוח בקרה'!$E$9="הכל",'לוח בקרה'!$E$9="",ISNUMBER(SEARCH('לוח בקרה'!$E$9,מלאי!C163)))),1,0)</f>
        <v>0</v>
      </c>
      <c r="AE163" t="e">
        <f>IF(AND(מלאי!D163&lt;&gt;"",OR('לוח בקרה טכנו-מבצעי'!$B$4="הכל",מלאי!Z163='לוח בקרה טכנו-מבצעי'!$B$4,מלאי!AA163='לוח בקרה טכנו-מבצעי'!$B$4,מלאי!AB163='לוח בקרה טכנו-מבצעי'!$B$4,מלאי!AC163='לוח בקרה טכנו-מבצעי'!$B$4),OR('לוח בקרה טכנו-מבצעי'!$B$5="הכל",מלאי!A163='לוח בקרה טכנו-מבצעי'!$B$5),OR('לוח בקרה טכנו-מבצעי'!$B$6="הכל",מלאי!B163='לוח בקרה טכנו-מבצעי'!$B$6),OR('לוח בקרה טכנו-מבצעי'!$B$7="הכל",מלאי!F163='לוח בקרה טכנו-מבצעי'!$B$7,מלאי!G163='לוח בקרה טכנו-מבצעי'!$B$7),OR('לוח בקרה טכנו-מבצעי'!$B$8="הכל",מלאי!T163='לוח בקרה טכנו-מבצעי'!$B$8),OR('לוח בקרה טכנו-מבצעי'!$B$9="הכל",מלאי!Q163='לוח בקרה טכנו-מבצעי'!$B$9),OR('לוח בקרה טכנו-מבצעי'!$E$4="הכל",מלאי!J163='לוח בקרה טכנו-מבצעי'!$E$4),OR('לוח בקרה טכנו-מבצעי'!$E$5="הכל",מלאי!L163='לוח בקרה טכנו-מבצעי'!$E$5),OR('לוח בקרה טכנו-מבצעי'!$E$6="הכל",מלאי!O163='לוח בקרה טכנו-מבצעי'!$E$6),OR('לוח בקרה טכנו-מבצעי'!$E$7="הכל",מלאי!R163='לוח בקרה טכנו-מבצעי'!$E$7),OR('לוח בקרה טכנו-מבצעי'!$E$8="הכל",'לוח בקרה טכנו-מבצעי'!$E$8="",מלאי!W163='לוח בקרה טכנו-מבצעי'!$E$8),OR('לוח בקרה טכנו-מבצעי'!$E$9="הכל",'לוח בקרה טכנו-מבצעי'!$E$9="",ISNUMBER(SEARCH('לוח בקרה טכנו-מבצעי'!$E$9,מלאי!C163))),OR('לוח בקרה טכנו-מבצעי'!$B$10="הכל",מלאי!#REF!='לוח בקרה טכנו-מבצעי'!$B$10)),1,0)</f>
        <v>#REF!</v>
      </c>
      <c r="AF163" t="str">
        <f>IF(AD163=1,COUNTIF($AD$3:$AD163,1),"")</f>
        <v/>
      </c>
      <c r="AG163" t="e">
        <f>IF(AE163=1,COUNTIF($AE$3:$AE163,1),"")</f>
        <v>#REF!</v>
      </c>
    </row>
    <row r="164" spans="1:33" ht="15" customHeight="1" x14ac:dyDescent="0.25">
      <c r="A164" s="19" t="s">
        <v>176</v>
      </c>
      <c r="B164" s="19" t="s">
        <v>234</v>
      </c>
      <c r="C164" s="30" t="s">
        <v>355</v>
      </c>
      <c r="D164" s="19" t="s">
        <v>465</v>
      </c>
      <c r="E164" s="19">
        <f>IFERROR(INDEX(הגדרות!$I$2:$I$47,MATCH(B164,הגדרות!$H$2:$H$47,0)),"")</f>
        <v>0</v>
      </c>
      <c r="F164" s="19" t="s">
        <v>343</v>
      </c>
      <c r="G164" s="19"/>
      <c r="H164" s="19" t="s">
        <v>100</v>
      </c>
      <c r="I164" s="19"/>
      <c r="J164" s="19" t="s">
        <v>14</v>
      </c>
      <c r="K164" s="19"/>
      <c r="L164" s="19"/>
      <c r="M164" s="19"/>
      <c r="N164" s="19"/>
      <c r="O164" s="19"/>
      <c r="P164" s="19"/>
      <c r="Q164" s="19"/>
      <c r="R164" s="19" t="s">
        <v>183</v>
      </c>
      <c r="S164" s="19"/>
      <c r="T164" s="19" t="s">
        <v>69</v>
      </c>
      <c r="U164" s="19" t="s">
        <v>462</v>
      </c>
      <c r="V164" s="19"/>
      <c r="W164" s="19"/>
      <c r="X164" s="19"/>
      <c r="Y164" s="19"/>
      <c r="Z164" t="str">
        <f>IFERROR(INDEX(הגדרות!$B$2:$B$17,MATCH(H164,הגדרות!$A$2:$A$17,0)),"")</f>
        <v>מיוער</v>
      </c>
      <c r="AA164">
        <f>IFERROR(INDEX(הגדרות!$C$2:$C$17,MATCH(H164,הגדרות!$A$2:$A$17,0)),"")</f>
        <v>0</v>
      </c>
      <c r="AB164" t="str">
        <f>IFERROR(INDEX(הגדרות!$B$2:$B$17,MATCH(I164,הגדרות!$A$2:$A$17,0)),"")</f>
        <v/>
      </c>
      <c r="AC164" t="str">
        <f>IFERROR(INDEX(הגדרות!$C$2:$C$17,MATCH(I164,הגדרות!$A$2:$A$17,0)),"")</f>
        <v/>
      </c>
      <c r="AD164">
        <f>IF(AND(מלאי!D164&lt;&gt;"",OR('לוח בקרה'!$B$4="הכל",מלאי!Z164='לוח בקרה'!$B$4,מלאי!AA164='לוח בקרה'!$B$4,מלאי!AB164='לוח בקרה'!$B$4,מלאי!AC164='לוח בקרה'!$B$4),OR('לוח בקרה'!$B$5="הכל",מלאי!A164='לוח בקרה'!$B$5),OR('לוח בקרה'!$B$6="הכל",מלאי!B164='לוח בקרה'!$B$6),OR('לוח בקרה'!$B$7="הכל",מלאי!F164='לוח בקרה'!$B$7,מלאי!G164='לוח בקרה'!$B$7),OR('לוח בקרה'!$B$8="הכל",מלאי!T164='לוח בקרה'!$B$8),OR('לוח בקרה'!$B$9="הכל",מלאי!Q164='לוח בקרה'!$B$9),OR('לוח בקרה'!$E$4="הכל",מלאי!J164='לוח בקרה'!$E$4),OR('לוח בקרה'!$E$5="הכל",מלאי!L164='לוח בקרה'!$E$5),OR('לוח בקרה'!$E$6="הכל",מלאי!O164='לוח בקרה'!$E$6),OR('לוח בקרה'!$E$7="הכל",מלאי!R164='לוח בקרה'!$E$7),OR('לוח בקרה'!$E$8="הכל",'לוח בקרה'!$E$8="",מלאי!W164='לוח בקרה'!$E$8),OR('לוח בקרה'!$E$9="הכל",'לוח בקרה'!$E$9="",ISNUMBER(SEARCH('לוח בקרה'!$E$9,מלאי!C164)))),1,0)</f>
        <v>0</v>
      </c>
      <c r="AE164" t="e">
        <f>IF(AND(מלאי!D164&lt;&gt;"",OR('לוח בקרה טכנו-מבצעי'!$B$4="הכל",מלאי!Z164='לוח בקרה טכנו-מבצעי'!$B$4,מלאי!AA164='לוח בקרה טכנו-מבצעי'!$B$4,מלאי!AB164='לוח בקרה טכנו-מבצעי'!$B$4,מלאי!AC164='לוח בקרה טכנו-מבצעי'!$B$4),OR('לוח בקרה טכנו-מבצעי'!$B$5="הכל",מלאי!A164='לוח בקרה טכנו-מבצעי'!$B$5),OR('לוח בקרה טכנו-מבצעי'!$B$6="הכל",מלאי!B164='לוח בקרה טכנו-מבצעי'!$B$6),OR('לוח בקרה טכנו-מבצעי'!$B$7="הכל",מלאי!F164='לוח בקרה טכנו-מבצעי'!$B$7,מלאי!G164='לוח בקרה טכנו-מבצעי'!$B$7),OR('לוח בקרה טכנו-מבצעי'!$B$8="הכל",מלאי!T164='לוח בקרה טכנו-מבצעי'!$B$8),OR('לוח בקרה טכנו-מבצעי'!$B$9="הכל",מלאי!Q164='לוח בקרה טכנו-מבצעי'!$B$9),OR('לוח בקרה טכנו-מבצעי'!$E$4="הכל",מלאי!J164='לוח בקרה טכנו-מבצעי'!$E$4),OR('לוח בקרה טכנו-מבצעי'!$E$5="הכל",מלאי!L164='לוח בקרה טכנו-מבצעי'!$E$5),OR('לוח בקרה טכנו-מבצעי'!$E$6="הכל",מלאי!O164='לוח בקרה טכנו-מבצעי'!$E$6),OR('לוח בקרה טכנו-מבצעי'!$E$7="הכל",מלאי!R164='לוח בקרה טכנו-מבצעי'!$E$7),OR('לוח בקרה טכנו-מבצעי'!$E$8="הכל",'לוח בקרה טכנו-מבצעי'!$E$8="",מלאי!W164='לוח בקרה טכנו-מבצעי'!$E$8),OR('לוח בקרה טכנו-מבצעי'!$E$9="הכל",'לוח בקרה טכנו-מבצעי'!$E$9="",ISNUMBER(SEARCH('לוח בקרה טכנו-מבצעי'!$E$9,מלאי!C164))),OR('לוח בקרה טכנו-מבצעי'!$B$10="הכל",מלאי!#REF!='לוח בקרה טכנו-מבצעי'!$B$10)),1,0)</f>
        <v>#REF!</v>
      </c>
      <c r="AF164" t="str">
        <f>IF(AD164=1,COUNTIF($AD$3:$AD164,1),"")</f>
        <v/>
      </c>
      <c r="AG164" t="e">
        <f>IF(AE164=1,COUNTIF($AE$3:$AE164,1),"")</f>
        <v>#REF!</v>
      </c>
    </row>
    <row r="165" spans="1:33" ht="15" customHeight="1" x14ac:dyDescent="0.25">
      <c r="A165" s="19" t="s">
        <v>176</v>
      </c>
      <c r="B165" s="19" t="s">
        <v>235</v>
      </c>
      <c r="C165" s="30" t="s">
        <v>355</v>
      </c>
      <c r="D165" s="19" t="s">
        <v>467</v>
      </c>
      <c r="E165" s="19">
        <f>IFERROR(INDEX(הגדרות!$I$2:$I$47,MATCH(B165,הגדרות!$H$2:$H$47,0)),"")</f>
        <v>0</v>
      </c>
      <c r="F165" s="19" t="s">
        <v>343</v>
      </c>
      <c r="G165" s="19"/>
      <c r="H165" s="19" t="s">
        <v>92</v>
      </c>
      <c r="I165" s="19"/>
      <c r="J165" s="19" t="s">
        <v>68</v>
      </c>
      <c r="K165" s="19"/>
      <c r="L165" s="19"/>
      <c r="M165" s="19"/>
      <c r="N165" s="19"/>
      <c r="O165" s="19" t="s">
        <v>14</v>
      </c>
      <c r="P165" s="19"/>
      <c r="Q165" s="19"/>
      <c r="R165" s="19" t="s">
        <v>179</v>
      </c>
      <c r="S165" s="19"/>
      <c r="T165" s="19" t="s">
        <v>69</v>
      </c>
      <c r="U165" s="19" t="s">
        <v>466</v>
      </c>
      <c r="V165" s="19"/>
      <c r="W165" s="19"/>
      <c r="X165" s="19"/>
      <c r="Y165" s="19"/>
      <c r="Z165" t="str">
        <f>IFERROR(INDEX(הגדרות!$B$2:$B$17,MATCH(H165,הגדרות!$A$2:$A$17,0)),"")</f>
        <v>ימי</v>
      </c>
      <c r="AA165">
        <f>IFERROR(INDEX(הגדרות!$C$2:$C$17,MATCH(H165,הגדרות!$A$2:$A$17,0)),"")</f>
        <v>0</v>
      </c>
      <c r="AB165" t="str">
        <f>IFERROR(INDEX(הגדרות!$B$2:$B$17,MATCH(I165,הגדרות!$A$2:$A$17,0)),"")</f>
        <v/>
      </c>
      <c r="AC165" t="str">
        <f>IFERROR(INDEX(הגדרות!$C$2:$C$17,MATCH(I165,הגדרות!$A$2:$A$17,0)),"")</f>
        <v/>
      </c>
      <c r="AD165">
        <f>IF(AND(מלאי!D165&lt;&gt;"",OR('לוח בקרה'!$B$4="הכל",מלאי!Z165='לוח בקרה'!$B$4,מלאי!AA165='לוח בקרה'!$B$4,מלאי!AB165='לוח בקרה'!$B$4,מלאי!AC165='לוח בקרה'!$B$4),OR('לוח בקרה'!$B$5="הכל",מלאי!A165='לוח בקרה'!$B$5),OR('לוח בקרה'!$B$6="הכל",מלאי!B165='לוח בקרה'!$B$6),OR('לוח בקרה'!$B$7="הכל",מלאי!F165='לוח בקרה'!$B$7,מלאי!G165='לוח בקרה'!$B$7),OR('לוח בקרה'!$B$8="הכל",מלאי!T165='לוח בקרה'!$B$8),OR('לוח בקרה'!$B$9="הכל",מלאי!Q165='לוח בקרה'!$B$9),OR('לוח בקרה'!$E$4="הכל",מלאי!J165='לוח בקרה'!$E$4),OR('לוח בקרה'!$E$5="הכל",מלאי!L165='לוח בקרה'!$E$5),OR('לוח בקרה'!$E$6="הכל",מלאי!O165='לוח בקרה'!$E$6),OR('לוח בקרה'!$E$7="הכל",מלאי!R165='לוח בקרה'!$E$7),OR('לוח בקרה'!$E$8="הכל",'לוח בקרה'!$E$8="",מלאי!W165='לוח בקרה'!$E$8),OR('לוח בקרה'!$E$9="הכל",'לוח בקרה'!$E$9="",ISNUMBER(SEARCH('לוח בקרה'!$E$9,מלאי!C165)))),1,0)</f>
        <v>0</v>
      </c>
      <c r="AE165" t="e">
        <f>IF(AND(מלאי!D165&lt;&gt;"",OR('לוח בקרה טכנו-מבצעי'!$B$4="הכל",מלאי!Z165='לוח בקרה טכנו-מבצעי'!$B$4,מלאי!AA165='לוח בקרה טכנו-מבצעי'!$B$4,מלאי!AB165='לוח בקרה טכנו-מבצעי'!$B$4,מלאי!AC165='לוח בקרה טכנו-מבצעי'!$B$4),OR('לוח בקרה טכנו-מבצעי'!$B$5="הכל",מלאי!A165='לוח בקרה טכנו-מבצעי'!$B$5),OR('לוח בקרה טכנו-מבצעי'!$B$6="הכל",מלאי!B165='לוח בקרה טכנו-מבצעי'!$B$6),OR('לוח בקרה טכנו-מבצעי'!$B$7="הכל",מלאי!F165='לוח בקרה טכנו-מבצעי'!$B$7,מלאי!G165='לוח בקרה טכנו-מבצעי'!$B$7),OR('לוח בקרה טכנו-מבצעי'!$B$8="הכל",מלאי!T165='לוח בקרה טכנו-מבצעי'!$B$8),OR('לוח בקרה טכנו-מבצעי'!$B$9="הכל",מלאי!Q165='לוח בקרה טכנו-מבצעי'!$B$9),OR('לוח בקרה טכנו-מבצעי'!$E$4="הכל",מלאי!J165='לוח בקרה טכנו-מבצעי'!$E$4),OR('לוח בקרה טכנו-מבצעי'!$E$5="הכל",מלאי!L165='לוח בקרה טכנו-מבצעי'!$E$5),OR('לוח בקרה טכנו-מבצעי'!$E$6="הכל",מלאי!O165='לוח בקרה טכנו-מבצעי'!$E$6),OR('לוח בקרה טכנו-מבצעי'!$E$7="הכל",מלאי!R165='לוח בקרה טכנו-מבצעי'!$E$7),OR('לוח בקרה טכנו-מבצעי'!$E$8="הכל",'לוח בקרה טכנו-מבצעי'!$E$8="",מלאי!W165='לוח בקרה טכנו-מבצעי'!$E$8),OR('לוח בקרה טכנו-מבצעי'!$E$9="הכל",'לוח בקרה טכנו-מבצעי'!$E$9="",ISNUMBER(SEARCH('לוח בקרה טכנו-מבצעי'!$E$9,מלאי!C165))),OR('לוח בקרה טכנו-מבצעי'!$B$10="הכל",מלאי!#REF!='לוח בקרה טכנו-מבצעי'!$B$10)),1,0)</f>
        <v>#REF!</v>
      </c>
      <c r="AF165" t="str">
        <f>IF(AD165=1,COUNTIF($AD$3:$AD165,1),"")</f>
        <v/>
      </c>
      <c r="AG165" t="e">
        <f>IF(AE165=1,COUNTIF($AE$3:$AE165,1),"")</f>
        <v>#REF!</v>
      </c>
    </row>
    <row r="166" spans="1:33" ht="15" customHeight="1" x14ac:dyDescent="0.25">
      <c r="A166" s="19" t="s">
        <v>176</v>
      </c>
      <c r="B166" s="19" t="s">
        <v>228</v>
      </c>
      <c r="C166" s="30"/>
      <c r="D166" s="19" t="s">
        <v>468</v>
      </c>
      <c r="E166" s="19" t="str">
        <f>IFERROR(INDEX(הגדרות!$I$2:$I$47,MATCH(B166,הגדרות!$H$2:$H$47,0)),"")</f>
        <v>8030-00</v>
      </c>
      <c r="F166" s="19" t="s">
        <v>200</v>
      </c>
      <c r="G166" s="19"/>
      <c r="H166" s="19" t="s">
        <v>100</v>
      </c>
      <c r="I166" s="19"/>
      <c r="J166" s="19" t="s">
        <v>68</v>
      </c>
      <c r="K166" s="19"/>
      <c r="L166" s="19"/>
      <c r="M166" s="19"/>
      <c r="N166" s="19"/>
      <c r="O166" s="19"/>
      <c r="P166" s="19"/>
      <c r="Q166" s="19"/>
      <c r="R166" s="19"/>
      <c r="S166" s="19"/>
      <c r="T166" s="19" t="s">
        <v>69</v>
      </c>
      <c r="U166" s="19"/>
      <c r="V166" s="19"/>
      <c r="W166" s="19"/>
      <c r="X166" s="19"/>
      <c r="Y166" s="19"/>
      <c r="Z166" t="str">
        <f>IFERROR(INDEX(הגדרות!$B$2:$B$17,MATCH(H166,הגדרות!$A$2:$A$17,0)),"")</f>
        <v>מיוער</v>
      </c>
      <c r="AA166">
        <f>IFERROR(INDEX(הגדרות!$C$2:$C$17,MATCH(H166,הגדרות!$A$2:$A$17,0)),"")</f>
        <v>0</v>
      </c>
      <c r="AB166" t="str">
        <f>IFERROR(INDEX(הגדרות!$B$2:$B$17,MATCH(I166,הגדרות!$A$2:$A$17,0)),"")</f>
        <v/>
      </c>
      <c r="AC166" t="str">
        <f>IFERROR(INDEX(הגדרות!$C$2:$C$17,MATCH(I166,הגדרות!$A$2:$A$17,0)),"")</f>
        <v/>
      </c>
      <c r="AD166">
        <f>IF(AND(מלאי!D166&lt;&gt;"",OR('לוח בקרה'!$B$4="הכל",מלאי!Z166='לוח בקרה'!$B$4,מלאי!AA166='לוח בקרה'!$B$4,מלאי!AB166='לוח בקרה'!$B$4,מלאי!AC166='לוח בקרה'!$B$4),OR('לוח בקרה'!$B$5="הכל",מלאי!A166='לוח בקרה'!$B$5),OR('לוח בקרה'!$B$6="הכל",מלאי!B166='לוח בקרה'!$B$6),OR('לוח בקרה'!$B$7="הכל",מלאי!F166='לוח בקרה'!$B$7,מלאי!G166='לוח בקרה'!$B$7),OR('לוח בקרה'!$B$8="הכל",מלאי!T166='לוח בקרה'!$B$8),OR('לוח בקרה'!$B$9="הכל",מלאי!Q166='לוח בקרה'!$B$9),OR('לוח בקרה'!$E$4="הכל",מלאי!J166='לוח בקרה'!$E$4),OR('לוח בקרה'!$E$5="הכל",מלאי!L166='לוח בקרה'!$E$5),OR('לוח בקרה'!$E$6="הכל",מלאי!O166='לוח בקרה'!$E$6),OR('לוח בקרה'!$E$7="הכל",מלאי!R166='לוח בקרה'!$E$7),OR('לוח בקרה'!$E$8="הכל",'לוח בקרה'!$E$8="",מלאי!W166='לוח בקרה'!$E$8),OR('לוח בקרה'!$E$9="הכל",'לוח בקרה'!$E$9="",ISNUMBER(SEARCH('לוח בקרה'!$E$9,מלאי!C166)))),1,0)</f>
        <v>0</v>
      </c>
      <c r="AE166" t="e">
        <f>IF(AND(מלאי!D166&lt;&gt;"",OR('לוח בקרה טכנו-מבצעי'!$B$4="הכל",מלאי!Z166='לוח בקרה טכנו-מבצעי'!$B$4,מלאי!AA166='לוח בקרה טכנו-מבצעי'!$B$4,מלאי!AB166='לוח בקרה טכנו-מבצעי'!$B$4,מלאי!AC166='לוח בקרה טכנו-מבצעי'!$B$4),OR('לוח בקרה טכנו-מבצעי'!$B$5="הכל",מלאי!A166='לוח בקרה טכנו-מבצעי'!$B$5),OR('לוח בקרה טכנו-מבצעי'!$B$6="הכל",מלאי!B166='לוח בקרה טכנו-מבצעי'!$B$6),OR('לוח בקרה טכנו-מבצעי'!$B$7="הכל",מלאי!F166='לוח בקרה טכנו-מבצעי'!$B$7,מלאי!G166='לוח בקרה טכנו-מבצעי'!$B$7),OR('לוח בקרה טכנו-מבצעי'!$B$8="הכל",מלאי!T166='לוח בקרה טכנו-מבצעי'!$B$8),OR('לוח בקרה טכנו-מבצעי'!$B$9="הכל",מלאי!Q166='לוח בקרה טכנו-מבצעי'!$B$9),OR('לוח בקרה טכנו-מבצעי'!$E$4="הכל",מלאי!J166='לוח בקרה טכנו-מבצעי'!$E$4),OR('לוח בקרה טכנו-מבצעי'!$E$5="הכל",מלאי!L166='לוח בקרה טכנו-מבצעי'!$E$5),OR('לוח בקרה טכנו-מבצעי'!$E$6="הכל",מלאי!O166='לוח בקרה טכנו-מבצעי'!$E$6),OR('לוח בקרה טכנו-מבצעי'!$E$7="הכל",מלאי!R166='לוח בקרה טכנו-מבצעי'!$E$7),OR('לוח בקרה טכנו-מבצעי'!$E$8="הכל",'לוח בקרה טכנו-מבצעי'!$E$8="",מלאי!W166='לוח בקרה טכנו-מבצעי'!$E$8),OR('לוח בקרה טכנו-מבצעי'!$E$9="הכל",'לוח בקרה טכנו-מבצעי'!$E$9="",ISNUMBER(SEARCH('לוח בקרה טכנו-מבצעי'!$E$9,מלאי!C166))),OR('לוח בקרה טכנו-מבצעי'!$B$10="הכל",מלאי!#REF!='לוח בקרה טכנו-מבצעי'!$B$10)),1,0)</f>
        <v>#REF!</v>
      </c>
      <c r="AF166" t="str">
        <f>IF(AD166=1,COUNTIF($AD$3:$AD166,1),"")</f>
        <v/>
      </c>
      <c r="AG166" t="e">
        <f>IF(AE166=1,COUNTIF($AE$3:$AE166,1),"")</f>
        <v>#REF!</v>
      </c>
    </row>
    <row r="167" spans="1:33" ht="15" customHeight="1" x14ac:dyDescent="0.25">
      <c r="A167" s="19" t="s">
        <v>114</v>
      </c>
      <c r="B167" s="19" t="s">
        <v>469</v>
      </c>
      <c r="C167" s="19"/>
      <c r="D167" s="19" t="s">
        <v>470</v>
      </c>
      <c r="E167" s="19" t="str">
        <f>IFERROR(INDEX(הגדרות!$I$2:$I$47,MATCH(B167,הגדרות!$H$2:$H$47,0)),"")</f>
        <v/>
      </c>
      <c r="F167" s="19" t="s">
        <v>205</v>
      </c>
      <c r="G167" s="19"/>
      <c r="H167" s="19"/>
      <c r="I167" s="19"/>
      <c r="J167" s="19" t="s">
        <v>68</v>
      </c>
      <c r="K167" s="19" t="s">
        <v>68</v>
      </c>
      <c r="L167" s="19" t="s">
        <v>14</v>
      </c>
      <c r="M167" s="19" t="s">
        <v>14</v>
      </c>
      <c r="N167" s="19" t="s">
        <v>14</v>
      </c>
      <c r="O167" s="19" t="s">
        <v>14</v>
      </c>
      <c r="P167" s="19" t="s">
        <v>471</v>
      </c>
      <c r="Q167" s="19" t="s">
        <v>68</v>
      </c>
      <c r="R167" s="19"/>
      <c r="S167" s="19"/>
      <c r="T167" s="19" t="s">
        <v>69</v>
      </c>
      <c r="U167" s="19" t="s">
        <v>472</v>
      </c>
      <c r="V167" s="19"/>
      <c r="W167" s="19"/>
      <c r="X167" s="19"/>
      <c r="Y167" s="19"/>
      <c r="Z167" t="str">
        <f>IFERROR(INDEX(הגדרות!$B$2:$B$17,MATCH(H167,הגדרות!$A$2:$A$17,0)),"")</f>
        <v/>
      </c>
      <c r="AA167" t="str">
        <f>IFERROR(INDEX(הגדרות!$C$2:$C$17,MATCH(H167,הגדרות!$A$2:$A$17,0)),"")</f>
        <v/>
      </c>
      <c r="AB167" t="str">
        <f>IFERROR(INDEX(הגדרות!$B$2:$B$17,MATCH(I167,הגדרות!$A$2:$A$17,0)),"")</f>
        <v/>
      </c>
      <c r="AC167" t="str">
        <f>IFERROR(INDEX(הגדרות!$C$2:$C$17,MATCH(I167,הגדרות!$A$2:$A$17,0)),"")</f>
        <v/>
      </c>
      <c r="AD167">
        <f>IF(AND(מלאי!D167&lt;&gt;"",OR('לוח בקרה'!$B$4="הכל",מלאי!Z167='לוח בקרה'!$B$4,מלאי!AA167='לוח בקרה'!$B$4,מלאי!AB167='לוח בקרה'!$B$4,מלאי!AC167='לוח בקרה'!$B$4),OR('לוח בקרה'!$B$5="הכל",מלאי!A167='לוח בקרה'!$B$5),OR('לוח בקרה'!$B$6="הכל",מלאי!B167='לוח בקרה'!$B$6),OR('לוח בקרה'!$B$7="הכל",מלאי!F167='לוח בקרה'!$B$7,מלאי!G167='לוח בקרה'!$B$7),OR('לוח בקרה'!$B$8="הכל",מלאי!T167='לוח בקרה'!$B$8),OR('לוח בקרה'!$B$9="הכל",מלאי!Q167='לוח בקרה'!$B$9),OR('לוח בקרה'!$E$4="הכל",מלאי!J167='לוח בקרה'!$E$4),OR('לוח בקרה'!$E$5="הכל",מלאי!L167='לוח בקרה'!$E$5),OR('לוח בקרה'!$E$6="הכל",מלאי!O167='לוח בקרה'!$E$6),OR('לוח בקרה'!$E$7="הכל",מלאי!R167='לוח בקרה'!$E$7),OR('לוח בקרה'!$E$8="הכל",'לוח בקרה'!$E$8="",מלאי!W167='לוח בקרה'!$E$8),OR('לוח בקרה'!$E$9="הכל",'לוח בקרה'!$E$9="",ISNUMBER(SEARCH('לוח בקרה'!$E$9,מלאי!C167)))),1,0)</f>
        <v>0</v>
      </c>
      <c r="AE167" t="e">
        <f>IF(AND(מלאי!D167&lt;&gt;"",OR('לוח בקרה טכנו-מבצעי'!$B$4="הכל",מלאי!Z167='לוח בקרה טכנו-מבצעי'!$B$4,מלאי!AA167='לוח בקרה טכנו-מבצעי'!$B$4,מלאי!AB167='לוח בקרה טכנו-מבצעי'!$B$4,מלאי!AC167='לוח בקרה טכנו-מבצעי'!$B$4),OR('לוח בקרה טכנו-מבצעי'!$B$5="הכל",מלאי!A167='לוח בקרה טכנו-מבצעי'!$B$5),OR('לוח בקרה טכנו-מבצעי'!$B$6="הכל",מלאי!B167='לוח בקרה טכנו-מבצעי'!$B$6),OR('לוח בקרה טכנו-מבצעי'!$B$7="הכל",מלאי!F167='לוח בקרה טכנו-מבצעי'!$B$7,מלאי!G167='לוח בקרה טכנו-מבצעי'!$B$7),OR('לוח בקרה טכנו-מבצעי'!$B$8="הכל",מלאי!T167='לוח בקרה טכנו-מבצעי'!$B$8),OR('לוח בקרה טכנו-מבצעי'!$B$9="הכל",מלאי!Q167='לוח בקרה טכנו-מבצעי'!$B$9),OR('לוח בקרה טכנו-מבצעי'!$E$4="הכל",מלאי!J167='לוח בקרה טכנו-מבצעי'!$E$4),OR('לוח בקרה טכנו-מבצעי'!$E$5="הכל",מלאי!L167='לוח בקרה טכנו-מבצעי'!$E$5),OR('לוח בקרה טכנו-מבצעי'!$E$6="הכל",מלאי!O167='לוח בקרה טכנו-מבצעי'!$E$6),OR('לוח בקרה טכנו-מבצעי'!$E$7="הכל",מלאי!R167='לוח בקרה טכנו-מבצעי'!$E$7),OR('לוח בקרה טכנו-מבצעי'!$E$8="הכל",'לוח בקרה טכנו-מבצעי'!$E$8="",מלאי!W167='לוח בקרה טכנו-מבצעי'!$E$8),OR('לוח בקרה טכנו-מבצעי'!$E$9="הכל",'לוח בקרה טכנו-מבצעי'!$E$9="",ISNUMBER(SEARCH('לוח בקרה טכנו-מבצעי'!$E$9,מלאי!C167))),OR('לוח בקרה טכנו-מבצעי'!$B$10="הכל",מלאי!#REF!='לוח בקרה טכנו-מבצעי'!$B$10)),1,0)</f>
        <v>#REF!</v>
      </c>
      <c r="AF167" t="str">
        <f>IF(AD167=1,COUNTIF($AD$3:$AD167,1),"")</f>
        <v/>
      </c>
      <c r="AG167" t="e">
        <f>IF(AE167=1,COUNTIF($AE$3:$AE167,1),"")</f>
        <v>#REF!</v>
      </c>
    </row>
    <row r="168" spans="1:33" ht="15" customHeight="1" x14ac:dyDescent="0.25">
      <c r="A168" s="17" t="s">
        <v>176</v>
      </c>
      <c r="B168" s="17" t="s">
        <v>224</v>
      </c>
      <c r="C168" s="17"/>
      <c r="D168" s="17" t="s">
        <v>473</v>
      </c>
      <c r="E168" s="17" t="str">
        <f>IFERROR(INDEX(הגדרות!$I$2:$I$47,MATCH(B168,הגדרות!$H$2:$H$47,0)),"")</f>
        <v>8006-00</v>
      </c>
      <c r="F168" s="17" t="s">
        <v>343</v>
      </c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t="str">
        <f>IFERROR(INDEX(הגדרות!$B$2:$B$17,MATCH(H168,הגדרות!$A$2:$A$17,0)),"")</f>
        <v/>
      </c>
      <c r="AA168" t="str">
        <f>IFERROR(INDEX(הגדרות!$C$2:$C$17,MATCH(H168,הגדרות!$A$2:$A$17,0)),"")</f>
        <v/>
      </c>
      <c r="AB168" t="str">
        <f>IFERROR(INDEX(הגדרות!$B$2:$B$17,MATCH(I168,הגדרות!$A$2:$A$17,0)),"")</f>
        <v/>
      </c>
      <c r="AC168" t="str">
        <f>IFERROR(INDEX(הגדרות!$C$2:$C$17,MATCH(I168,הגדרות!$A$2:$A$17,0)),"")</f>
        <v/>
      </c>
      <c r="AD168">
        <f>IF(AND(מלאי!D168&lt;&gt;"",OR('לוח בקרה'!$B$4="הכל",מלאי!Z168='לוח בקרה'!$B$4,מלאי!AA168='לוח בקרה'!$B$4,מלאי!AB168='לוח בקרה'!$B$4,מלאי!AC168='לוח בקרה'!$B$4),OR('לוח בקרה'!$B$5="הכל",מלאי!A168='לוח בקרה'!$B$5),OR('לוח בקרה'!$B$6="הכל",מלאי!B168='לוח בקרה'!$B$6),OR('לוח בקרה'!$B$7="הכל",מלאי!F168='לוח בקרה'!$B$7,מלאי!G168='לוח בקרה'!$B$7),OR('לוח בקרה'!$B$8="הכל",מלאי!T168='לוח בקרה'!$B$8),OR('לוח בקרה'!$B$9="הכל",מלאי!Q168='לוח בקרה'!$B$9),OR('לוח בקרה'!$E$4="הכל",מלאי!J168='לוח בקרה'!$E$4),OR('לוח בקרה'!$E$5="הכל",מלאי!L168='לוח בקרה'!$E$5),OR('לוח בקרה'!$E$6="הכל",מלאי!O168='לוח בקרה'!$E$6),OR('לוח בקרה'!$E$7="הכל",מלאי!R168='לוח בקרה'!$E$7),OR('לוח בקרה'!$E$8="הכל",'לוח בקרה'!$E$8="",מלאי!W168='לוח בקרה'!$E$8),OR('לוח בקרה'!$E$9="הכל",'לוח בקרה'!$E$9="",ISNUMBER(SEARCH('לוח בקרה'!$E$9,מלאי!C168)))),1,0)</f>
        <v>0</v>
      </c>
      <c r="AE168" t="e">
        <f>IF(AND(מלאי!D168&lt;&gt;"",OR('לוח בקרה טכנו-מבצעי'!$B$4="הכל",מלאי!Z168='לוח בקרה טכנו-מבצעי'!$B$4,מלאי!AA168='לוח בקרה טכנו-מבצעי'!$B$4,מלאי!AB168='לוח בקרה טכנו-מבצעי'!$B$4,מלאי!AC168='לוח בקרה טכנו-מבצעי'!$B$4),OR('לוח בקרה טכנו-מבצעי'!$B$5="הכל",מלאי!A168='לוח בקרה טכנו-מבצעי'!$B$5),OR('לוח בקרה טכנו-מבצעי'!$B$6="הכל",מלאי!B168='לוח בקרה טכנו-מבצעי'!$B$6),OR('לוח בקרה טכנו-מבצעי'!$B$7="הכל",מלאי!F168='לוח בקרה טכנו-מבצעי'!$B$7,מלאי!G168='לוח בקרה טכנו-מבצעי'!$B$7),OR('לוח בקרה טכנו-מבצעי'!$B$8="הכל",מלאי!T168='לוח בקרה טכנו-מבצעי'!$B$8),OR('לוח בקרה טכנו-מבצעי'!$B$9="הכל",מלאי!Q168='לוח בקרה טכנו-מבצעי'!$B$9),OR('לוח בקרה טכנו-מבצעי'!$E$4="הכל",מלאי!J168='לוח בקרה טכנו-מבצעי'!$E$4),OR('לוח בקרה טכנו-מבצעי'!$E$5="הכל",מלאי!L168='לוח בקרה טכנו-מבצעי'!$E$5),OR('לוח בקרה טכנו-מבצעי'!$E$6="הכל",מלאי!O168='לוח בקרה טכנו-מבצעי'!$E$6),OR('לוח בקרה טכנו-מבצעי'!$E$7="הכל",מלאי!R168='לוח בקרה טכנו-מבצעי'!$E$7),OR('לוח בקרה טכנו-מבצעי'!$E$8="הכל",'לוח בקרה טכנו-מבצעי'!$E$8="",מלאי!W168='לוח בקרה טכנו-מבצעי'!$E$8),OR('לוח בקרה טכנו-מבצעי'!$E$9="הכל",'לוח בקרה טכנו-מבצעי'!$E$9="",ISNUMBER(SEARCH('לוח בקרה טכנו-מבצעי'!$E$9,מלאי!C168))),OR('לוח בקרה טכנו-מבצעי'!$B$10="הכל",מלאי!#REF!='לוח בקרה טכנו-מבצעי'!$B$10)),1,0)</f>
        <v>#REF!</v>
      </c>
      <c r="AF168" t="str">
        <f>IF(AD168=1,COUNTIF($AD$3:$AD168,1),"")</f>
        <v/>
      </c>
      <c r="AG168" t="e">
        <f>IF(AE168=1,COUNTIF($AE$3:$AE168,1),"")</f>
        <v>#REF!</v>
      </c>
    </row>
    <row r="169" spans="1:33" ht="15" customHeight="1" x14ac:dyDescent="0.25">
      <c r="A169" s="19"/>
      <c r="B169" s="19"/>
      <c r="C169" s="19"/>
      <c r="D169" s="19"/>
      <c r="E169" s="19" t="str">
        <f>IFERROR(INDEX(הגדרות!$I$2:$I$47,MATCH(B169,הגדרות!$H$2:$H$47,0)),"")</f>
        <v/>
      </c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t="str">
        <f>IFERROR(INDEX(הגדרות!$B$2:$B$17,MATCH(H169,הגדרות!$A$2:$A$17,0)),"")</f>
        <v/>
      </c>
      <c r="AA169" t="str">
        <f>IFERROR(INDEX(הגדרות!$C$2:$C$17,MATCH(H169,הגדרות!$A$2:$A$17,0)),"")</f>
        <v/>
      </c>
      <c r="AB169" t="str">
        <f>IFERROR(INDEX(הגדרות!$B$2:$B$17,MATCH(I169,הגדרות!$A$2:$A$17,0)),"")</f>
        <v/>
      </c>
      <c r="AC169" t="str">
        <f>IFERROR(INDEX(הגדרות!$C$2:$C$17,MATCH(I169,הגדרות!$A$2:$A$17,0)),"")</f>
        <v/>
      </c>
      <c r="AD169">
        <f>IF(AND(מלאי!D169&lt;&gt;"",OR('לוח בקרה'!$B$4="הכל",מלאי!Z169='לוח בקרה'!$B$4,מלאי!AA169='לוח בקרה'!$B$4,מלאי!AB169='לוח בקרה'!$B$4,מלאי!AC169='לוח בקרה'!$B$4),OR('לוח בקרה'!$B$5="הכל",מלאי!A169='לוח בקרה'!$B$5),OR('לוח בקרה'!$B$6="הכל",מלאי!B169='לוח בקרה'!$B$6),OR('לוח בקרה'!$B$7="הכל",מלאי!F169='לוח בקרה'!$B$7,מלאי!G169='לוח בקרה'!$B$7),OR('לוח בקרה'!$B$8="הכל",מלאי!T169='לוח בקרה'!$B$8),OR('לוח בקרה'!$B$9="הכל",מלאי!Q169='לוח בקרה'!$B$9),OR('לוח בקרה'!$E$4="הכל",מלאי!J169='לוח בקרה'!$E$4),OR('לוח בקרה'!$E$5="הכל",מלאי!L169='לוח בקרה'!$E$5),OR('לוח בקרה'!$E$6="הכל",מלאי!O169='לוח בקרה'!$E$6),OR('לוח בקרה'!$E$7="הכל",מלאי!R169='לוח בקרה'!$E$7),OR('לוח בקרה'!$E$8="הכל",'לוח בקרה'!$E$8="",מלאי!W169='לוח בקרה'!$E$8),OR('לוח בקרה'!$E$9="הכל",'לוח בקרה'!$E$9="",ISNUMBER(SEARCH('לוח בקרה'!$E$9,מלאי!C169)))),1,0)</f>
        <v>0</v>
      </c>
      <c r="AE169" t="e">
        <f>IF(AND(מלאי!D169&lt;&gt;"",OR('לוח בקרה טכנו-מבצעי'!$B$4="הכל",מלאי!Z169='לוח בקרה טכנו-מבצעי'!$B$4,מלאי!AA169='לוח בקרה טכנו-מבצעי'!$B$4,מלאי!AB169='לוח בקרה טכנו-מבצעי'!$B$4,מלאי!AC169='לוח בקרה טכנו-מבצעי'!$B$4),OR('לוח בקרה טכנו-מבצעי'!$B$5="הכל",מלאי!A169='לוח בקרה טכנו-מבצעי'!$B$5),OR('לוח בקרה טכנו-מבצעי'!$B$6="הכל",מלאי!B169='לוח בקרה טכנו-מבצעי'!$B$6),OR('לוח בקרה טכנו-מבצעי'!$B$7="הכל",מלאי!F169='לוח בקרה טכנו-מבצעי'!$B$7,מלאי!G169='לוח בקרה טכנו-מבצעי'!$B$7),OR('לוח בקרה טכנו-מבצעי'!$B$8="הכל",מלאי!T169='לוח בקרה טכנו-מבצעי'!$B$8),OR('לוח בקרה טכנו-מבצעי'!$B$9="הכל",מלאי!Q169='לוח בקרה טכנו-מבצעי'!$B$9),OR('לוח בקרה טכנו-מבצעי'!$E$4="הכל",מלאי!J169='לוח בקרה טכנו-מבצעי'!$E$4),OR('לוח בקרה טכנו-מבצעי'!$E$5="הכל",מלאי!L169='לוח בקרה טכנו-מבצעי'!$E$5),OR('לוח בקרה טכנו-מבצעי'!$E$6="הכל",מלאי!O169='לוח בקרה טכנו-מבצעי'!$E$6),OR('לוח בקרה טכנו-מבצעי'!$E$7="הכל",מלאי!R169='לוח בקרה טכנו-מבצעי'!$E$7),OR('לוח בקרה טכנו-מבצעי'!$E$8="הכל",'לוח בקרה טכנו-מבצעי'!$E$8="",מלאי!W169='לוח בקרה טכנו-מבצעי'!$E$8),OR('לוח בקרה טכנו-מבצעי'!$E$9="הכל",'לוח בקרה טכנו-מבצעי'!$E$9="",ISNUMBER(SEARCH('לוח בקרה טכנו-מבצעי'!$E$9,מלאי!C169))),OR('לוח בקרה טכנו-מבצעי'!$B$10="הכל",מלאי!#REF!='לוח בקרה טכנו-מבצעי'!$B$10)),1,0)</f>
        <v>#REF!</v>
      </c>
      <c r="AF169" t="str">
        <f>IF(AD169=1,COUNTIF($AD$3:$AD169,1),"")</f>
        <v/>
      </c>
      <c r="AG169" t="e">
        <f>IF(AE169=1,COUNTIF($AE$3:$AE169,1),"")</f>
        <v>#REF!</v>
      </c>
    </row>
    <row r="170" spans="1:33" ht="15" customHeight="1" x14ac:dyDescent="0.25">
      <c r="A170" s="17"/>
      <c r="B170" s="17"/>
      <c r="C170" s="17"/>
      <c r="D170" s="17"/>
      <c r="E170" s="17" t="str">
        <f>IFERROR(INDEX(הגדרות!$I$2:$I$47,MATCH(B170,הגדרות!$H$2:$H$47,0)),"")</f>
        <v/>
      </c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t="str">
        <f>IFERROR(INDEX(הגדרות!$B$2:$B$17,MATCH(H170,הגדרות!$A$2:$A$17,0)),"")</f>
        <v/>
      </c>
      <c r="AA170" t="str">
        <f>IFERROR(INDEX(הגדרות!$C$2:$C$17,MATCH(H170,הגדרות!$A$2:$A$17,0)),"")</f>
        <v/>
      </c>
      <c r="AB170" t="str">
        <f>IFERROR(INDEX(הגדרות!$B$2:$B$17,MATCH(I170,הגדרות!$A$2:$A$17,0)),"")</f>
        <v/>
      </c>
      <c r="AC170" t="str">
        <f>IFERROR(INDEX(הגדרות!$C$2:$C$17,MATCH(I170,הגדרות!$A$2:$A$17,0)),"")</f>
        <v/>
      </c>
      <c r="AD170">
        <f>IF(AND(מלאי!D170&lt;&gt;"",OR('לוח בקרה'!$B$4="הכל",מלאי!Z170='לוח בקרה'!$B$4,מלאי!AA170='לוח בקרה'!$B$4,מלאי!AB170='לוח בקרה'!$B$4,מלאי!AC170='לוח בקרה'!$B$4),OR('לוח בקרה'!$B$5="הכל",מלאי!A170='לוח בקרה'!$B$5),OR('לוח בקרה'!$B$6="הכל",מלאי!B170='לוח בקרה'!$B$6),OR('לוח בקרה'!$B$7="הכל",מלאי!F170='לוח בקרה'!$B$7,מלאי!G170='לוח בקרה'!$B$7),OR('לוח בקרה'!$B$8="הכל",מלאי!T170='לוח בקרה'!$B$8),OR('לוח בקרה'!$B$9="הכל",מלאי!Q170='לוח בקרה'!$B$9),OR('לוח בקרה'!$E$4="הכל",מלאי!J170='לוח בקרה'!$E$4),OR('לוח בקרה'!$E$5="הכל",מלאי!L170='לוח בקרה'!$E$5),OR('לוח בקרה'!$E$6="הכל",מלאי!O170='לוח בקרה'!$E$6),OR('לוח בקרה'!$E$7="הכל",מלאי!R170='לוח בקרה'!$E$7),OR('לוח בקרה'!$E$8="הכל",'לוח בקרה'!$E$8="",מלאי!W170='לוח בקרה'!$E$8),OR('לוח בקרה'!$E$9="הכל",'לוח בקרה'!$E$9="",ISNUMBER(SEARCH('לוח בקרה'!$E$9,מלאי!C170)))),1,0)</f>
        <v>0</v>
      </c>
      <c r="AE170" t="e">
        <f>IF(AND(מלאי!D170&lt;&gt;"",OR('לוח בקרה טכנו-מבצעי'!$B$4="הכל",מלאי!Z170='לוח בקרה טכנו-מבצעי'!$B$4,מלאי!AA170='לוח בקרה טכנו-מבצעי'!$B$4,מלאי!AB170='לוח בקרה טכנו-מבצעי'!$B$4,מלאי!AC170='לוח בקרה טכנו-מבצעי'!$B$4),OR('לוח בקרה טכנו-מבצעי'!$B$5="הכל",מלאי!A170='לוח בקרה טכנו-מבצעי'!$B$5),OR('לוח בקרה טכנו-מבצעי'!$B$6="הכל",מלאי!B170='לוח בקרה טכנו-מבצעי'!$B$6),OR('לוח בקרה טכנו-מבצעי'!$B$7="הכל",מלאי!F170='לוח בקרה טכנו-מבצעי'!$B$7,מלאי!G170='לוח בקרה טכנו-מבצעי'!$B$7),OR('לוח בקרה טכנו-מבצעי'!$B$8="הכל",מלאי!T170='לוח בקרה טכנו-מבצעי'!$B$8),OR('לוח בקרה טכנו-מבצעי'!$B$9="הכל",מלאי!Q170='לוח בקרה טכנו-מבצעי'!$B$9),OR('לוח בקרה טכנו-מבצעי'!$E$4="הכל",מלאי!J170='לוח בקרה טכנו-מבצעי'!$E$4),OR('לוח בקרה טכנו-מבצעי'!$E$5="הכל",מלאי!L170='לוח בקרה טכנו-מבצעי'!$E$5),OR('לוח בקרה טכנו-מבצעי'!$E$6="הכל",מלאי!O170='לוח בקרה טכנו-מבצעי'!$E$6),OR('לוח בקרה טכנו-מבצעי'!$E$7="הכל",מלאי!R170='לוח בקרה טכנו-מבצעי'!$E$7),OR('לוח בקרה טכנו-מבצעי'!$E$8="הכל",'לוח בקרה טכנו-מבצעי'!$E$8="",מלאי!W170='לוח בקרה טכנו-מבצעי'!$E$8),OR('לוח בקרה טכנו-מבצעי'!$E$9="הכל",'לוח בקרה טכנו-מבצעי'!$E$9="",ISNUMBER(SEARCH('לוח בקרה טכנו-מבצעי'!$E$9,מלאי!C170))),OR('לוח בקרה טכנו-מבצעי'!$B$10="הכל",מלאי!#REF!='לוח בקרה טכנו-מבצעי'!$B$10)),1,0)</f>
        <v>#REF!</v>
      </c>
      <c r="AF170" t="str">
        <f>IF(AD170=1,COUNTIF($AD$3:$AD170,1),"")</f>
        <v/>
      </c>
      <c r="AG170" t="e">
        <f>IF(AE170=1,COUNTIF($AE$3:$AE170,1),"")</f>
        <v>#REF!</v>
      </c>
    </row>
    <row r="171" spans="1:33" ht="15" customHeight="1" x14ac:dyDescent="0.25">
      <c r="A171" s="19"/>
      <c r="B171" s="19"/>
      <c r="C171" s="19"/>
      <c r="D171" s="19"/>
      <c r="E171" s="19" t="str">
        <f>IFERROR(INDEX(הגדרות!$I$2:$I$47,MATCH(B171,הגדרות!$H$2:$H$47,0)),"")</f>
        <v/>
      </c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t="str">
        <f>IFERROR(INDEX(הגדרות!$B$2:$B$17,MATCH(H171,הגדרות!$A$2:$A$17,0)),"")</f>
        <v/>
      </c>
      <c r="AA171" t="str">
        <f>IFERROR(INDEX(הגדרות!$C$2:$C$17,MATCH(H171,הגדרות!$A$2:$A$17,0)),"")</f>
        <v/>
      </c>
      <c r="AB171" t="str">
        <f>IFERROR(INDEX(הגדרות!$B$2:$B$17,MATCH(I171,הגדרות!$A$2:$A$17,0)),"")</f>
        <v/>
      </c>
      <c r="AC171" t="str">
        <f>IFERROR(INDEX(הגדרות!$C$2:$C$17,MATCH(I171,הגדרות!$A$2:$A$17,0)),"")</f>
        <v/>
      </c>
      <c r="AD171">
        <f>IF(AND(מלאי!D171&lt;&gt;"",OR('לוח בקרה'!$B$4="הכל",מלאי!Z171='לוח בקרה'!$B$4,מלאי!AA171='לוח בקרה'!$B$4,מלאי!AB171='לוח בקרה'!$B$4,מלאי!AC171='לוח בקרה'!$B$4),OR('לוח בקרה'!$B$5="הכל",מלאי!A171='לוח בקרה'!$B$5),OR('לוח בקרה'!$B$6="הכל",מלאי!B171='לוח בקרה'!$B$6),OR('לוח בקרה'!$B$7="הכל",מלאי!F171='לוח בקרה'!$B$7,מלאי!G171='לוח בקרה'!$B$7),OR('לוח בקרה'!$B$8="הכל",מלאי!T171='לוח בקרה'!$B$8),OR('לוח בקרה'!$B$9="הכל",מלאי!Q171='לוח בקרה'!$B$9),OR('לוח בקרה'!$E$4="הכל",מלאי!J171='לוח בקרה'!$E$4),OR('לוח בקרה'!$E$5="הכל",מלאי!L171='לוח בקרה'!$E$5),OR('לוח בקרה'!$E$6="הכל",מלאי!O171='לוח בקרה'!$E$6),OR('לוח בקרה'!$E$7="הכל",מלאי!R171='לוח בקרה'!$E$7),OR('לוח בקרה'!$E$8="הכל",'לוח בקרה'!$E$8="",מלאי!W171='לוח בקרה'!$E$8),OR('לוח בקרה'!$E$9="הכל",'לוח בקרה'!$E$9="",ISNUMBER(SEARCH('לוח בקרה'!$E$9,מלאי!C171)))),1,0)</f>
        <v>0</v>
      </c>
      <c r="AE171" t="e">
        <f>IF(AND(מלאי!D171&lt;&gt;"",OR('לוח בקרה טכנו-מבצעי'!$B$4="הכל",מלאי!Z171='לוח בקרה טכנו-מבצעי'!$B$4,מלאי!AA171='לוח בקרה טכנו-מבצעי'!$B$4,מלאי!AB171='לוח בקרה טכנו-מבצעי'!$B$4,מלאי!AC171='לוח בקרה טכנו-מבצעי'!$B$4),OR('לוח בקרה טכנו-מבצעי'!$B$5="הכל",מלאי!A171='לוח בקרה טכנו-מבצעי'!$B$5),OR('לוח בקרה טכנו-מבצעי'!$B$6="הכל",מלאי!B171='לוח בקרה טכנו-מבצעי'!$B$6),OR('לוח בקרה טכנו-מבצעי'!$B$7="הכל",מלאי!F171='לוח בקרה טכנו-מבצעי'!$B$7,מלאי!G171='לוח בקרה טכנו-מבצעי'!$B$7),OR('לוח בקרה טכנו-מבצעי'!$B$8="הכל",מלאי!T171='לוח בקרה טכנו-מבצעי'!$B$8),OR('לוח בקרה טכנו-מבצעי'!$B$9="הכל",מלאי!Q171='לוח בקרה טכנו-מבצעי'!$B$9),OR('לוח בקרה טכנו-מבצעי'!$E$4="הכל",מלאי!J171='לוח בקרה טכנו-מבצעי'!$E$4),OR('לוח בקרה טכנו-מבצעי'!$E$5="הכל",מלאי!L171='לוח בקרה טכנו-מבצעי'!$E$5),OR('לוח בקרה טכנו-מבצעי'!$E$6="הכל",מלאי!O171='לוח בקרה טכנו-מבצעי'!$E$6),OR('לוח בקרה טכנו-מבצעי'!$E$7="הכל",מלאי!R171='לוח בקרה טכנו-מבצעי'!$E$7),OR('לוח בקרה טכנו-מבצעי'!$E$8="הכל",'לוח בקרה טכנו-מבצעי'!$E$8="",מלאי!W171='לוח בקרה טכנו-מבצעי'!$E$8),OR('לוח בקרה טכנו-מבצעי'!$E$9="הכל",'לוח בקרה טכנו-מבצעי'!$E$9="",ISNUMBER(SEARCH('לוח בקרה טכנו-מבצעי'!$E$9,מלאי!C171))),OR('לוח בקרה טכנו-מבצעי'!$B$10="הכל",מלאי!#REF!='לוח בקרה טכנו-מבצעי'!$B$10)),1,0)</f>
        <v>#REF!</v>
      </c>
      <c r="AF171" t="str">
        <f>IF(AD171=1,COUNTIF($AD$3:$AD171,1),"")</f>
        <v/>
      </c>
      <c r="AG171" t="e">
        <f>IF(AE171=1,COUNTIF($AE$3:$AE171,1),"")</f>
        <v>#REF!</v>
      </c>
    </row>
    <row r="172" spans="1:33" ht="15" customHeight="1" x14ac:dyDescent="0.25">
      <c r="A172" s="17"/>
      <c r="B172" s="17"/>
      <c r="C172" s="17"/>
      <c r="D172" s="17"/>
      <c r="E172" s="17" t="str">
        <f>IFERROR(INDEX(הגדרות!$I$2:$I$47,MATCH(B172,הגדרות!$H$2:$H$47,0)),"")</f>
        <v/>
      </c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t="str">
        <f>IFERROR(INDEX(הגדרות!$B$2:$B$17,MATCH(H172,הגדרות!$A$2:$A$17,0)),"")</f>
        <v/>
      </c>
      <c r="AA172" t="str">
        <f>IFERROR(INDEX(הגדרות!$C$2:$C$17,MATCH(H172,הגדרות!$A$2:$A$17,0)),"")</f>
        <v/>
      </c>
      <c r="AB172" t="str">
        <f>IFERROR(INDEX(הגדרות!$B$2:$B$17,MATCH(I172,הגדרות!$A$2:$A$17,0)),"")</f>
        <v/>
      </c>
      <c r="AC172" t="str">
        <f>IFERROR(INDEX(הגדרות!$C$2:$C$17,MATCH(I172,הגדרות!$A$2:$A$17,0)),"")</f>
        <v/>
      </c>
      <c r="AD172">
        <f>IF(AND(מלאי!D172&lt;&gt;"",OR('לוח בקרה'!$B$4="הכל",מלאי!Z172='לוח בקרה'!$B$4,מלאי!AA172='לוח בקרה'!$B$4,מלאי!AB172='לוח בקרה'!$B$4,מלאי!AC172='לוח בקרה'!$B$4),OR('לוח בקרה'!$B$5="הכל",מלאי!A172='לוח בקרה'!$B$5),OR('לוח בקרה'!$B$6="הכל",מלאי!B172='לוח בקרה'!$B$6),OR('לוח בקרה'!$B$7="הכל",מלאי!F172='לוח בקרה'!$B$7,מלאי!G172='לוח בקרה'!$B$7),OR('לוח בקרה'!$B$8="הכל",מלאי!T172='לוח בקרה'!$B$8),OR('לוח בקרה'!$B$9="הכל",מלאי!Q172='לוח בקרה'!$B$9),OR('לוח בקרה'!$E$4="הכל",מלאי!J172='לוח בקרה'!$E$4),OR('לוח בקרה'!$E$5="הכל",מלאי!L172='לוח בקרה'!$E$5),OR('לוח בקרה'!$E$6="הכל",מלאי!O172='לוח בקרה'!$E$6),OR('לוח בקרה'!$E$7="הכל",מלאי!R172='לוח בקרה'!$E$7),OR('לוח בקרה'!$E$8="הכל",'לוח בקרה'!$E$8="",מלאי!W172='לוח בקרה'!$E$8),OR('לוח בקרה'!$E$9="הכל",'לוח בקרה'!$E$9="",ISNUMBER(SEARCH('לוח בקרה'!$E$9,מלאי!C172)))),1,0)</f>
        <v>0</v>
      </c>
      <c r="AE172" t="e">
        <f>IF(AND(מלאי!D172&lt;&gt;"",OR('לוח בקרה טכנו-מבצעי'!$B$4="הכל",מלאי!Z172='לוח בקרה טכנו-מבצעי'!$B$4,מלאי!AA172='לוח בקרה טכנו-מבצעי'!$B$4,מלאי!AB172='לוח בקרה טכנו-מבצעי'!$B$4,מלאי!AC172='לוח בקרה טכנו-מבצעי'!$B$4),OR('לוח בקרה טכנו-מבצעי'!$B$5="הכל",מלאי!A172='לוח בקרה טכנו-מבצעי'!$B$5),OR('לוח בקרה טכנו-מבצעי'!$B$6="הכל",מלאי!B172='לוח בקרה טכנו-מבצעי'!$B$6),OR('לוח בקרה טכנו-מבצעי'!$B$7="הכל",מלאי!F172='לוח בקרה טכנו-מבצעי'!$B$7,מלאי!G172='לוח בקרה טכנו-מבצעי'!$B$7),OR('לוח בקרה טכנו-מבצעי'!$B$8="הכל",מלאי!T172='לוח בקרה טכנו-מבצעי'!$B$8),OR('לוח בקרה טכנו-מבצעי'!$B$9="הכל",מלאי!Q172='לוח בקרה טכנו-מבצעי'!$B$9),OR('לוח בקרה טכנו-מבצעי'!$E$4="הכל",מלאי!J172='לוח בקרה טכנו-מבצעי'!$E$4),OR('לוח בקרה טכנו-מבצעי'!$E$5="הכל",מלאי!L172='לוח בקרה טכנו-מבצעי'!$E$5),OR('לוח בקרה טכנו-מבצעי'!$E$6="הכל",מלאי!O172='לוח בקרה טכנו-מבצעי'!$E$6),OR('לוח בקרה טכנו-מבצעי'!$E$7="הכל",מלאי!R172='לוח בקרה טכנו-מבצעי'!$E$7),OR('לוח בקרה טכנו-מבצעי'!$E$8="הכל",'לוח בקרה טכנו-מבצעי'!$E$8="",מלאי!W172='לוח בקרה טכנו-מבצעי'!$E$8),OR('לוח בקרה טכנו-מבצעי'!$E$9="הכל",'לוח בקרה טכנו-מבצעי'!$E$9="",ISNUMBER(SEARCH('לוח בקרה טכנו-מבצעי'!$E$9,מלאי!C172))),OR('לוח בקרה טכנו-מבצעי'!$B$10="הכל",מלאי!#REF!='לוח בקרה טכנו-מבצעי'!$B$10)),1,0)</f>
        <v>#REF!</v>
      </c>
      <c r="AF172" t="str">
        <f>IF(AD172=1,COUNTIF($AD$3:$AD172,1),"")</f>
        <v/>
      </c>
      <c r="AG172" t="e">
        <f>IF(AE172=1,COUNTIF($AE$3:$AE172,1),"")</f>
        <v>#REF!</v>
      </c>
    </row>
    <row r="173" spans="1:33" ht="15" customHeight="1" x14ac:dyDescent="0.25">
      <c r="A173" s="19"/>
      <c r="B173" s="19"/>
      <c r="C173" s="19"/>
      <c r="D173" s="19"/>
      <c r="E173" s="19" t="str">
        <f>IFERROR(INDEX(הגדרות!$I$2:$I$47,MATCH(B173,הגדרות!$H$2:$H$47,0)),"")</f>
        <v/>
      </c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t="str">
        <f>IFERROR(INDEX(הגדרות!$B$2:$B$17,MATCH(H173,הגדרות!$A$2:$A$17,0)),"")</f>
        <v/>
      </c>
      <c r="AA173" t="str">
        <f>IFERROR(INDEX(הגדרות!$C$2:$C$17,MATCH(H173,הגדרות!$A$2:$A$17,0)),"")</f>
        <v/>
      </c>
      <c r="AB173" t="str">
        <f>IFERROR(INDEX(הגדרות!$B$2:$B$17,MATCH(I173,הגדרות!$A$2:$A$17,0)),"")</f>
        <v/>
      </c>
      <c r="AC173" t="str">
        <f>IFERROR(INDEX(הגדרות!$C$2:$C$17,MATCH(I173,הגדרות!$A$2:$A$17,0)),"")</f>
        <v/>
      </c>
      <c r="AD173">
        <f>IF(AND(מלאי!D173&lt;&gt;"",OR('לוח בקרה'!$B$4="הכל",מלאי!Z173='לוח בקרה'!$B$4,מלאי!AA173='לוח בקרה'!$B$4,מלאי!AB173='לוח בקרה'!$B$4,מלאי!AC173='לוח בקרה'!$B$4),OR('לוח בקרה'!$B$5="הכל",מלאי!A173='לוח בקרה'!$B$5),OR('לוח בקרה'!$B$6="הכל",מלאי!B173='לוח בקרה'!$B$6),OR('לוח בקרה'!$B$7="הכל",מלאי!F173='לוח בקרה'!$B$7,מלאי!G173='לוח בקרה'!$B$7),OR('לוח בקרה'!$B$8="הכל",מלאי!T173='לוח בקרה'!$B$8),OR('לוח בקרה'!$B$9="הכל",מלאי!Q173='לוח בקרה'!$B$9),OR('לוח בקרה'!$E$4="הכל",מלאי!J173='לוח בקרה'!$E$4),OR('לוח בקרה'!$E$5="הכל",מלאי!L173='לוח בקרה'!$E$5),OR('לוח בקרה'!$E$6="הכל",מלאי!O173='לוח בקרה'!$E$6),OR('לוח בקרה'!$E$7="הכל",מלאי!R173='לוח בקרה'!$E$7),OR('לוח בקרה'!$E$8="הכל",'לוח בקרה'!$E$8="",מלאי!W173='לוח בקרה'!$E$8),OR('לוח בקרה'!$E$9="הכל",'לוח בקרה'!$E$9="",ISNUMBER(SEARCH('לוח בקרה'!$E$9,מלאי!C173)))),1,0)</f>
        <v>0</v>
      </c>
      <c r="AE173" t="e">
        <f>IF(AND(מלאי!D173&lt;&gt;"",OR('לוח בקרה טכנו-מבצעי'!$B$4="הכל",מלאי!Z173='לוח בקרה טכנו-מבצעי'!$B$4,מלאי!AA173='לוח בקרה טכנו-מבצעי'!$B$4,מלאי!AB173='לוח בקרה טכנו-מבצעי'!$B$4,מלאי!AC173='לוח בקרה טכנו-מבצעי'!$B$4),OR('לוח בקרה טכנו-מבצעי'!$B$5="הכל",מלאי!A173='לוח בקרה טכנו-מבצעי'!$B$5),OR('לוח בקרה טכנו-מבצעי'!$B$6="הכל",מלאי!B173='לוח בקרה טכנו-מבצעי'!$B$6),OR('לוח בקרה טכנו-מבצעי'!$B$7="הכל",מלאי!F173='לוח בקרה טכנו-מבצעי'!$B$7,מלאי!G173='לוח בקרה טכנו-מבצעי'!$B$7),OR('לוח בקרה טכנו-מבצעי'!$B$8="הכל",מלאי!T173='לוח בקרה טכנו-מבצעי'!$B$8),OR('לוח בקרה טכנו-מבצעי'!$B$9="הכל",מלאי!Q173='לוח בקרה טכנו-מבצעי'!$B$9),OR('לוח בקרה טכנו-מבצעי'!$E$4="הכל",מלאי!J173='לוח בקרה טכנו-מבצעי'!$E$4),OR('לוח בקרה טכנו-מבצעי'!$E$5="הכל",מלאי!L173='לוח בקרה טכנו-מבצעי'!$E$5),OR('לוח בקרה טכנו-מבצעי'!$E$6="הכל",מלאי!O173='לוח בקרה טכנו-מבצעי'!$E$6),OR('לוח בקרה טכנו-מבצעי'!$E$7="הכל",מלאי!R173='לוח בקרה טכנו-מבצעי'!$E$7),OR('לוח בקרה טכנו-מבצעי'!$E$8="הכל",'לוח בקרה טכנו-מבצעי'!$E$8="",מלאי!W173='לוח בקרה טכנו-מבצעי'!$E$8),OR('לוח בקרה טכנו-מבצעי'!$E$9="הכל",'לוח בקרה טכנו-מבצעי'!$E$9="",ISNUMBER(SEARCH('לוח בקרה טכנו-מבצעי'!$E$9,מלאי!C173))),OR('לוח בקרה טכנו-מבצעי'!$B$10="הכל",מלאי!#REF!='לוח בקרה טכנו-מבצעי'!$B$10)),1,0)</f>
        <v>#REF!</v>
      </c>
      <c r="AF173" t="str">
        <f>IF(AD173=1,COUNTIF($AD$3:$AD173,1),"")</f>
        <v/>
      </c>
      <c r="AG173" t="e">
        <f>IF(AE173=1,COUNTIF($AE$3:$AE173,1),"")</f>
        <v>#REF!</v>
      </c>
    </row>
    <row r="174" spans="1:33" ht="15" customHeight="1" x14ac:dyDescent="0.25">
      <c r="A174" s="17"/>
      <c r="B174" s="17"/>
      <c r="C174" s="17"/>
      <c r="D174" s="17"/>
      <c r="E174" s="17" t="str">
        <f>IFERROR(INDEX(הגדרות!$I$2:$I$47,MATCH(B174,הגדרות!$H$2:$H$47,0)),"")</f>
        <v/>
      </c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t="str">
        <f>IFERROR(INDEX(הגדרות!$B$2:$B$17,MATCH(H174,הגדרות!$A$2:$A$17,0)),"")</f>
        <v/>
      </c>
      <c r="AA174" t="str">
        <f>IFERROR(INDEX(הגדרות!$C$2:$C$17,MATCH(H174,הגדרות!$A$2:$A$17,0)),"")</f>
        <v/>
      </c>
      <c r="AB174" t="str">
        <f>IFERROR(INDEX(הגדרות!$B$2:$B$17,MATCH(I174,הגדרות!$A$2:$A$17,0)),"")</f>
        <v/>
      </c>
      <c r="AC174" t="str">
        <f>IFERROR(INDEX(הגדרות!$C$2:$C$17,MATCH(I174,הגדרות!$A$2:$A$17,0)),"")</f>
        <v/>
      </c>
      <c r="AD174">
        <f>IF(AND(מלאי!D174&lt;&gt;"",OR('לוח בקרה'!$B$4="הכל",מלאי!Z174='לוח בקרה'!$B$4,מלאי!AA174='לוח בקרה'!$B$4,מלאי!AB174='לוח בקרה'!$B$4,מלאי!AC174='לוח בקרה'!$B$4),OR('לוח בקרה'!$B$5="הכל",מלאי!A174='לוח בקרה'!$B$5),OR('לוח בקרה'!$B$6="הכל",מלאי!B174='לוח בקרה'!$B$6),OR('לוח בקרה'!$B$7="הכל",מלאי!F174='לוח בקרה'!$B$7,מלאי!G174='לוח בקרה'!$B$7),OR('לוח בקרה'!$B$8="הכל",מלאי!T174='לוח בקרה'!$B$8),OR('לוח בקרה'!$B$9="הכל",מלאי!Q174='לוח בקרה'!$B$9),OR('לוח בקרה'!$E$4="הכל",מלאי!J174='לוח בקרה'!$E$4),OR('לוח בקרה'!$E$5="הכל",מלאי!L174='לוח בקרה'!$E$5),OR('לוח בקרה'!$E$6="הכל",מלאי!O174='לוח בקרה'!$E$6),OR('לוח בקרה'!$E$7="הכל",מלאי!R174='לוח בקרה'!$E$7),OR('לוח בקרה'!$E$8="הכל",'לוח בקרה'!$E$8="",מלאי!W174='לוח בקרה'!$E$8),OR('לוח בקרה'!$E$9="הכל",'לוח בקרה'!$E$9="",ISNUMBER(SEARCH('לוח בקרה'!$E$9,מלאי!C174)))),1,0)</f>
        <v>0</v>
      </c>
      <c r="AE174" t="e">
        <f>IF(AND(מלאי!D174&lt;&gt;"",OR('לוח בקרה טכנו-מבצעי'!$B$4="הכל",מלאי!Z174='לוח בקרה טכנו-מבצעי'!$B$4,מלאי!AA174='לוח בקרה טכנו-מבצעי'!$B$4,מלאי!AB174='לוח בקרה טכנו-מבצעי'!$B$4,מלאי!AC174='לוח בקרה טכנו-מבצעי'!$B$4),OR('לוח בקרה טכנו-מבצעי'!$B$5="הכל",מלאי!A174='לוח בקרה טכנו-מבצעי'!$B$5),OR('לוח בקרה טכנו-מבצעי'!$B$6="הכל",מלאי!B174='לוח בקרה טכנו-מבצעי'!$B$6),OR('לוח בקרה טכנו-מבצעי'!$B$7="הכל",מלאי!F174='לוח בקרה טכנו-מבצעי'!$B$7,מלאי!G174='לוח בקרה טכנו-מבצעי'!$B$7),OR('לוח בקרה טכנו-מבצעי'!$B$8="הכל",מלאי!T174='לוח בקרה טכנו-מבצעי'!$B$8),OR('לוח בקרה טכנו-מבצעי'!$B$9="הכל",מלאי!Q174='לוח בקרה טכנו-מבצעי'!$B$9),OR('לוח בקרה טכנו-מבצעי'!$E$4="הכל",מלאי!J174='לוח בקרה טכנו-מבצעי'!$E$4),OR('לוח בקרה טכנו-מבצעי'!$E$5="הכל",מלאי!L174='לוח בקרה טכנו-מבצעי'!$E$5),OR('לוח בקרה טכנו-מבצעי'!$E$6="הכל",מלאי!O174='לוח בקרה טכנו-מבצעי'!$E$6),OR('לוח בקרה טכנו-מבצעי'!$E$7="הכל",מלאי!R174='לוח בקרה טכנו-מבצעי'!$E$7),OR('לוח בקרה טכנו-מבצעי'!$E$8="הכל",'לוח בקרה טכנו-מבצעי'!$E$8="",מלאי!W174='לוח בקרה טכנו-מבצעי'!$E$8),OR('לוח בקרה טכנו-מבצעי'!$E$9="הכל",'לוח בקרה טכנו-מבצעי'!$E$9="",ISNUMBER(SEARCH('לוח בקרה טכנו-מבצעי'!$E$9,מלאי!C174))),OR('לוח בקרה טכנו-מבצעי'!$B$10="הכל",מלאי!#REF!='לוח בקרה טכנו-מבצעי'!$B$10)),1,0)</f>
        <v>#REF!</v>
      </c>
      <c r="AF174" t="str">
        <f>IF(AD174=1,COUNTIF($AD$3:$AD174,1),"")</f>
        <v/>
      </c>
      <c r="AG174" t="e">
        <f>IF(AE174=1,COUNTIF($AE$3:$AE174,1),"")</f>
        <v>#REF!</v>
      </c>
    </row>
    <row r="175" spans="1:33" ht="15" customHeight="1" x14ac:dyDescent="0.25">
      <c r="A175" s="19"/>
      <c r="B175" s="19"/>
      <c r="C175" s="19"/>
      <c r="D175" s="19"/>
      <c r="E175" s="19" t="str">
        <f>IFERROR(INDEX(הגדרות!$I$2:$I$47,MATCH(B175,הגדרות!$H$2:$H$47,0)),"")</f>
        <v/>
      </c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t="str">
        <f>IFERROR(INDEX(הגדרות!$B$2:$B$17,MATCH(H175,הגדרות!$A$2:$A$17,0)),"")</f>
        <v/>
      </c>
      <c r="AA175" t="str">
        <f>IFERROR(INDEX(הגדרות!$C$2:$C$17,MATCH(H175,הגדרות!$A$2:$A$17,0)),"")</f>
        <v/>
      </c>
      <c r="AB175" t="str">
        <f>IFERROR(INDEX(הגדרות!$B$2:$B$17,MATCH(I175,הגדרות!$A$2:$A$17,0)),"")</f>
        <v/>
      </c>
      <c r="AC175" t="str">
        <f>IFERROR(INDEX(הגדרות!$C$2:$C$17,MATCH(I175,הגדרות!$A$2:$A$17,0)),"")</f>
        <v/>
      </c>
      <c r="AD175">
        <f>IF(AND(מלאי!D175&lt;&gt;"",OR('לוח בקרה'!$B$4="הכל",מלאי!Z175='לוח בקרה'!$B$4,מלאי!AA175='לוח בקרה'!$B$4,מלאי!AB175='לוח בקרה'!$B$4,מלאי!AC175='לוח בקרה'!$B$4),OR('לוח בקרה'!$B$5="הכל",מלאי!A175='לוח בקרה'!$B$5),OR('לוח בקרה'!$B$6="הכל",מלאי!B175='לוח בקרה'!$B$6),OR('לוח בקרה'!$B$7="הכל",מלאי!F175='לוח בקרה'!$B$7,מלאי!G175='לוח בקרה'!$B$7),OR('לוח בקרה'!$B$8="הכל",מלאי!T175='לוח בקרה'!$B$8),OR('לוח בקרה'!$B$9="הכל",מלאי!Q175='לוח בקרה'!$B$9),OR('לוח בקרה'!$E$4="הכל",מלאי!J175='לוח בקרה'!$E$4),OR('לוח בקרה'!$E$5="הכל",מלאי!L175='לוח בקרה'!$E$5),OR('לוח בקרה'!$E$6="הכל",מלאי!O175='לוח בקרה'!$E$6),OR('לוח בקרה'!$E$7="הכל",מלאי!R175='לוח בקרה'!$E$7),OR('לוח בקרה'!$E$8="הכל",'לוח בקרה'!$E$8="",מלאי!W175='לוח בקרה'!$E$8),OR('לוח בקרה'!$E$9="הכל",'לוח בקרה'!$E$9="",ISNUMBER(SEARCH('לוח בקרה'!$E$9,מלאי!C175)))),1,0)</f>
        <v>0</v>
      </c>
      <c r="AE175" t="e">
        <f>IF(AND(מלאי!D175&lt;&gt;"",OR('לוח בקרה טכנו-מבצעי'!$B$4="הכל",מלאי!Z175='לוח בקרה טכנו-מבצעי'!$B$4,מלאי!AA175='לוח בקרה טכנו-מבצעי'!$B$4,מלאי!AB175='לוח בקרה טכנו-מבצעי'!$B$4,מלאי!AC175='לוח בקרה טכנו-מבצעי'!$B$4),OR('לוח בקרה טכנו-מבצעי'!$B$5="הכל",מלאי!A175='לוח בקרה טכנו-מבצעי'!$B$5),OR('לוח בקרה טכנו-מבצעי'!$B$6="הכל",מלאי!B175='לוח בקרה טכנו-מבצעי'!$B$6),OR('לוח בקרה טכנו-מבצעי'!$B$7="הכל",מלאי!F175='לוח בקרה טכנו-מבצעי'!$B$7,מלאי!G175='לוח בקרה טכנו-מבצעי'!$B$7),OR('לוח בקרה טכנו-מבצעי'!$B$8="הכל",מלאי!T175='לוח בקרה טכנו-מבצעי'!$B$8),OR('לוח בקרה טכנו-מבצעי'!$B$9="הכל",מלאי!Q175='לוח בקרה טכנו-מבצעי'!$B$9),OR('לוח בקרה טכנו-מבצעי'!$E$4="הכל",מלאי!J175='לוח בקרה טכנו-מבצעי'!$E$4),OR('לוח בקרה טכנו-מבצעי'!$E$5="הכל",מלאי!L175='לוח בקרה טכנו-מבצעי'!$E$5),OR('לוח בקרה טכנו-מבצעי'!$E$6="הכל",מלאי!O175='לוח בקרה טכנו-מבצעי'!$E$6),OR('לוח בקרה טכנו-מבצעי'!$E$7="הכל",מלאי!R175='לוח בקרה טכנו-מבצעי'!$E$7),OR('לוח בקרה טכנו-מבצעי'!$E$8="הכל",'לוח בקרה טכנו-מבצעי'!$E$8="",מלאי!W175='לוח בקרה טכנו-מבצעי'!$E$8),OR('לוח בקרה טכנו-מבצעי'!$E$9="הכל",'לוח בקרה טכנו-מבצעי'!$E$9="",ISNUMBER(SEARCH('לוח בקרה טכנו-מבצעי'!$E$9,מלאי!C175))),OR('לוח בקרה טכנו-מבצעי'!$B$10="הכל",מלאי!#REF!='לוח בקרה טכנו-מבצעי'!$B$10)),1,0)</f>
        <v>#REF!</v>
      </c>
      <c r="AF175" t="str">
        <f>IF(AD175=1,COUNTIF($AD$3:$AD175,1),"")</f>
        <v/>
      </c>
      <c r="AG175" t="e">
        <f>IF(AE175=1,COUNTIF($AE$3:$AE175,1),"")</f>
        <v>#REF!</v>
      </c>
    </row>
    <row r="176" spans="1:33" ht="15" customHeight="1" x14ac:dyDescent="0.25">
      <c r="A176" s="17"/>
      <c r="B176" s="17"/>
      <c r="C176" s="17"/>
      <c r="D176" s="17"/>
      <c r="E176" s="17" t="str">
        <f>IFERROR(INDEX(הגדרות!$I$2:$I$47,MATCH(B176,הגדרות!$H$2:$H$47,0)),"")</f>
        <v/>
      </c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t="str">
        <f>IFERROR(INDEX(הגדרות!$B$2:$B$17,MATCH(H176,הגדרות!$A$2:$A$17,0)),"")</f>
        <v/>
      </c>
      <c r="AA176" t="str">
        <f>IFERROR(INDEX(הגדרות!$C$2:$C$17,MATCH(H176,הגדרות!$A$2:$A$17,0)),"")</f>
        <v/>
      </c>
      <c r="AB176" t="str">
        <f>IFERROR(INDEX(הגדרות!$B$2:$B$17,MATCH(I176,הגדרות!$A$2:$A$17,0)),"")</f>
        <v/>
      </c>
      <c r="AC176" t="str">
        <f>IFERROR(INDEX(הגדרות!$C$2:$C$17,MATCH(I176,הגדרות!$A$2:$A$17,0)),"")</f>
        <v/>
      </c>
      <c r="AD176">
        <f>IF(AND(מלאי!D176&lt;&gt;"",OR('לוח בקרה'!$B$4="הכל",מלאי!Z176='לוח בקרה'!$B$4,מלאי!AA176='לוח בקרה'!$B$4,מלאי!AB176='לוח בקרה'!$B$4,מלאי!AC176='לוח בקרה'!$B$4),OR('לוח בקרה'!$B$5="הכל",מלאי!A176='לוח בקרה'!$B$5),OR('לוח בקרה'!$B$6="הכל",מלאי!B176='לוח בקרה'!$B$6),OR('לוח בקרה'!$B$7="הכל",מלאי!F176='לוח בקרה'!$B$7,מלאי!G176='לוח בקרה'!$B$7),OR('לוח בקרה'!$B$8="הכל",מלאי!T176='לוח בקרה'!$B$8),OR('לוח בקרה'!$B$9="הכל",מלאי!Q176='לוח בקרה'!$B$9),OR('לוח בקרה'!$E$4="הכל",מלאי!J176='לוח בקרה'!$E$4),OR('לוח בקרה'!$E$5="הכל",מלאי!L176='לוח בקרה'!$E$5),OR('לוח בקרה'!$E$6="הכל",מלאי!O176='לוח בקרה'!$E$6),OR('לוח בקרה'!$E$7="הכל",מלאי!R176='לוח בקרה'!$E$7),OR('לוח בקרה'!$E$8="הכל",'לוח בקרה'!$E$8="",מלאי!W176='לוח בקרה'!$E$8),OR('לוח בקרה'!$E$9="הכל",'לוח בקרה'!$E$9="",ISNUMBER(SEARCH('לוח בקרה'!$E$9,מלאי!C176)))),1,0)</f>
        <v>0</v>
      </c>
      <c r="AE176" t="e">
        <f>IF(AND(מלאי!D176&lt;&gt;"",OR('לוח בקרה טכנו-מבצעי'!$B$4="הכל",מלאי!Z176='לוח בקרה טכנו-מבצעי'!$B$4,מלאי!AA176='לוח בקרה טכנו-מבצעי'!$B$4,מלאי!AB176='לוח בקרה טכנו-מבצעי'!$B$4,מלאי!AC176='לוח בקרה טכנו-מבצעי'!$B$4),OR('לוח בקרה טכנו-מבצעי'!$B$5="הכל",מלאי!A176='לוח בקרה טכנו-מבצעי'!$B$5),OR('לוח בקרה טכנו-מבצעי'!$B$6="הכל",מלאי!B176='לוח בקרה טכנו-מבצעי'!$B$6),OR('לוח בקרה טכנו-מבצעי'!$B$7="הכל",מלאי!F176='לוח בקרה טכנו-מבצעי'!$B$7,מלאי!G176='לוח בקרה טכנו-מבצעי'!$B$7),OR('לוח בקרה טכנו-מבצעי'!$B$8="הכל",מלאי!T176='לוח בקרה טכנו-מבצעי'!$B$8),OR('לוח בקרה טכנו-מבצעי'!$B$9="הכל",מלאי!Q176='לוח בקרה טכנו-מבצעי'!$B$9),OR('לוח בקרה טכנו-מבצעי'!$E$4="הכל",מלאי!J176='לוח בקרה טכנו-מבצעי'!$E$4),OR('לוח בקרה טכנו-מבצעי'!$E$5="הכל",מלאי!L176='לוח בקרה טכנו-מבצעי'!$E$5),OR('לוח בקרה טכנו-מבצעי'!$E$6="הכל",מלאי!O176='לוח בקרה טכנו-מבצעי'!$E$6),OR('לוח בקרה טכנו-מבצעי'!$E$7="הכל",מלאי!R176='לוח בקרה טכנו-מבצעי'!$E$7),OR('לוח בקרה טכנו-מבצעי'!$E$8="הכל",'לוח בקרה טכנו-מבצעי'!$E$8="",מלאי!W176='לוח בקרה טכנו-מבצעי'!$E$8),OR('לוח בקרה טכנו-מבצעי'!$E$9="הכל",'לוח בקרה טכנו-מבצעי'!$E$9="",ISNUMBER(SEARCH('לוח בקרה טכנו-מבצעי'!$E$9,מלאי!C176))),OR('לוח בקרה טכנו-מבצעי'!$B$10="הכל",מלאי!#REF!='לוח בקרה טכנו-מבצעי'!$B$10)),1,0)</f>
        <v>#REF!</v>
      </c>
      <c r="AF176" t="str">
        <f>IF(AD176=1,COUNTIF($AD$3:$AD176,1),"")</f>
        <v/>
      </c>
      <c r="AG176" t="e">
        <f>IF(AE176=1,COUNTIF($AE$3:$AE176,1),"")</f>
        <v>#REF!</v>
      </c>
    </row>
    <row r="177" spans="1:33" ht="15" customHeight="1" x14ac:dyDescent="0.25">
      <c r="A177" s="19"/>
      <c r="B177" s="19"/>
      <c r="C177" s="19"/>
      <c r="D177" s="19"/>
      <c r="E177" s="19" t="str">
        <f>IFERROR(INDEX(הגדרות!$I$2:$I$47,MATCH(B177,הגדרות!$H$2:$H$47,0)),"")</f>
        <v/>
      </c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t="str">
        <f>IFERROR(INDEX(הגדרות!$B$2:$B$17,MATCH(H177,הגדרות!$A$2:$A$17,0)),"")</f>
        <v/>
      </c>
      <c r="AA177" t="str">
        <f>IFERROR(INDEX(הגדרות!$C$2:$C$17,MATCH(H177,הגדרות!$A$2:$A$17,0)),"")</f>
        <v/>
      </c>
      <c r="AB177" t="str">
        <f>IFERROR(INDEX(הגדרות!$B$2:$B$17,MATCH(I177,הגדרות!$A$2:$A$17,0)),"")</f>
        <v/>
      </c>
      <c r="AC177" t="str">
        <f>IFERROR(INDEX(הגדרות!$C$2:$C$17,MATCH(I177,הגדרות!$A$2:$A$17,0)),"")</f>
        <v/>
      </c>
      <c r="AD177">
        <f>IF(AND(מלאי!D177&lt;&gt;"",OR('לוח בקרה'!$B$4="הכל",מלאי!Z177='לוח בקרה'!$B$4,מלאי!AA177='לוח בקרה'!$B$4,מלאי!AB177='לוח בקרה'!$B$4,מלאי!AC177='לוח בקרה'!$B$4),OR('לוח בקרה'!$B$5="הכל",מלאי!A177='לוח בקרה'!$B$5),OR('לוח בקרה'!$B$6="הכל",מלאי!B177='לוח בקרה'!$B$6),OR('לוח בקרה'!$B$7="הכל",מלאי!F177='לוח בקרה'!$B$7,מלאי!G177='לוח בקרה'!$B$7),OR('לוח בקרה'!$B$8="הכל",מלאי!T177='לוח בקרה'!$B$8),OR('לוח בקרה'!$B$9="הכל",מלאי!Q177='לוח בקרה'!$B$9),OR('לוח בקרה'!$E$4="הכל",מלאי!J177='לוח בקרה'!$E$4),OR('לוח בקרה'!$E$5="הכל",מלאי!L177='לוח בקרה'!$E$5),OR('לוח בקרה'!$E$6="הכל",מלאי!O177='לוח בקרה'!$E$6),OR('לוח בקרה'!$E$7="הכל",מלאי!R177='לוח בקרה'!$E$7),OR('לוח בקרה'!$E$8="הכל",'לוח בקרה'!$E$8="",מלאי!W177='לוח בקרה'!$E$8),OR('לוח בקרה'!$E$9="הכל",'לוח בקרה'!$E$9="",ISNUMBER(SEARCH('לוח בקרה'!$E$9,מלאי!C177)))),1,0)</f>
        <v>0</v>
      </c>
      <c r="AE177" t="e">
        <f>IF(AND(מלאי!D177&lt;&gt;"",OR('לוח בקרה טכנו-מבצעי'!$B$4="הכל",מלאי!Z177='לוח בקרה טכנו-מבצעי'!$B$4,מלאי!AA177='לוח בקרה טכנו-מבצעי'!$B$4,מלאי!AB177='לוח בקרה טכנו-מבצעי'!$B$4,מלאי!AC177='לוח בקרה טכנו-מבצעי'!$B$4),OR('לוח בקרה טכנו-מבצעי'!$B$5="הכל",מלאי!A177='לוח בקרה טכנו-מבצעי'!$B$5),OR('לוח בקרה טכנו-מבצעי'!$B$6="הכל",מלאי!B177='לוח בקרה טכנו-מבצעי'!$B$6),OR('לוח בקרה טכנו-מבצעי'!$B$7="הכל",מלאי!F177='לוח בקרה טכנו-מבצעי'!$B$7,מלאי!G177='לוח בקרה טכנו-מבצעי'!$B$7),OR('לוח בקרה טכנו-מבצעי'!$B$8="הכל",מלאי!T177='לוח בקרה טכנו-מבצעי'!$B$8),OR('לוח בקרה טכנו-מבצעי'!$B$9="הכל",מלאי!Q177='לוח בקרה טכנו-מבצעי'!$B$9),OR('לוח בקרה טכנו-מבצעי'!$E$4="הכל",מלאי!J177='לוח בקרה טכנו-מבצעי'!$E$4),OR('לוח בקרה טכנו-מבצעי'!$E$5="הכל",מלאי!L177='לוח בקרה טכנו-מבצעי'!$E$5),OR('לוח בקרה טכנו-מבצעי'!$E$6="הכל",מלאי!O177='לוח בקרה טכנו-מבצעי'!$E$6),OR('לוח בקרה טכנו-מבצעי'!$E$7="הכל",מלאי!R177='לוח בקרה טכנו-מבצעי'!$E$7),OR('לוח בקרה טכנו-מבצעי'!$E$8="הכל",'לוח בקרה טכנו-מבצעי'!$E$8="",מלאי!W177='לוח בקרה טכנו-מבצעי'!$E$8),OR('לוח בקרה טכנו-מבצעי'!$E$9="הכל",'לוח בקרה טכנו-מבצעי'!$E$9="",ISNUMBER(SEARCH('לוח בקרה טכנו-מבצעי'!$E$9,מלאי!C177))),OR('לוח בקרה טכנו-מבצעי'!$B$10="הכל",מלאי!#REF!='לוח בקרה טכנו-מבצעי'!$B$10)),1,0)</f>
        <v>#REF!</v>
      </c>
      <c r="AF177" t="str">
        <f>IF(AD177=1,COUNTIF($AD$3:$AD177,1),"")</f>
        <v/>
      </c>
      <c r="AG177" t="e">
        <f>IF(AE177=1,COUNTIF($AE$3:$AE177,1),"")</f>
        <v>#REF!</v>
      </c>
    </row>
    <row r="178" spans="1:33" ht="15" customHeight="1" x14ac:dyDescent="0.25">
      <c r="A178" s="17"/>
      <c r="B178" s="17"/>
      <c r="C178" s="17"/>
      <c r="D178" s="17"/>
      <c r="E178" s="17" t="str">
        <f>IFERROR(INDEX(הגדרות!$I$2:$I$47,MATCH(B178,הגדרות!$H$2:$H$47,0)),"")</f>
        <v/>
      </c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t="str">
        <f>IFERROR(INDEX(הגדרות!$B$2:$B$17,MATCH(H178,הגדרות!$A$2:$A$17,0)),"")</f>
        <v/>
      </c>
      <c r="AA178" t="str">
        <f>IFERROR(INDEX(הגדרות!$C$2:$C$17,MATCH(H178,הגדרות!$A$2:$A$17,0)),"")</f>
        <v/>
      </c>
      <c r="AB178" t="str">
        <f>IFERROR(INDEX(הגדרות!$B$2:$B$17,MATCH(I178,הגדרות!$A$2:$A$17,0)),"")</f>
        <v/>
      </c>
      <c r="AC178" t="str">
        <f>IFERROR(INDEX(הגדרות!$C$2:$C$17,MATCH(I178,הגדרות!$A$2:$A$17,0)),"")</f>
        <v/>
      </c>
      <c r="AD178">
        <f>IF(AND(מלאי!D178&lt;&gt;"",OR('לוח בקרה'!$B$4="הכל",מלאי!Z178='לוח בקרה'!$B$4,מלאי!AA178='לוח בקרה'!$B$4,מלאי!AB178='לוח בקרה'!$B$4,מלאי!AC178='לוח בקרה'!$B$4),OR('לוח בקרה'!$B$5="הכל",מלאי!A178='לוח בקרה'!$B$5),OR('לוח בקרה'!$B$6="הכל",מלאי!B178='לוח בקרה'!$B$6),OR('לוח בקרה'!$B$7="הכל",מלאי!F178='לוח בקרה'!$B$7,מלאי!G178='לוח בקרה'!$B$7),OR('לוח בקרה'!$B$8="הכל",מלאי!T178='לוח בקרה'!$B$8),OR('לוח בקרה'!$B$9="הכל",מלאי!Q178='לוח בקרה'!$B$9),OR('לוח בקרה'!$E$4="הכל",מלאי!J178='לוח בקרה'!$E$4),OR('לוח בקרה'!$E$5="הכל",מלאי!L178='לוח בקרה'!$E$5),OR('לוח בקרה'!$E$6="הכל",מלאי!O178='לוח בקרה'!$E$6),OR('לוח בקרה'!$E$7="הכל",מלאי!R178='לוח בקרה'!$E$7),OR('לוח בקרה'!$E$8="הכל",'לוח בקרה'!$E$8="",מלאי!W178='לוח בקרה'!$E$8),OR('לוח בקרה'!$E$9="הכל",'לוח בקרה'!$E$9="",ISNUMBER(SEARCH('לוח בקרה'!$E$9,מלאי!C178)))),1,0)</f>
        <v>0</v>
      </c>
      <c r="AE178" t="e">
        <f>IF(AND(מלאי!D178&lt;&gt;"",OR('לוח בקרה טכנו-מבצעי'!$B$4="הכל",מלאי!Z178='לוח בקרה טכנו-מבצעי'!$B$4,מלאי!AA178='לוח בקרה טכנו-מבצעי'!$B$4,מלאי!AB178='לוח בקרה טכנו-מבצעי'!$B$4,מלאי!AC178='לוח בקרה טכנו-מבצעי'!$B$4),OR('לוח בקרה טכנו-מבצעי'!$B$5="הכל",מלאי!A178='לוח בקרה טכנו-מבצעי'!$B$5),OR('לוח בקרה טכנו-מבצעי'!$B$6="הכל",מלאי!B178='לוח בקרה טכנו-מבצעי'!$B$6),OR('לוח בקרה טכנו-מבצעי'!$B$7="הכל",מלאי!F178='לוח בקרה טכנו-מבצעי'!$B$7,מלאי!G178='לוח בקרה טכנו-מבצעי'!$B$7),OR('לוח בקרה טכנו-מבצעי'!$B$8="הכל",מלאי!T178='לוח בקרה טכנו-מבצעי'!$B$8),OR('לוח בקרה טכנו-מבצעי'!$B$9="הכל",מלאי!Q178='לוח בקרה טכנו-מבצעי'!$B$9),OR('לוח בקרה טכנו-מבצעי'!$E$4="הכל",מלאי!J178='לוח בקרה טכנו-מבצעי'!$E$4),OR('לוח בקרה טכנו-מבצעי'!$E$5="הכל",מלאי!L178='לוח בקרה טכנו-מבצעי'!$E$5),OR('לוח בקרה טכנו-מבצעי'!$E$6="הכל",מלאי!O178='לוח בקרה טכנו-מבצעי'!$E$6),OR('לוח בקרה טכנו-מבצעי'!$E$7="הכל",מלאי!R178='לוח בקרה טכנו-מבצעי'!$E$7),OR('לוח בקרה טכנו-מבצעי'!$E$8="הכל",'לוח בקרה טכנו-מבצעי'!$E$8="",מלאי!W178='לוח בקרה טכנו-מבצעי'!$E$8),OR('לוח בקרה טכנו-מבצעי'!$E$9="הכל",'לוח בקרה טכנו-מבצעי'!$E$9="",ISNUMBER(SEARCH('לוח בקרה טכנו-מבצעי'!$E$9,מלאי!C178))),OR('לוח בקרה טכנו-מבצעי'!$B$10="הכל",מלאי!#REF!='לוח בקרה טכנו-מבצעי'!$B$10)),1,0)</f>
        <v>#REF!</v>
      </c>
      <c r="AF178" t="str">
        <f>IF(AD178=1,COUNTIF($AD$3:$AD178,1),"")</f>
        <v/>
      </c>
      <c r="AG178" t="e">
        <f>IF(AE178=1,COUNTIF($AE$3:$AE178,1),"")</f>
        <v>#REF!</v>
      </c>
    </row>
    <row r="179" spans="1:33" ht="15" customHeight="1" x14ac:dyDescent="0.25">
      <c r="A179" s="19"/>
      <c r="B179" s="19"/>
      <c r="C179" s="19"/>
      <c r="D179" s="19"/>
      <c r="E179" s="19" t="str">
        <f>IFERROR(INDEX(הגדרות!$I$2:$I$47,MATCH(B179,הגדרות!$H$2:$H$47,0)),"")</f>
        <v/>
      </c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t="str">
        <f>IFERROR(INDEX(הגדרות!$B$2:$B$17,MATCH(H179,הגדרות!$A$2:$A$17,0)),"")</f>
        <v/>
      </c>
      <c r="AA179" t="str">
        <f>IFERROR(INDEX(הגדרות!$C$2:$C$17,MATCH(H179,הגדרות!$A$2:$A$17,0)),"")</f>
        <v/>
      </c>
      <c r="AB179" t="str">
        <f>IFERROR(INDEX(הגדרות!$B$2:$B$17,MATCH(I179,הגדרות!$A$2:$A$17,0)),"")</f>
        <v/>
      </c>
      <c r="AC179" t="str">
        <f>IFERROR(INDEX(הגדרות!$C$2:$C$17,MATCH(I179,הגדרות!$A$2:$A$17,0)),"")</f>
        <v/>
      </c>
      <c r="AD179">
        <f>IF(AND(מלאי!D179&lt;&gt;"",OR('לוח בקרה'!$B$4="הכל",מלאי!Z179='לוח בקרה'!$B$4,מלאי!AA179='לוח בקרה'!$B$4,מלאי!AB179='לוח בקרה'!$B$4,מלאי!AC179='לוח בקרה'!$B$4),OR('לוח בקרה'!$B$5="הכל",מלאי!A179='לוח בקרה'!$B$5),OR('לוח בקרה'!$B$6="הכל",מלאי!B179='לוח בקרה'!$B$6),OR('לוח בקרה'!$B$7="הכל",מלאי!F179='לוח בקרה'!$B$7,מלאי!G179='לוח בקרה'!$B$7),OR('לוח בקרה'!$B$8="הכל",מלאי!T179='לוח בקרה'!$B$8),OR('לוח בקרה'!$B$9="הכל",מלאי!Q179='לוח בקרה'!$B$9),OR('לוח בקרה'!$E$4="הכל",מלאי!J179='לוח בקרה'!$E$4),OR('לוח בקרה'!$E$5="הכל",מלאי!L179='לוח בקרה'!$E$5),OR('לוח בקרה'!$E$6="הכל",מלאי!O179='לוח בקרה'!$E$6),OR('לוח בקרה'!$E$7="הכל",מלאי!R179='לוח בקרה'!$E$7),OR('לוח בקרה'!$E$8="הכל",'לוח בקרה'!$E$8="",מלאי!W179='לוח בקרה'!$E$8),OR('לוח בקרה'!$E$9="הכל",'לוח בקרה'!$E$9="",ISNUMBER(SEARCH('לוח בקרה'!$E$9,מלאי!C179)))),1,0)</f>
        <v>0</v>
      </c>
      <c r="AE179" t="e">
        <f>IF(AND(מלאי!D179&lt;&gt;"",OR('לוח בקרה טכנו-מבצעי'!$B$4="הכל",מלאי!Z179='לוח בקרה טכנו-מבצעי'!$B$4,מלאי!AA179='לוח בקרה טכנו-מבצעי'!$B$4,מלאי!AB179='לוח בקרה טכנו-מבצעי'!$B$4,מלאי!AC179='לוח בקרה טכנו-מבצעי'!$B$4),OR('לוח בקרה טכנו-מבצעי'!$B$5="הכל",מלאי!A179='לוח בקרה טכנו-מבצעי'!$B$5),OR('לוח בקרה טכנו-מבצעי'!$B$6="הכל",מלאי!B179='לוח בקרה טכנו-מבצעי'!$B$6),OR('לוח בקרה טכנו-מבצעי'!$B$7="הכל",מלאי!F179='לוח בקרה טכנו-מבצעי'!$B$7,מלאי!G179='לוח בקרה טכנו-מבצעי'!$B$7),OR('לוח בקרה טכנו-מבצעי'!$B$8="הכל",מלאי!T179='לוח בקרה טכנו-מבצעי'!$B$8),OR('לוח בקרה טכנו-מבצעי'!$B$9="הכל",מלאי!Q179='לוח בקרה טכנו-מבצעי'!$B$9),OR('לוח בקרה טכנו-מבצעי'!$E$4="הכל",מלאי!J179='לוח בקרה טכנו-מבצעי'!$E$4),OR('לוח בקרה טכנו-מבצעי'!$E$5="הכל",מלאי!L179='לוח בקרה טכנו-מבצעי'!$E$5),OR('לוח בקרה טכנו-מבצעי'!$E$6="הכל",מלאי!O179='לוח בקרה טכנו-מבצעי'!$E$6),OR('לוח בקרה טכנו-מבצעי'!$E$7="הכל",מלאי!R179='לוח בקרה טכנו-מבצעי'!$E$7),OR('לוח בקרה טכנו-מבצעי'!$E$8="הכל",'לוח בקרה טכנו-מבצעי'!$E$8="",מלאי!W179='לוח בקרה טכנו-מבצעי'!$E$8),OR('לוח בקרה טכנו-מבצעי'!$E$9="הכל",'לוח בקרה טכנו-מבצעי'!$E$9="",ISNUMBER(SEARCH('לוח בקרה טכנו-מבצעי'!$E$9,מלאי!C179))),OR('לוח בקרה טכנו-מבצעי'!$B$10="הכל",מלאי!#REF!='לוח בקרה טכנו-מבצעי'!$B$10)),1,0)</f>
        <v>#REF!</v>
      </c>
      <c r="AF179" t="str">
        <f>IF(AD179=1,COUNTIF($AD$3:$AD179,1),"")</f>
        <v/>
      </c>
      <c r="AG179" t="e">
        <f>IF(AE179=1,COUNTIF($AE$3:$AE179,1),"")</f>
        <v>#REF!</v>
      </c>
    </row>
    <row r="180" spans="1:33" ht="15" customHeight="1" x14ac:dyDescent="0.25">
      <c r="A180" s="17"/>
      <c r="B180" s="17"/>
      <c r="C180" s="17"/>
      <c r="D180" s="17"/>
      <c r="E180" s="17" t="str">
        <f>IFERROR(INDEX(הגדרות!$I$2:$I$47,MATCH(B180,הגדרות!$H$2:$H$47,0)),"")</f>
        <v/>
      </c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t="str">
        <f>IFERROR(INDEX(הגדרות!$B$2:$B$17,MATCH(H180,הגדרות!$A$2:$A$17,0)),"")</f>
        <v/>
      </c>
      <c r="AA180" t="str">
        <f>IFERROR(INDEX(הגדרות!$C$2:$C$17,MATCH(H180,הגדרות!$A$2:$A$17,0)),"")</f>
        <v/>
      </c>
      <c r="AB180" t="str">
        <f>IFERROR(INDEX(הגדרות!$B$2:$B$17,MATCH(I180,הגדרות!$A$2:$A$17,0)),"")</f>
        <v/>
      </c>
      <c r="AC180" t="str">
        <f>IFERROR(INDEX(הגדרות!$C$2:$C$17,MATCH(I180,הגדרות!$A$2:$A$17,0)),"")</f>
        <v/>
      </c>
      <c r="AD180">
        <f>IF(AND(מלאי!D180&lt;&gt;"",OR('לוח בקרה'!$B$4="הכל",מלאי!Z180='לוח בקרה'!$B$4,מלאי!AA180='לוח בקרה'!$B$4,מלאי!AB180='לוח בקרה'!$B$4,מלאי!AC180='לוח בקרה'!$B$4),OR('לוח בקרה'!$B$5="הכל",מלאי!A180='לוח בקרה'!$B$5),OR('לוח בקרה'!$B$6="הכל",מלאי!B180='לוח בקרה'!$B$6),OR('לוח בקרה'!$B$7="הכל",מלאי!F180='לוח בקרה'!$B$7,מלאי!G180='לוח בקרה'!$B$7),OR('לוח בקרה'!$B$8="הכל",מלאי!T180='לוח בקרה'!$B$8),OR('לוח בקרה'!$B$9="הכל",מלאי!Q180='לוח בקרה'!$B$9),OR('לוח בקרה'!$E$4="הכל",מלאי!J180='לוח בקרה'!$E$4),OR('לוח בקרה'!$E$5="הכל",מלאי!L180='לוח בקרה'!$E$5),OR('לוח בקרה'!$E$6="הכל",מלאי!O180='לוח בקרה'!$E$6),OR('לוח בקרה'!$E$7="הכל",מלאי!R180='לוח בקרה'!$E$7),OR('לוח בקרה'!$E$8="הכל",'לוח בקרה'!$E$8="",מלאי!W180='לוח בקרה'!$E$8),OR('לוח בקרה'!$E$9="הכל",'לוח בקרה'!$E$9="",ISNUMBER(SEARCH('לוח בקרה'!$E$9,מלאי!C180)))),1,0)</f>
        <v>0</v>
      </c>
      <c r="AE180" t="e">
        <f>IF(AND(מלאי!D180&lt;&gt;"",OR('לוח בקרה טכנו-מבצעי'!$B$4="הכל",מלאי!Z180='לוח בקרה טכנו-מבצעי'!$B$4,מלאי!AA180='לוח בקרה טכנו-מבצעי'!$B$4,מלאי!AB180='לוח בקרה טכנו-מבצעי'!$B$4,מלאי!AC180='לוח בקרה טכנו-מבצעי'!$B$4),OR('לוח בקרה טכנו-מבצעי'!$B$5="הכל",מלאי!A180='לוח בקרה טכנו-מבצעי'!$B$5),OR('לוח בקרה טכנו-מבצעי'!$B$6="הכל",מלאי!B180='לוח בקרה טכנו-מבצעי'!$B$6),OR('לוח בקרה טכנו-מבצעי'!$B$7="הכל",מלאי!F180='לוח בקרה טכנו-מבצעי'!$B$7,מלאי!G180='לוח בקרה טכנו-מבצעי'!$B$7),OR('לוח בקרה טכנו-מבצעי'!$B$8="הכל",מלאי!T180='לוח בקרה טכנו-מבצעי'!$B$8),OR('לוח בקרה טכנו-מבצעי'!$B$9="הכל",מלאי!Q180='לוח בקרה טכנו-מבצעי'!$B$9),OR('לוח בקרה טכנו-מבצעי'!$E$4="הכל",מלאי!J180='לוח בקרה טכנו-מבצעי'!$E$4),OR('לוח בקרה טכנו-מבצעי'!$E$5="הכל",מלאי!L180='לוח בקרה טכנו-מבצעי'!$E$5),OR('לוח בקרה טכנו-מבצעי'!$E$6="הכל",מלאי!O180='לוח בקרה טכנו-מבצעי'!$E$6),OR('לוח בקרה טכנו-מבצעי'!$E$7="הכל",מלאי!R180='לוח בקרה טכנו-מבצעי'!$E$7),OR('לוח בקרה טכנו-מבצעי'!$E$8="הכל",'לוח בקרה טכנו-מבצעי'!$E$8="",מלאי!W180='לוח בקרה טכנו-מבצעי'!$E$8),OR('לוח בקרה טכנו-מבצעי'!$E$9="הכל",'לוח בקרה טכנו-מבצעי'!$E$9="",ISNUMBER(SEARCH('לוח בקרה טכנו-מבצעי'!$E$9,מלאי!C180))),OR('לוח בקרה טכנו-מבצעי'!$B$10="הכל",מלאי!#REF!='לוח בקרה טכנו-מבצעי'!$B$10)),1,0)</f>
        <v>#REF!</v>
      </c>
      <c r="AF180" t="str">
        <f>IF(AD180=1,COUNTIF($AD$3:$AD180,1),"")</f>
        <v/>
      </c>
      <c r="AG180" t="e">
        <f>IF(AE180=1,COUNTIF($AE$3:$AE180,1),"")</f>
        <v>#REF!</v>
      </c>
    </row>
    <row r="181" spans="1:33" ht="15" customHeight="1" x14ac:dyDescent="0.25">
      <c r="A181" s="19"/>
      <c r="B181" s="19"/>
      <c r="C181" s="19"/>
      <c r="D181" s="19"/>
      <c r="E181" s="19" t="str">
        <f>IFERROR(INDEX(הגדרות!$I$2:$I$47,MATCH(B181,הגדרות!$H$2:$H$47,0)),"")</f>
        <v/>
      </c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t="str">
        <f>IFERROR(INDEX(הגדרות!$B$2:$B$17,MATCH(H181,הגדרות!$A$2:$A$17,0)),"")</f>
        <v/>
      </c>
      <c r="AA181" t="str">
        <f>IFERROR(INDEX(הגדרות!$C$2:$C$17,MATCH(H181,הגדרות!$A$2:$A$17,0)),"")</f>
        <v/>
      </c>
      <c r="AB181" t="str">
        <f>IFERROR(INDEX(הגדרות!$B$2:$B$17,MATCH(I181,הגדרות!$A$2:$A$17,0)),"")</f>
        <v/>
      </c>
      <c r="AC181" t="str">
        <f>IFERROR(INDEX(הגדרות!$C$2:$C$17,MATCH(I181,הגדרות!$A$2:$A$17,0)),"")</f>
        <v/>
      </c>
      <c r="AD181">
        <f>IF(AND(מלאי!D181&lt;&gt;"",OR('לוח בקרה'!$B$4="הכל",מלאי!Z181='לוח בקרה'!$B$4,מלאי!AA181='לוח בקרה'!$B$4,מלאי!AB181='לוח בקרה'!$B$4,מלאי!AC181='לוח בקרה'!$B$4),OR('לוח בקרה'!$B$5="הכל",מלאי!A181='לוח בקרה'!$B$5),OR('לוח בקרה'!$B$6="הכל",מלאי!B181='לוח בקרה'!$B$6),OR('לוח בקרה'!$B$7="הכל",מלאי!F181='לוח בקרה'!$B$7,מלאי!G181='לוח בקרה'!$B$7),OR('לוח בקרה'!$B$8="הכל",מלאי!T181='לוח בקרה'!$B$8),OR('לוח בקרה'!$B$9="הכל",מלאי!Q181='לוח בקרה'!$B$9),OR('לוח בקרה'!$E$4="הכל",מלאי!J181='לוח בקרה'!$E$4),OR('לוח בקרה'!$E$5="הכל",מלאי!L181='לוח בקרה'!$E$5),OR('לוח בקרה'!$E$6="הכל",מלאי!O181='לוח בקרה'!$E$6),OR('לוח בקרה'!$E$7="הכל",מלאי!R181='לוח בקרה'!$E$7),OR('לוח בקרה'!$E$8="הכל",'לוח בקרה'!$E$8="",מלאי!W181='לוח בקרה'!$E$8),OR('לוח בקרה'!$E$9="הכל",'לוח בקרה'!$E$9="",ISNUMBER(SEARCH('לוח בקרה'!$E$9,מלאי!C181)))),1,0)</f>
        <v>0</v>
      </c>
      <c r="AE181" t="e">
        <f>IF(AND(מלאי!D181&lt;&gt;"",OR('לוח בקרה טכנו-מבצעי'!$B$4="הכל",מלאי!Z181='לוח בקרה טכנו-מבצעי'!$B$4,מלאי!AA181='לוח בקרה טכנו-מבצעי'!$B$4,מלאי!AB181='לוח בקרה טכנו-מבצעי'!$B$4,מלאי!AC181='לוח בקרה טכנו-מבצעי'!$B$4),OR('לוח בקרה טכנו-מבצעי'!$B$5="הכל",מלאי!A181='לוח בקרה טכנו-מבצעי'!$B$5),OR('לוח בקרה טכנו-מבצעי'!$B$6="הכל",מלאי!B181='לוח בקרה טכנו-מבצעי'!$B$6),OR('לוח בקרה טכנו-מבצעי'!$B$7="הכל",מלאי!F181='לוח בקרה טכנו-מבצעי'!$B$7,מלאי!G181='לוח בקרה טכנו-מבצעי'!$B$7),OR('לוח בקרה טכנו-מבצעי'!$B$8="הכל",מלאי!T181='לוח בקרה טכנו-מבצעי'!$B$8),OR('לוח בקרה טכנו-מבצעי'!$B$9="הכל",מלאי!Q181='לוח בקרה טכנו-מבצעי'!$B$9),OR('לוח בקרה טכנו-מבצעי'!$E$4="הכל",מלאי!J181='לוח בקרה טכנו-מבצעי'!$E$4),OR('לוח בקרה טכנו-מבצעי'!$E$5="הכל",מלאי!L181='לוח בקרה טכנו-מבצעי'!$E$5),OR('לוח בקרה טכנו-מבצעי'!$E$6="הכל",מלאי!O181='לוח בקרה טכנו-מבצעי'!$E$6),OR('לוח בקרה טכנו-מבצעי'!$E$7="הכל",מלאי!R181='לוח בקרה טכנו-מבצעי'!$E$7),OR('לוח בקרה טכנו-מבצעי'!$E$8="הכל",'לוח בקרה טכנו-מבצעי'!$E$8="",מלאי!W181='לוח בקרה טכנו-מבצעי'!$E$8),OR('לוח בקרה טכנו-מבצעי'!$E$9="הכל",'לוח בקרה טכנו-מבצעי'!$E$9="",ISNUMBER(SEARCH('לוח בקרה טכנו-מבצעי'!$E$9,מלאי!C181))),OR('לוח בקרה טכנו-מבצעי'!$B$10="הכל",מלאי!#REF!='לוח בקרה טכנו-מבצעי'!$B$10)),1,0)</f>
        <v>#REF!</v>
      </c>
      <c r="AF181" t="str">
        <f>IF(AD181=1,COUNTIF($AD$3:$AD181,1),"")</f>
        <v/>
      </c>
      <c r="AG181" t="e">
        <f>IF(AE181=1,COUNTIF($AE$3:$AE181,1),"")</f>
        <v>#REF!</v>
      </c>
    </row>
    <row r="182" spans="1:33" ht="15" customHeight="1" x14ac:dyDescent="0.25">
      <c r="A182" s="17"/>
      <c r="B182" s="17"/>
      <c r="C182" s="17"/>
      <c r="D182" s="17"/>
      <c r="E182" s="17" t="str">
        <f>IFERROR(INDEX(הגדרות!$I$2:$I$47,MATCH(B182,הגדרות!$H$2:$H$47,0)),"")</f>
        <v/>
      </c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t="str">
        <f>IFERROR(INDEX(הגדרות!$B$2:$B$17,MATCH(H182,הגדרות!$A$2:$A$17,0)),"")</f>
        <v/>
      </c>
      <c r="AA182" t="str">
        <f>IFERROR(INDEX(הגדרות!$C$2:$C$17,MATCH(H182,הגדרות!$A$2:$A$17,0)),"")</f>
        <v/>
      </c>
      <c r="AB182" t="str">
        <f>IFERROR(INDEX(הגדרות!$B$2:$B$17,MATCH(I182,הגדרות!$A$2:$A$17,0)),"")</f>
        <v/>
      </c>
      <c r="AC182" t="str">
        <f>IFERROR(INDEX(הגדרות!$C$2:$C$17,MATCH(I182,הגדרות!$A$2:$A$17,0)),"")</f>
        <v/>
      </c>
      <c r="AD182">
        <f>IF(AND(מלאי!D182&lt;&gt;"",OR('לוח בקרה'!$B$4="הכל",מלאי!Z182='לוח בקרה'!$B$4,מלאי!AA182='לוח בקרה'!$B$4,מלאי!AB182='לוח בקרה'!$B$4,מלאי!AC182='לוח בקרה'!$B$4),OR('לוח בקרה'!$B$5="הכל",מלאי!A182='לוח בקרה'!$B$5),OR('לוח בקרה'!$B$6="הכל",מלאי!B182='לוח בקרה'!$B$6),OR('לוח בקרה'!$B$7="הכל",מלאי!F182='לוח בקרה'!$B$7,מלאי!G182='לוח בקרה'!$B$7),OR('לוח בקרה'!$B$8="הכל",מלאי!T182='לוח בקרה'!$B$8),OR('לוח בקרה'!$B$9="הכל",מלאי!Q182='לוח בקרה'!$B$9),OR('לוח בקרה'!$E$4="הכל",מלאי!J182='לוח בקרה'!$E$4),OR('לוח בקרה'!$E$5="הכל",מלאי!L182='לוח בקרה'!$E$5),OR('לוח בקרה'!$E$6="הכל",מלאי!O182='לוח בקרה'!$E$6),OR('לוח בקרה'!$E$7="הכל",מלאי!R182='לוח בקרה'!$E$7),OR('לוח בקרה'!$E$8="הכל",'לוח בקרה'!$E$8="",מלאי!W182='לוח בקרה'!$E$8),OR('לוח בקרה'!$E$9="הכל",'לוח בקרה'!$E$9="",ISNUMBER(SEARCH('לוח בקרה'!$E$9,מלאי!C182)))),1,0)</f>
        <v>0</v>
      </c>
      <c r="AE182" t="e">
        <f>IF(AND(מלאי!D182&lt;&gt;"",OR('לוח בקרה טכנו-מבצעי'!$B$4="הכל",מלאי!Z182='לוח בקרה טכנו-מבצעי'!$B$4,מלאי!AA182='לוח בקרה טכנו-מבצעי'!$B$4,מלאי!AB182='לוח בקרה טכנו-מבצעי'!$B$4,מלאי!AC182='לוח בקרה טכנו-מבצעי'!$B$4),OR('לוח בקרה טכנו-מבצעי'!$B$5="הכל",מלאי!A182='לוח בקרה טכנו-מבצעי'!$B$5),OR('לוח בקרה טכנו-מבצעי'!$B$6="הכל",מלאי!B182='לוח בקרה טכנו-מבצעי'!$B$6),OR('לוח בקרה טכנו-מבצעי'!$B$7="הכל",מלאי!F182='לוח בקרה טכנו-מבצעי'!$B$7,מלאי!G182='לוח בקרה טכנו-מבצעי'!$B$7),OR('לוח בקרה טכנו-מבצעי'!$B$8="הכל",מלאי!T182='לוח בקרה טכנו-מבצעי'!$B$8),OR('לוח בקרה טכנו-מבצעי'!$B$9="הכל",מלאי!Q182='לוח בקרה טכנו-מבצעי'!$B$9),OR('לוח בקרה טכנו-מבצעי'!$E$4="הכל",מלאי!J182='לוח בקרה טכנו-מבצעי'!$E$4),OR('לוח בקרה טכנו-מבצעי'!$E$5="הכל",מלאי!L182='לוח בקרה טכנו-מבצעי'!$E$5),OR('לוח בקרה טכנו-מבצעי'!$E$6="הכל",מלאי!O182='לוח בקרה טכנו-מבצעי'!$E$6),OR('לוח בקרה טכנו-מבצעי'!$E$7="הכל",מלאי!R182='לוח בקרה טכנו-מבצעי'!$E$7),OR('לוח בקרה טכנו-מבצעי'!$E$8="הכל",'לוח בקרה טכנו-מבצעי'!$E$8="",מלאי!W182='לוח בקרה טכנו-מבצעי'!$E$8),OR('לוח בקרה טכנו-מבצעי'!$E$9="הכל",'לוח בקרה טכנו-מבצעי'!$E$9="",ISNUMBER(SEARCH('לוח בקרה טכנו-מבצעי'!$E$9,מלאי!C182))),OR('לוח בקרה טכנו-מבצעי'!$B$10="הכל",מלאי!#REF!='לוח בקרה טכנו-מבצעי'!$B$10)),1,0)</f>
        <v>#REF!</v>
      </c>
      <c r="AF182" t="str">
        <f>IF(AD182=1,COUNTIF($AD$3:$AD182,1),"")</f>
        <v/>
      </c>
      <c r="AG182" t="e">
        <f>IF(AE182=1,COUNTIF($AE$3:$AE182,1),"")</f>
        <v>#REF!</v>
      </c>
    </row>
    <row r="183" spans="1:33" ht="15" customHeight="1" x14ac:dyDescent="0.25">
      <c r="A183" s="19"/>
      <c r="B183" s="19"/>
      <c r="C183" s="19"/>
      <c r="D183" s="19"/>
      <c r="E183" s="19" t="str">
        <f>IFERROR(INDEX(הגדרות!$I$2:$I$47,MATCH(B183,הגדרות!$H$2:$H$47,0)),"")</f>
        <v/>
      </c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t="str">
        <f>IFERROR(INDEX(הגדרות!$B$2:$B$17,MATCH(H183,הגדרות!$A$2:$A$17,0)),"")</f>
        <v/>
      </c>
      <c r="AA183" t="str">
        <f>IFERROR(INDEX(הגדרות!$C$2:$C$17,MATCH(H183,הגדרות!$A$2:$A$17,0)),"")</f>
        <v/>
      </c>
      <c r="AB183" t="str">
        <f>IFERROR(INDEX(הגדרות!$B$2:$B$17,MATCH(I183,הגדרות!$A$2:$A$17,0)),"")</f>
        <v/>
      </c>
      <c r="AC183" t="str">
        <f>IFERROR(INDEX(הגדרות!$C$2:$C$17,MATCH(I183,הגדרות!$A$2:$A$17,0)),"")</f>
        <v/>
      </c>
      <c r="AD183">
        <f>IF(AND(מלאי!D183&lt;&gt;"",OR('לוח בקרה'!$B$4="הכל",מלאי!Z183='לוח בקרה'!$B$4,מלאי!AA183='לוח בקרה'!$B$4,מלאי!AB183='לוח בקרה'!$B$4,מלאי!AC183='לוח בקרה'!$B$4),OR('לוח בקרה'!$B$5="הכל",מלאי!A183='לוח בקרה'!$B$5),OR('לוח בקרה'!$B$6="הכל",מלאי!B183='לוח בקרה'!$B$6),OR('לוח בקרה'!$B$7="הכל",מלאי!F183='לוח בקרה'!$B$7,מלאי!G183='לוח בקרה'!$B$7),OR('לוח בקרה'!$B$8="הכל",מלאי!T183='לוח בקרה'!$B$8),OR('לוח בקרה'!$B$9="הכל",מלאי!Q183='לוח בקרה'!$B$9),OR('לוח בקרה'!$E$4="הכל",מלאי!J183='לוח בקרה'!$E$4),OR('לוח בקרה'!$E$5="הכל",מלאי!L183='לוח בקרה'!$E$5),OR('לוח בקרה'!$E$6="הכל",מלאי!O183='לוח בקרה'!$E$6),OR('לוח בקרה'!$E$7="הכל",מלאי!R183='לוח בקרה'!$E$7),OR('לוח בקרה'!$E$8="הכל",'לוח בקרה'!$E$8="",מלאי!W183='לוח בקרה'!$E$8),OR('לוח בקרה'!$E$9="הכל",'לוח בקרה'!$E$9="",ISNUMBER(SEARCH('לוח בקרה'!$E$9,מלאי!C183)))),1,0)</f>
        <v>0</v>
      </c>
      <c r="AE183" t="e">
        <f>IF(AND(מלאי!D183&lt;&gt;"",OR('לוח בקרה טכנו-מבצעי'!$B$4="הכל",מלאי!Z183='לוח בקרה טכנו-מבצעי'!$B$4,מלאי!AA183='לוח בקרה טכנו-מבצעי'!$B$4,מלאי!AB183='לוח בקרה טכנו-מבצעי'!$B$4,מלאי!AC183='לוח בקרה טכנו-מבצעי'!$B$4),OR('לוח בקרה טכנו-מבצעי'!$B$5="הכל",מלאי!A183='לוח בקרה טכנו-מבצעי'!$B$5),OR('לוח בקרה טכנו-מבצעי'!$B$6="הכל",מלאי!B183='לוח בקרה טכנו-מבצעי'!$B$6),OR('לוח בקרה טכנו-מבצעי'!$B$7="הכל",מלאי!F183='לוח בקרה טכנו-מבצעי'!$B$7,מלאי!G183='לוח בקרה טכנו-מבצעי'!$B$7),OR('לוח בקרה טכנו-מבצעי'!$B$8="הכל",מלאי!T183='לוח בקרה טכנו-מבצעי'!$B$8),OR('לוח בקרה טכנו-מבצעי'!$B$9="הכל",מלאי!Q183='לוח בקרה טכנו-מבצעי'!$B$9),OR('לוח בקרה טכנו-מבצעי'!$E$4="הכל",מלאי!J183='לוח בקרה טכנו-מבצעי'!$E$4),OR('לוח בקרה טכנו-מבצעי'!$E$5="הכל",מלאי!L183='לוח בקרה טכנו-מבצעי'!$E$5),OR('לוח בקרה טכנו-מבצעי'!$E$6="הכל",מלאי!O183='לוח בקרה טכנו-מבצעי'!$E$6),OR('לוח בקרה טכנו-מבצעי'!$E$7="הכל",מלאי!R183='לוח בקרה טכנו-מבצעי'!$E$7),OR('לוח בקרה טכנו-מבצעי'!$E$8="הכל",'לוח בקרה טכנו-מבצעי'!$E$8="",מלאי!W183='לוח בקרה טכנו-מבצעי'!$E$8),OR('לוח בקרה טכנו-מבצעי'!$E$9="הכל",'לוח בקרה טכנו-מבצעי'!$E$9="",ISNUMBER(SEARCH('לוח בקרה טכנו-מבצעי'!$E$9,מלאי!C183))),OR('לוח בקרה טכנו-מבצעי'!$B$10="הכל",מלאי!#REF!='לוח בקרה טכנו-מבצעי'!$B$10)),1,0)</f>
        <v>#REF!</v>
      </c>
      <c r="AF183" t="str">
        <f>IF(AD183=1,COUNTIF($AD$3:$AD183,1),"")</f>
        <v/>
      </c>
      <c r="AG183" t="e">
        <f>IF(AE183=1,COUNTIF($AE$3:$AE183,1),"")</f>
        <v>#REF!</v>
      </c>
    </row>
    <row r="184" spans="1:33" ht="15" customHeight="1" x14ac:dyDescent="0.25">
      <c r="A184" s="17"/>
      <c r="B184" s="17"/>
      <c r="C184" s="17"/>
      <c r="D184" s="17"/>
      <c r="E184" s="17" t="str">
        <f>IFERROR(INDEX(הגדרות!$I$2:$I$47,MATCH(B184,הגדרות!$H$2:$H$47,0)),"")</f>
        <v/>
      </c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t="str">
        <f>IFERROR(INDEX(הגדרות!$B$2:$B$17,MATCH(H184,הגדרות!$A$2:$A$17,0)),"")</f>
        <v/>
      </c>
      <c r="AA184" t="str">
        <f>IFERROR(INDEX(הגדרות!$C$2:$C$17,MATCH(H184,הגדרות!$A$2:$A$17,0)),"")</f>
        <v/>
      </c>
      <c r="AB184" t="str">
        <f>IFERROR(INDEX(הגדרות!$B$2:$B$17,MATCH(I184,הגדרות!$A$2:$A$17,0)),"")</f>
        <v/>
      </c>
      <c r="AC184" t="str">
        <f>IFERROR(INDEX(הגדרות!$C$2:$C$17,MATCH(I184,הגדרות!$A$2:$A$17,0)),"")</f>
        <v/>
      </c>
      <c r="AD184">
        <f>IF(AND(מלאי!D184&lt;&gt;"",OR('לוח בקרה'!$B$4="הכל",מלאי!Z184='לוח בקרה'!$B$4,מלאי!AA184='לוח בקרה'!$B$4,מלאי!AB184='לוח בקרה'!$B$4,מלאי!AC184='לוח בקרה'!$B$4),OR('לוח בקרה'!$B$5="הכל",מלאי!A184='לוח בקרה'!$B$5),OR('לוח בקרה'!$B$6="הכל",מלאי!B184='לוח בקרה'!$B$6),OR('לוח בקרה'!$B$7="הכל",מלאי!F184='לוח בקרה'!$B$7,מלאי!G184='לוח בקרה'!$B$7),OR('לוח בקרה'!$B$8="הכל",מלאי!T184='לוח בקרה'!$B$8),OR('לוח בקרה'!$B$9="הכל",מלאי!Q184='לוח בקרה'!$B$9),OR('לוח בקרה'!$E$4="הכל",מלאי!J184='לוח בקרה'!$E$4),OR('לוח בקרה'!$E$5="הכל",מלאי!L184='לוח בקרה'!$E$5),OR('לוח בקרה'!$E$6="הכל",מלאי!O184='לוח בקרה'!$E$6),OR('לוח בקרה'!$E$7="הכל",מלאי!R184='לוח בקרה'!$E$7),OR('לוח בקרה'!$E$8="הכל",'לוח בקרה'!$E$8="",מלאי!W184='לוח בקרה'!$E$8),OR('לוח בקרה'!$E$9="הכל",'לוח בקרה'!$E$9="",ISNUMBER(SEARCH('לוח בקרה'!$E$9,מלאי!C184)))),1,0)</f>
        <v>0</v>
      </c>
      <c r="AE184" t="e">
        <f>IF(AND(מלאי!D184&lt;&gt;"",OR('לוח בקרה טכנו-מבצעי'!$B$4="הכל",מלאי!Z184='לוח בקרה טכנו-מבצעי'!$B$4,מלאי!AA184='לוח בקרה טכנו-מבצעי'!$B$4,מלאי!AB184='לוח בקרה טכנו-מבצעי'!$B$4,מלאי!AC184='לוח בקרה טכנו-מבצעי'!$B$4),OR('לוח בקרה טכנו-מבצעי'!$B$5="הכל",מלאי!A184='לוח בקרה טכנו-מבצעי'!$B$5),OR('לוח בקרה טכנו-מבצעי'!$B$6="הכל",מלאי!B184='לוח בקרה טכנו-מבצעי'!$B$6),OR('לוח בקרה טכנו-מבצעי'!$B$7="הכל",מלאי!F184='לוח בקרה טכנו-מבצעי'!$B$7,מלאי!G184='לוח בקרה טכנו-מבצעי'!$B$7),OR('לוח בקרה טכנו-מבצעי'!$B$8="הכל",מלאי!T184='לוח בקרה טכנו-מבצעי'!$B$8),OR('לוח בקרה טכנו-מבצעי'!$B$9="הכל",מלאי!Q184='לוח בקרה טכנו-מבצעי'!$B$9),OR('לוח בקרה טכנו-מבצעי'!$E$4="הכל",מלאי!J184='לוח בקרה טכנו-מבצעי'!$E$4),OR('לוח בקרה טכנו-מבצעי'!$E$5="הכל",מלאי!L184='לוח בקרה טכנו-מבצעי'!$E$5),OR('לוח בקרה טכנו-מבצעי'!$E$6="הכל",מלאי!O184='לוח בקרה טכנו-מבצעי'!$E$6),OR('לוח בקרה טכנו-מבצעי'!$E$7="הכל",מלאי!R184='לוח בקרה טכנו-מבצעי'!$E$7),OR('לוח בקרה טכנו-מבצעי'!$E$8="הכל",'לוח בקרה טכנו-מבצעי'!$E$8="",מלאי!W184='לוח בקרה טכנו-מבצעי'!$E$8),OR('לוח בקרה טכנו-מבצעי'!$E$9="הכל",'לוח בקרה טכנו-מבצעי'!$E$9="",ISNUMBER(SEARCH('לוח בקרה טכנו-מבצעי'!$E$9,מלאי!C184))),OR('לוח בקרה טכנו-מבצעי'!$B$10="הכל",מלאי!#REF!='לוח בקרה טכנו-מבצעי'!$B$10)),1,0)</f>
        <v>#REF!</v>
      </c>
      <c r="AF184" t="str">
        <f>IF(AD184=1,COUNTIF($AD$3:$AD184,1),"")</f>
        <v/>
      </c>
      <c r="AG184" t="e">
        <f>IF(AE184=1,COUNTIF($AE$3:$AE184,1),"")</f>
        <v>#REF!</v>
      </c>
    </row>
    <row r="185" spans="1:33" ht="15" customHeight="1" x14ac:dyDescent="0.25">
      <c r="A185" s="19"/>
      <c r="B185" s="19"/>
      <c r="C185" s="19"/>
      <c r="D185" s="19"/>
      <c r="E185" s="19" t="str">
        <f>IFERROR(INDEX(הגדרות!$I$2:$I$47,MATCH(B185,הגדרות!$H$2:$H$47,0)),"")</f>
        <v/>
      </c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t="str">
        <f>IFERROR(INDEX(הגדרות!$B$2:$B$17,MATCH(H185,הגדרות!$A$2:$A$17,0)),"")</f>
        <v/>
      </c>
      <c r="AA185" t="str">
        <f>IFERROR(INDEX(הגדרות!$C$2:$C$17,MATCH(H185,הגדרות!$A$2:$A$17,0)),"")</f>
        <v/>
      </c>
      <c r="AB185" t="str">
        <f>IFERROR(INDEX(הגדרות!$B$2:$B$17,MATCH(I185,הגדרות!$A$2:$A$17,0)),"")</f>
        <v/>
      </c>
      <c r="AC185" t="str">
        <f>IFERROR(INDEX(הגדרות!$C$2:$C$17,MATCH(I185,הגדרות!$A$2:$A$17,0)),"")</f>
        <v/>
      </c>
      <c r="AD185">
        <f>IF(AND(מלאי!D185&lt;&gt;"",OR('לוח בקרה'!$B$4="הכל",מלאי!Z185='לוח בקרה'!$B$4,מלאי!AA185='לוח בקרה'!$B$4,מלאי!AB185='לוח בקרה'!$B$4,מלאי!AC185='לוח בקרה'!$B$4),OR('לוח בקרה'!$B$5="הכל",מלאי!A185='לוח בקרה'!$B$5),OR('לוח בקרה'!$B$6="הכל",מלאי!B185='לוח בקרה'!$B$6),OR('לוח בקרה'!$B$7="הכל",מלאי!F185='לוח בקרה'!$B$7,מלאי!G185='לוח בקרה'!$B$7),OR('לוח בקרה'!$B$8="הכל",מלאי!T185='לוח בקרה'!$B$8),OR('לוח בקרה'!$B$9="הכל",מלאי!Q185='לוח בקרה'!$B$9),OR('לוח בקרה'!$E$4="הכל",מלאי!J185='לוח בקרה'!$E$4),OR('לוח בקרה'!$E$5="הכל",מלאי!L185='לוח בקרה'!$E$5),OR('לוח בקרה'!$E$6="הכל",מלאי!O185='לוח בקרה'!$E$6),OR('לוח בקרה'!$E$7="הכל",מלאי!R185='לוח בקרה'!$E$7),OR('לוח בקרה'!$E$8="הכל",'לוח בקרה'!$E$8="",מלאי!W185='לוח בקרה'!$E$8),OR('לוח בקרה'!$E$9="הכל",'לוח בקרה'!$E$9="",ISNUMBER(SEARCH('לוח בקרה'!$E$9,מלאי!C185)))),1,0)</f>
        <v>0</v>
      </c>
      <c r="AE185" t="e">
        <f>IF(AND(מלאי!D185&lt;&gt;"",OR('לוח בקרה טכנו-מבצעי'!$B$4="הכל",מלאי!Z185='לוח בקרה טכנו-מבצעי'!$B$4,מלאי!AA185='לוח בקרה טכנו-מבצעי'!$B$4,מלאי!AB185='לוח בקרה טכנו-מבצעי'!$B$4,מלאי!AC185='לוח בקרה טכנו-מבצעי'!$B$4),OR('לוח בקרה טכנו-מבצעי'!$B$5="הכל",מלאי!A185='לוח בקרה טכנו-מבצעי'!$B$5),OR('לוח בקרה טכנו-מבצעי'!$B$6="הכל",מלאי!B185='לוח בקרה טכנו-מבצעי'!$B$6),OR('לוח בקרה טכנו-מבצעי'!$B$7="הכל",מלאי!F185='לוח בקרה טכנו-מבצעי'!$B$7,מלאי!G185='לוח בקרה טכנו-מבצעי'!$B$7),OR('לוח בקרה טכנו-מבצעי'!$B$8="הכל",מלאי!T185='לוח בקרה טכנו-מבצעי'!$B$8),OR('לוח בקרה טכנו-מבצעי'!$B$9="הכל",מלאי!Q185='לוח בקרה טכנו-מבצעי'!$B$9),OR('לוח בקרה טכנו-מבצעי'!$E$4="הכל",מלאי!J185='לוח בקרה טכנו-מבצעי'!$E$4),OR('לוח בקרה טכנו-מבצעי'!$E$5="הכל",מלאי!L185='לוח בקרה טכנו-מבצעי'!$E$5),OR('לוח בקרה טכנו-מבצעי'!$E$6="הכל",מלאי!O185='לוח בקרה טכנו-מבצעי'!$E$6),OR('לוח בקרה טכנו-מבצעי'!$E$7="הכל",מלאי!R185='לוח בקרה טכנו-מבצעי'!$E$7),OR('לוח בקרה טכנו-מבצעי'!$E$8="הכל",'לוח בקרה טכנו-מבצעי'!$E$8="",מלאי!W185='לוח בקרה טכנו-מבצעי'!$E$8),OR('לוח בקרה טכנו-מבצעי'!$E$9="הכל",'לוח בקרה טכנו-מבצעי'!$E$9="",ISNUMBER(SEARCH('לוח בקרה טכנו-מבצעי'!$E$9,מלאי!C185))),OR('לוח בקרה טכנו-מבצעי'!$B$10="הכל",מלאי!#REF!='לוח בקרה טכנו-מבצעי'!$B$10)),1,0)</f>
        <v>#REF!</v>
      </c>
      <c r="AF185" t="str">
        <f>IF(AD185=1,COUNTIF($AD$3:$AD185,1),"")</f>
        <v/>
      </c>
      <c r="AG185" t="e">
        <f>IF(AE185=1,COUNTIF($AE$3:$AE185,1),"")</f>
        <v>#REF!</v>
      </c>
    </row>
    <row r="186" spans="1:33" ht="15" customHeight="1" x14ac:dyDescent="0.25">
      <c r="A186" s="17"/>
      <c r="B186" s="17"/>
      <c r="C186" s="17"/>
      <c r="D186" s="17"/>
      <c r="E186" s="17" t="str">
        <f>IFERROR(INDEX(הגדרות!$I$2:$I$47,MATCH(B186,הגדרות!$H$2:$H$47,0)),"")</f>
        <v/>
      </c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t="str">
        <f>IFERROR(INDEX(הגדרות!$B$2:$B$17,MATCH(H186,הגדרות!$A$2:$A$17,0)),"")</f>
        <v/>
      </c>
      <c r="AA186" t="str">
        <f>IFERROR(INDEX(הגדרות!$C$2:$C$17,MATCH(H186,הגדרות!$A$2:$A$17,0)),"")</f>
        <v/>
      </c>
      <c r="AB186" t="str">
        <f>IFERROR(INDEX(הגדרות!$B$2:$B$17,MATCH(I186,הגדרות!$A$2:$A$17,0)),"")</f>
        <v/>
      </c>
      <c r="AC186" t="str">
        <f>IFERROR(INDEX(הגדרות!$C$2:$C$17,MATCH(I186,הגדרות!$A$2:$A$17,0)),"")</f>
        <v/>
      </c>
      <c r="AD186">
        <f>IF(AND(מלאי!D186&lt;&gt;"",OR('לוח בקרה'!$B$4="הכל",מלאי!Z186='לוח בקרה'!$B$4,מלאי!AA186='לוח בקרה'!$B$4,מלאי!AB186='לוח בקרה'!$B$4,מלאי!AC186='לוח בקרה'!$B$4),OR('לוח בקרה'!$B$5="הכל",מלאי!A186='לוח בקרה'!$B$5),OR('לוח בקרה'!$B$6="הכל",מלאי!B186='לוח בקרה'!$B$6),OR('לוח בקרה'!$B$7="הכל",מלאי!F186='לוח בקרה'!$B$7,מלאי!G186='לוח בקרה'!$B$7),OR('לוח בקרה'!$B$8="הכל",מלאי!T186='לוח בקרה'!$B$8),OR('לוח בקרה'!$B$9="הכל",מלאי!Q186='לוח בקרה'!$B$9),OR('לוח בקרה'!$E$4="הכל",מלאי!J186='לוח בקרה'!$E$4),OR('לוח בקרה'!$E$5="הכל",מלאי!L186='לוח בקרה'!$E$5),OR('לוח בקרה'!$E$6="הכל",מלאי!O186='לוח בקרה'!$E$6),OR('לוח בקרה'!$E$7="הכל",מלאי!R186='לוח בקרה'!$E$7),OR('לוח בקרה'!$E$8="הכל",'לוח בקרה'!$E$8="",מלאי!W186='לוח בקרה'!$E$8),OR('לוח בקרה'!$E$9="הכל",'לוח בקרה'!$E$9="",ISNUMBER(SEARCH('לוח בקרה'!$E$9,מלאי!C186)))),1,0)</f>
        <v>0</v>
      </c>
      <c r="AE186" t="e">
        <f>IF(AND(מלאי!D186&lt;&gt;"",OR('לוח בקרה טכנו-מבצעי'!$B$4="הכל",מלאי!Z186='לוח בקרה טכנו-מבצעי'!$B$4,מלאי!AA186='לוח בקרה טכנו-מבצעי'!$B$4,מלאי!AB186='לוח בקרה טכנו-מבצעי'!$B$4,מלאי!AC186='לוח בקרה טכנו-מבצעי'!$B$4),OR('לוח בקרה טכנו-מבצעי'!$B$5="הכל",מלאי!A186='לוח בקרה טכנו-מבצעי'!$B$5),OR('לוח בקרה טכנו-מבצעי'!$B$6="הכל",מלאי!B186='לוח בקרה טכנו-מבצעי'!$B$6),OR('לוח בקרה טכנו-מבצעי'!$B$7="הכל",מלאי!F186='לוח בקרה טכנו-מבצעי'!$B$7,מלאי!G186='לוח בקרה טכנו-מבצעי'!$B$7),OR('לוח בקרה טכנו-מבצעי'!$B$8="הכל",מלאי!T186='לוח בקרה טכנו-מבצעי'!$B$8),OR('לוח בקרה טכנו-מבצעי'!$B$9="הכל",מלאי!Q186='לוח בקרה טכנו-מבצעי'!$B$9),OR('לוח בקרה טכנו-מבצעי'!$E$4="הכל",מלאי!J186='לוח בקרה טכנו-מבצעי'!$E$4),OR('לוח בקרה טכנו-מבצעי'!$E$5="הכל",מלאי!L186='לוח בקרה טכנו-מבצעי'!$E$5),OR('לוח בקרה טכנו-מבצעי'!$E$6="הכל",מלאי!O186='לוח בקרה טכנו-מבצעי'!$E$6),OR('לוח בקרה טכנו-מבצעי'!$E$7="הכל",מלאי!R186='לוח בקרה טכנו-מבצעי'!$E$7),OR('לוח בקרה טכנו-מבצעי'!$E$8="הכל",'לוח בקרה טכנו-מבצעי'!$E$8="",מלאי!W186='לוח בקרה טכנו-מבצעי'!$E$8),OR('לוח בקרה טכנו-מבצעי'!$E$9="הכל",'לוח בקרה טכנו-מבצעי'!$E$9="",ISNUMBER(SEARCH('לוח בקרה טכנו-מבצעי'!$E$9,מלאי!C186))),OR('לוח בקרה טכנו-מבצעי'!$B$10="הכל",מלאי!#REF!='לוח בקרה טכנו-מבצעי'!$B$10)),1,0)</f>
        <v>#REF!</v>
      </c>
      <c r="AF186" t="str">
        <f>IF(AD186=1,COUNTIF($AD$3:$AD186,1),"")</f>
        <v/>
      </c>
      <c r="AG186" t="e">
        <f>IF(AE186=1,COUNTIF($AE$3:$AE186,1),"")</f>
        <v>#REF!</v>
      </c>
    </row>
    <row r="187" spans="1:33" ht="15" customHeight="1" x14ac:dyDescent="0.25">
      <c r="A187" s="19"/>
      <c r="B187" s="19"/>
      <c r="C187" s="19"/>
      <c r="D187" s="19"/>
      <c r="E187" s="19" t="str">
        <f>IFERROR(INDEX(הגדרות!$I$2:$I$47,MATCH(B187,הגדרות!$H$2:$H$47,0)),"")</f>
        <v/>
      </c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t="str">
        <f>IFERROR(INDEX(הגדרות!$B$2:$B$17,MATCH(H187,הגדרות!$A$2:$A$17,0)),"")</f>
        <v/>
      </c>
      <c r="AA187" t="str">
        <f>IFERROR(INDEX(הגדרות!$C$2:$C$17,MATCH(H187,הגדרות!$A$2:$A$17,0)),"")</f>
        <v/>
      </c>
      <c r="AB187" t="str">
        <f>IFERROR(INDEX(הגדרות!$B$2:$B$17,MATCH(I187,הגדרות!$A$2:$A$17,0)),"")</f>
        <v/>
      </c>
      <c r="AC187" t="str">
        <f>IFERROR(INDEX(הגדרות!$C$2:$C$17,MATCH(I187,הגדרות!$A$2:$A$17,0)),"")</f>
        <v/>
      </c>
      <c r="AD187">
        <f>IF(AND(מלאי!D187&lt;&gt;"",OR('לוח בקרה'!$B$4="הכל",מלאי!Z187='לוח בקרה'!$B$4,מלאי!AA187='לוח בקרה'!$B$4,מלאי!AB187='לוח בקרה'!$B$4,מלאי!AC187='לוח בקרה'!$B$4),OR('לוח בקרה'!$B$5="הכל",מלאי!A187='לוח בקרה'!$B$5),OR('לוח בקרה'!$B$6="הכל",מלאי!B187='לוח בקרה'!$B$6),OR('לוח בקרה'!$B$7="הכל",מלאי!F187='לוח בקרה'!$B$7,מלאי!G187='לוח בקרה'!$B$7),OR('לוח בקרה'!$B$8="הכל",מלאי!T187='לוח בקרה'!$B$8),OR('לוח בקרה'!$B$9="הכל",מלאי!Q187='לוח בקרה'!$B$9),OR('לוח בקרה'!$E$4="הכל",מלאי!J187='לוח בקרה'!$E$4),OR('לוח בקרה'!$E$5="הכל",מלאי!L187='לוח בקרה'!$E$5),OR('לוח בקרה'!$E$6="הכל",מלאי!O187='לוח בקרה'!$E$6),OR('לוח בקרה'!$E$7="הכל",מלאי!R187='לוח בקרה'!$E$7),OR('לוח בקרה'!$E$8="הכל",'לוח בקרה'!$E$8="",מלאי!W187='לוח בקרה'!$E$8),OR('לוח בקרה'!$E$9="הכל",'לוח בקרה'!$E$9="",ISNUMBER(SEARCH('לוח בקרה'!$E$9,מלאי!C187)))),1,0)</f>
        <v>0</v>
      </c>
      <c r="AE187" t="e">
        <f>IF(AND(מלאי!D187&lt;&gt;"",OR('לוח בקרה טכנו-מבצעי'!$B$4="הכל",מלאי!Z187='לוח בקרה טכנו-מבצעי'!$B$4,מלאי!AA187='לוח בקרה טכנו-מבצעי'!$B$4,מלאי!AB187='לוח בקרה טכנו-מבצעי'!$B$4,מלאי!AC187='לוח בקרה טכנו-מבצעי'!$B$4),OR('לוח בקרה טכנו-מבצעי'!$B$5="הכל",מלאי!A187='לוח בקרה טכנו-מבצעי'!$B$5),OR('לוח בקרה טכנו-מבצעי'!$B$6="הכל",מלאי!B187='לוח בקרה טכנו-מבצעי'!$B$6),OR('לוח בקרה טכנו-מבצעי'!$B$7="הכל",מלאי!F187='לוח בקרה טכנו-מבצעי'!$B$7,מלאי!G187='לוח בקרה טכנו-מבצעי'!$B$7),OR('לוח בקרה טכנו-מבצעי'!$B$8="הכל",מלאי!T187='לוח בקרה טכנו-מבצעי'!$B$8),OR('לוח בקרה טכנו-מבצעי'!$B$9="הכל",מלאי!Q187='לוח בקרה טכנו-מבצעי'!$B$9),OR('לוח בקרה טכנו-מבצעי'!$E$4="הכל",מלאי!J187='לוח בקרה טכנו-מבצעי'!$E$4),OR('לוח בקרה טכנו-מבצעי'!$E$5="הכל",מלאי!L187='לוח בקרה טכנו-מבצעי'!$E$5),OR('לוח בקרה טכנו-מבצעי'!$E$6="הכל",מלאי!O187='לוח בקרה טכנו-מבצעי'!$E$6),OR('לוח בקרה טכנו-מבצעי'!$E$7="הכל",מלאי!R187='לוח בקרה טכנו-מבצעי'!$E$7),OR('לוח בקרה טכנו-מבצעי'!$E$8="הכל",'לוח בקרה טכנו-מבצעי'!$E$8="",מלאי!W187='לוח בקרה טכנו-מבצעי'!$E$8),OR('לוח בקרה טכנו-מבצעי'!$E$9="הכל",'לוח בקרה טכנו-מבצעי'!$E$9="",ISNUMBER(SEARCH('לוח בקרה טכנו-מבצעי'!$E$9,מלאי!C187))),OR('לוח בקרה טכנו-מבצעי'!$B$10="הכל",מלאי!#REF!='לוח בקרה טכנו-מבצעי'!$B$10)),1,0)</f>
        <v>#REF!</v>
      </c>
      <c r="AF187" t="str">
        <f>IF(AD187=1,COUNTIF($AD$3:$AD187,1),"")</f>
        <v/>
      </c>
      <c r="AG187" t="e">
        <f>IF(AE187=1,COUNTIF($AE$3:$AE187,1),"")</f>
        <v>#REF!</v>
      </c>
    </row>
    <row r="188" spans="1:33" ht="15" customHeight="1" x14ac:dyDescent="0.25">
      <c r="A188" s="17"/>
      <c r="B188" s="17"/>
      <c r="C188" s="17"/>
      <c r="D188" s="17"/>
      <c r="E188" s="17" t="str">
        <f>IFERROR(INDEX(הגדרות!$I$2:$I$47,MATCH(B188,הגדרות!$H$2:$H$47,0)),"")</f>
        <v/>
      </c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t="str">
        <f>IFERROR(INDEX(הגדרות!$B$2:$B$17,MATCH(H188,הגדרות!$A$2:$A$17,0)),"")</f>
        <v/>
      </c>
      <c r="AA188" t="str">
        <f>IFERROR(INDEX(הגדרות!$C$2:$C$17,MATCH(H188,הגדרות!$A$2:$A$17,0)),"")</f>
        <v/>
      </c>
      <c r="AB188" t="str">
        <f>IFERROR(INDEX(הגדרות!$B$2:$B$17,MATCH(I188,הגדרות!$A$2:$A$17,0)),"")</f>
        <v/>
      </c>
      <c r="AC188" t="str">
        <f>IFERROR(INDEX(הגדרות!$C$2:$C$17,MATCH(I188,הגדרות!$A$2:$A$17,0)),"")</f>
        <v/>
      </c>
      <c r="AD188">
        <f>IF(AND(מלאי!D188&lt;&gt;"",OR('לוח בקרה'!$B$4="הכל",מלאי!Z188='לוח בקרה'!$B$4,מלאי!AA188='לוח בקרה'!$B$4,מלאי!AB188='לוח בקרה'!$B$4,מלאי!AC188='לוח בקרה'!$B$4),OR('לוח בקרה'!$B$5="הכל",מלאי!A188='לוח בקרה'!$B$5),OR('לוח בקרה'!$B$6="הכל",מלאי!B188='לוח בקרה'!$B$6),OR('לוח בקרה'!$B$7="הכל",מלאי!F188='לוח בקרה'!$B$7,מלאי!G188='לוח בקרה'!$B$7),OR('לוח בקרה'!$B$8="הכל",מלאי!T188='לוח בקרה'!$B$8),OR('לוח בקרה'!$B$9="הכל",מלאי!Q188='לוח בקרה'!$B$9),OR('לוח בקרה'!$E$4="הכל",מלאי!J188='לוח בקרה'!$E$4),OR('לוח בקרה'!$E$5="הכל",מלאי!L188='לוח בקרה'!$E$5),OR('לוח בקרה'!$E$6="הכל",מלאי!O188='לוח בקרה'!$E$6),OR('לוח בקרה'!$E$7="הכל",מלאי!R188='לוח בקרה'!$E$7),OR('לוח בקרה'!$E$8="הכל",'לוח בקרה'!$E$8="",מלאי!W188='לוח בקרה'!$E$8),OR('לוח בקרה'!$E$9="הכל",'לוח בקרה'!$E$9="",ISNUMBER(SEARCH('לוח בקרה'!$E$9,מלאי!C188)))),1,0)</f>
        <v>0</v>
      </c>
      <c r="AE188" t="e">
        <f>IF(AND(מלאי!D188&lt;&gt;"",OR('לוח בקרה טכנו-מבצעי'!$B$4="הכל",מלאי!Z188='לוח בקרה טכנו-מבצעי'!$B$4,מלאי!AA188='לוח בקרה טכנו-מבצעי'!$B$4,מלאי!AB188='לוח בקרה טכנו-מבצעי'!$B$4,מלאי!AC188='לוח בקרה טכנו-מבצעי'!$B$4),OR('לוח בקרה טכנו-מבצעי'!$B$5="הכל",מלאי!A188='לוח בקרה טכנו-מבצעי'!$B$5),OR('לוח בקרה טכנו-מבצעי'!$B$6="הכל",מלאי!B188='לוח בקרה טכנו-מבצעי'!$B$6),OR('לוח בקרה טכנו-מבצעי'!$B$7="הכל",מלאי!F188='לוח בקרה טכנו-מבצעי'!$B$7,מלאי!G188='לוח בקרה טכנו-מבצעי'!$B$7),OR('לוח בקרה טכנו-מבצעי'!$B$8="הכל",מלאי!T188='לוח בקרה טכנו-מבצעי'!$B$8),OR('לוח בקרה טכנו-מבצעי'!$B$9="הכל",מלאי!Q188='לוח בקרה טכנו-מבצעי'!$B$9),OR('לוח בקרה טכנו-מבצעי'!$E$4="הכל",מלאי!J188='לוח בקרה טכנו-מבצעי'!$E$4),OR('לוח בקרה טכנו-מבצעי'!$E$5="הכל",מלאי!L188='לוח בקרה טכנו-מבצעי'!$E$5),OR('לוח בקרה טכנו-מבצעי'!$E$6="הכל",מלאי!O188='לוח בקרה טכנו-מבצעי'!$E$6),OR('לוח בקרה טכנו-מבצעי'!$E$7="הכל",מלאי!R188='לוח בקרה טכנו-מבצעי'!$E$7),OR('לוח בקרה טכנו-מבצעי'!$E$8="הכל",'לוח בקרה טכנו-מבצעי'!$E$8="",מלאי!W188='לוח בקרה טכנו-מבצעי'!$E$8),OR('לוח בקרה טכנו-מבצעי'!$E$9="הכל",'לוח בקרה טכנו-מבצעי'!$E$9="",ISNUMBER(SEARCH('לוח בקרה טכנו-מבצעי'!$E$9,מלאי!C188))),OR('לוח בקרה טכנו-מבצעי'!$B$10="הכל",מלאי!#REF!='לוח בקרה טכנו-מבצעי'!$B$10)),1,0)</f>
        <v>#REF!</v>
      </c>
      <c r="AF188" t="str">
        <f>IF(AD188=1,COUNTIF($AD$3:$AD188,1),"")</f>
        <v/>
      </c>
      <c r="AG188" t="e">
        <f>IF(AE188=1,COUNTIF($AE$3:$AE188,1),"")</f>
        <v>#REF!</v>
      </c>
    </row>
    <row r="189" spans="1:33" ht="15" customHeight="1" x14ac:dyDescent="0.25">
      <c r="A189" s="19"/>
      <c r="B189" s="19"/>
      <c r="C189" s="19"/>
      <c r="D189" s="19"/>
      <c r="E189" s="19" t="str">
        <f>IFERROR(INDEX(הגדרות!$I$2:$I$47,MATCH(B189,הגדרות!$H$2:$H$47,0)),"")</f>
        <v/>
      </c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t="str">
        <f>IFERROR(INDEX(הגדרות!$B$2:$B$17,MATCH(H189,הגדרות!$A$2:$A$17,0)),"")</f>
        <v/>
      </c>
      <c r="AA189" t="str">
        <f>IFERROR(INDEX(הגדרות!$C$2:$C$17,MATCH(H189,הגדרות!$A$2:$A$17,0)),"")</f>
        <v/>
      </c>
      <c r="AB189" t="str">
        <f>IFERROR(INDEX(הגדרות!$B$2:$B$17,MATCH(I189,הגדרות!$A$2:$A$17,0)),"")</f>
        <v/>
      </c>
      <c r="AC189" t="str">
        <f>IFERROR(INDEX(הגדרות!$C$2:$C$17,MATCH(I189,הגדרות!$A$2:$A$17,0)),"")</f>
        <v/>
      </c>
      <c r="AD189">
        <f>IF(AND(מלאי!D189&lt;&gt;"",OR('לוח בקרה'!$B$4="הכל",מלאי!Z189='לוח בקרה'!$B$4,מלאי!AA189='לוח בקרה'!$B$4,מלאי!AB189='לוח בקרה'!$B$4,מלאי!AC189='לוח בקרה'!$B$4),OR('לוח בקרה'!$B$5="הכל",מלאי!A189='לוח בקרה'!$B$5),OR('לוח בקרה'!$B$6="הכל",מלאי!B189='לוח בקרה'!$B$6),OR('לוח בקרה'!$B$7="הכל",מלאי!F189='לוח בקרה'!$B$7,מלאי!G189='לוח בקרה'!$B$7),OR('לוח בקרה'!$B$8="הכל",מלאי!T189='לוח בקרה'!$B$8),OR('לוח בקרה'!$B$9="הכל",מלאי!Q189='לוח בקרה'!$B$9),OR('לוח בקרה'!$E$4="הכל",מלאי!J189='לוח בקרה'!$E$4),OR('לוח בקרה'!$E$5="הכל",מלאי!L189='לוח בקרה'!$E$5),OR('לוח בקרה'!$E$6="הכל",מלאי!O189='לוח בקרה'!$E$6),OR('לוח בקרה'!$E$7="הכל",מלאי!R189='לוח בקרה'!$E$7),OR('לוח בקרה'!$E$8="הכל",'לוח בקרה'!$E$8="",מלאי!W189='לוח בקרה'!$E$8),OR('לוח בקרה'!$E$9="הכל",'לוח בקרה'!$E$9="",ISNUMBER(SEARCH('לוח בקרה'!$E$9,מלאי!C189)))),1,0)</f>
        <v>0</v>
      </c>
      <c r="AE189" t="e">
        <f>IF(AND(מלאי!D189&lt;&gt;"",OR('לוח בקרה טכנו-מבצעי'!$B$4="הכל",מלאי!Z189='לוח בקרה טכנו-מבצעי'!$B$4,מלאי!AA189='לוח בקרה טכנו-מבצעי'!$B$4,מלאי!AB189='לוח בקרה טכנו-מבצעי'!$B$4,מלאי!AC189='לוח בקרה טכנו-מבצעי'!$B$4),OR('לוח בקרה טכנו-מבצעי'!$B$5="הכל",מלאי!A189='לוח בקרה טכנו-מבצעי'!$B$5),OR('לוח בקרה טכנו-מבצעי'!$B$6="הכל",מלאי!B189='לוח בקרה טכנו-מבצעי'!$B$6),OR('לוח בקרה טכנו-מבצעי'!$B$7="הכל",מלאי!F189='לוח בקרה טכנו-מבצעי'!$B$7,מלאי!G189='לוח בקרה טכנו-מבצעי'!$B$7),OR('לוח בקרה טכנו-מבצעי'!$B$8="הכל",מלאי!T189='לוח בקרה טכנו-מבצעי'!$B$8),OR('לוח בקרה טכנו-מבצעי'!$B$9="הכל",מלאי!Q189='לוח בקרה טכנו-מבצעי'!$B$9),OR('לוח בקרה טכנו-מבצעי'!$E$4="הכל",מלאי!J189='לוח בקרה טכנו-מבצעי'!$E$4),OR('לוח בקרה טכנו-מבצעי'!$E$5="הכל",מלאי!L189='לוח בקרה טכנו-מבצעי'!$E$5),OR('לוח בקרה טכנו-מבצעי'!$E$6="הכל",מלאי!O189='לוח בקרה טכנו-מבצעי'!$E$6),OR('לוח בקרה טכנו-מבצעי'!$E$7="הכל",מלאי!R189='לוח בקרה טכנו-מבצעי'!$E$7),OR('לוח בקרה טכנו-מבצעי'!$E$8="הכל",'לוח בקרה טכנו-מבצעי'!$E$8="",מלאי!W189='לוח בקרה טכנו-מבצעי'!$E$8),OR('לוח בקרה טכנו-מבצעי'!$E$9="הכל",'לוח בקרה טכנו-מבצעי'!$E$9="",ISNUMBER(SEARCH('לוח בקרה טכנו-מבצעי'!$E$9,מלאי!C189))),OR('לוח בקרה טכנו-מבצעי'!$B$10="הכל",מלאי!#REF!='לוח בקרה טכנו-מבצעי'!$B$10)),1,0)</f>
        <v>#REF!</v>
      </c>
      <c r="AF189" t="str">
        <f>IF(AD189=1,COUNTIF($AD$3:$AD189,1),"")</f>
        <v/>
      </c>
      <c r="AG189" t="e">
        <f>IF(AE189=1,COUNTIF($AE$3:$AE189,1),"")</f>
        <v>#REF!</v>
      </c>
    </row>
    <row r="190" spans="1:33" ht="15" customHeight="1" x14ac:dyDescent="0.25">
      <c r="A190" s="17"/>
      <c r="B190" s="17"/>
      <c r="C190" s="17"/>
      <c r="D190" s="17"/>
      <c r="E190" s="17" t="str">
        <f>IFERROR(INDEX(הגדרות!$I$2:$I$47,MATCH(B190,הגדרות!$H$2:$H$47,0)),"")</f>
        <v/>
      </c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t="str">
        <f>IFERROR(INDEX(הגדרות!$B$2:$B$17,MATCH(H190,הגדרות!$A$2:$A$17,0)),"")</f>
        <v/>
      </c>
      <c r="AA190" t="str">
        <f>IFERROR(INDEX(הגדרות!$C$2:$C$17,MATCH(H190,הגדרות!$A$2:$A$17,0)),"")</f>
        <v/>
      </c>
      <c r="AB190" t="str">
        <f>IFERROR(INDEX(הגדרות!$B$2:$B$17,MATCH(I190,הגדרות!$A$2:$A$17,0)),"")</f>
        <v/>
      </c>
      <c r="AC190" t="str">
        <f>IFERROR(INDEX(הגדרות!$C$2:$C$17,MATCH(I190,הגדרות!$A$2:$A$17,0)),"")</f>
        <v/>
      </c>
      <c r="AD190">
        <f>IF(AND(מלאי!D190&lt;&gt;"",OR('לוח בקרה'!$B$4="הכל",מלאי!Z190='לוח בקרה'!$B$4,מלאי!AA190='לוח בקרה'!$B$4,מלאי!AB190='לוח בקרה'!$B$4,מלאי!AC190='לוח בקרה'!$B$4),OR('לוח בקרה'!$B$5="הכל",מלאי!A190='לוח בקרה'!$B$5),OR('לוח בקרה'!$B$6="הכל",מלאי!B190='לוח בקרה'!$B$6),OR('לוח בקרה'!$B$7="הכל",מלאי!F190='לוח בקרה'!$B$7,מלאי!G190='לוח בקרה'!$B$7),OR('לוח בקרה'!$B$8="הכל",מלאי!T190='לוח בקרה'!$B$8),OR('לוח בקרה'!$B$9="הכל",מלאי!Q190='לוח בקרה'!$B$9),OR('לוח בקרה'!$E$4="הכל",מלאי!J190='לוח בקרה'!$E$4),OR('לוח בקרה'!$E$5="הכל",מלאי!L190='לוח בקרה'!$E$5),OR('לוח בקרה'!$E$6="הכל",מלאי!O190='לוח בקרה'!$E$6),OR('לוח בקרה'!$E$7="הכל",מלאי!R190='לוח בקרה'!$E$7),OR('לוח בקרה'!$E$8="הכל",'לוח בקרה'!$E$8="",מלאי!W190='לוח בקרה'!$E$8),OR('לוח בקרה'!$E$9="הכל",'לוח בקרה'!$E$9="",ISNUMBER(SEARCH('לוח בקרה'!$E$9,מלאי!C190)))),1,0)</f>
        <v>0</v>
      </c>
      <c r="AE190" t="e">
        <f>IF(AND(מלאי!D190&lt;&gt;"",OR('לוח בקרה טכנו-מבצעי'!$B$4="הכל",מלאי!Z190='לוח בקרה טכנו-מבצעי'!$B$4,מלאי!AA190='לוח בקרה טכנו-מבצעי'!$B$4,מלאי!AB190='לוח בקרה טכנו-מבצעי'!$B$4,מלאי!AC190='לוח בקרה טכנו-מבצעי'!$B$4),OR('לוח בקרה טכנו-מבצעי'!$B$5="הכל",מלאי!A190='לוח בקרה טכנו-מבצעי'!$B$5),OR('לוח בקרה טכנו-מבצעי'!$B$6="הכל",מלאי!B190='לוח בקרה טכנו-מבצעי'!$B$6),OR('לוח בקרה טכנו-מבצעי'!$B$7="הכל",מלאי!F190='לוח בקרה טכנו-מבצעי'!$B$7,מלאי!G190='לוח בקרה טכנו-מבצעי'!$B$7),OR('לוח בקרה טכנו-מבצעי'!$B$8="הכל",מלאי!T190='לוח בקרה טכנו-מבצעי'!$B$8),OR('לוח בקרה טכנו-מבצעי'!$B$9="הכל",מלאי!Q190='לוח בקרה טכנו-מבצעי'!$B$9),OR('לוח בקרה טכנו-מבצעי'!$E$4="הכל",מלאי!J190='לוח בקרה טכנו-מבצעי'!$E$4),OR('לוח בקרה טכנו-מבצעי'!$E$5="הכל",מלאי!L190='לוח בקרה טכנו-מבצעי'!$E$5),OR('לוח בקרה טכנו-מבצעי'!$E$6="הכל",מלאי!O190='לוח בקרה טכנו-מבצעי'!$E$6),OR('לוח בקרה טכנו-מבצעי'!$E$7="הכל",מלאי!R190='לוח בקרה טכנו-מבצעי'!$E$7),OR('לוח בקרה טכנו-מבצעי'!$E$8="הכל",'לוח בקרה טכנו-מבצעי'!$E$8="",מלאי!W190='לוח בקרה טכנו-מבצעי'!$E$8),OR('לוח בקרה טכנו-מבצעי'!$E$9="הכל",'לוח בקרה טכנו-מבצעי'!$E$9="",ISNUMBER(SEARCH('לוח בקרה טכנו-מבצעי'!$E$9,מלאי!C190))),OR('לוח בקרה טכנו-מבצעי'!$B$10="הכל",מלאי!#REF!='לוח בקרה טכנו-מבצעי'!$B$10)),1,0)</f>
        <v>#REF!</v>
      </c>
      <c r="AF190" t="str">
        <f>IF(AD190=1,COUNTIF($AD$3:$AD190,1),"")</f>
        <v/>
      </c>
      <c r="AG190" t="e">
        <f>IF(AE190=1,COUNTIF($AE$3:$AE190,1),"")</f>
        <v>#REF!</v>
      </c>
    </row>
    <row r="191" spans="1:33" ht="15" customHeight="1" x14ac:dyDescent="0.25">
      <c r="A191" s="19"/>
      <c r="B191" s="19"/>
      <c r="C191" s="19"/>
      <c r="D191" s="19"/>
      <c r="E191" s="19" t="str">
        <f>IFERROR(INDEX(הגדרות!$I$2:$I$47,MATCH(B191,הגדרות!$H$2:$H$47,0)),"")</f>
        <v/>
      </c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t="str">
        <f>IFERROR(INDEX(הגדרות!$B$2:$B$17,MATCH(H191,הגדרות!$A$2:$A$17,0)),"")</f>
        <v/>
      </c>
      <c r="AA191" t="str">
        <f>IFERROR(INDEX(הגדרות!$C$2:$C$17,MATCH(H191,הגדרות!$A$2:$A$17,0)),"")</f>
        <v/>
      </c>
      <c r="AB191" t="str">
        <f>IFERROR(INDEX(הגדרות!$B$2:$B$17,MATCH(I191,הגדרות!$A$2:$A$17,0)),"")</f>
        <v/>
      </c>
      <c r="AC191" t="str">
        <f>IFERROR(INDEX(הגדרות!$C$2:$C$17,MATCH(I191,הגדרות!$A$2:$A$17,0)),"")</f>
        <v/>
      </c>
      <c r="AD191">
        <f>IF(AND(מלאי!D191&lt;&gt;"",OR('לוח בקרה'!$B$4="הכל",מלאי!Z191='לוח בקרה'!$B$4,מלאי!AA191='לוח בקרה'!$B$4,מלאי!AB191='לוח בקרה'!$B$4,מלאי!AC191='לוח בקרה'!$B$4),OR('לוח בקרה'!$B$5="הכל",מלאי!A191='לוח בקרה'!$B$5),OR('לוח בקרה'!$B$6="הכל",מלאי!B191='לוח בקרה'!$B$6),OR('לוח בקרה'!$B$7="הכל",מלאי!F191='לוח בקרה'!$B$7,מלאי!G191='לוח בקרה'!$B$7),OR('לוח בקרה'!$B$8="הכל",מלאי!T191='לוח בקרה'!$B$8),OR('לוח בקרה'!$B$9="הכל",מלאי!Q191='לוח בקרה'!$B$9),OR('לוח בקרה'!$E$4="הכל",מלאי!J191='לוח בקרה'!$E$4),OR('לוח בקרה'!$E$5="הכל",מלאי!L191='לוח בקרה'!$E$5),OR('לוח בקרה'!$E$6="הכל",מלאי!O191='לוח בקרה'!$E$6),OR('לוח בקרה'!$E$7="הכל",מלאי!R191='לוח בקרה'!$E$7),OR('לוח בקרה'!$E$8="הכל",'לוח בקרה'!$E$8="",מלאי!W191='לוח בקרה'!$E$8),OR('לוח בקרה'!$E$9="הכל",'לוח בקרה'!$E$9="",ISNUMBER(SEARCH('לוח בקרה'!$E$9,מלאי!C191)))),1,0)</f>
        <v>0</v>
      </c>
      <c r="AE191" t="e">
        <f>IF(AND(מלאי!D191&lt;&gt;"",OR('לוח בקרה טכנו-מבצעי'!$B$4="הכל",מלאי!Z191='לוח בקרה טכנו-מבצעי'!$B$4,מלאי!AA191='לוח בקרה טכנו-מבצעי'!$B$4,מלאי!AB191='לוח בקרה טכנו-מבצעי'!$B$4,מלאי!AC191='לוח בקרה טכנו-מבצעי'!$B$4),OR('לוח בקרה טכנו-מבצעי'!$B$5="הכל",מלאי!A191='לוח בקרה טכנו-מבצעי'!$B$5),OR('לוח בקרה טכנו-מבצעי'!$B$6="הכל",מלאי!B191='לוח בקרה טכנו-מבצעי'!$B$6),OR('לוח בקרה טכנו-מבצעי'!$B$7="הכל",מלאי!F191='לוח בקרה טכנו-מבצעי'!$B$7,מלאי!G191='לוח בקרה טכנו-מבצעי'!$B$7),OR('לוח בקרה טכנו-מבצעי'!$B$8="הכל",מלאי!T191='לוח בקרה טכנו-מבצעי'!$B$8),OR('לוח בקרה טכנו-מבצעי'!$B$9="הכל",מלאי!Q191='לוח בקרה טכנו-מבצעי'!$B$9),OR('לוח בקרה טכנו-מבצעי'!$E$4="הכל",מלאי!J191='לוח בקרה טכנו-מבצעי'!$E$4),OR('לוח בקרה טכנו-מבצעי'!$E$5="הכל",מלאי!L191='לוח בקרה טכנו-מבצעי'!$E$5),OR('לוח בקרה טכנו-מבצעי'!$E$6="הכל",מלאי!O191='לוח בקרה טכנו-מבצעי'!$E$6),OR('לוח בקרה טכנו-מבצעי'!$E$7="הכל",מלאי!R191='לוח בקרה טכנו-מבצעי'!$E$7),OR('לוח בקרה טכנו-מבצעי'!$E$8="הכל",'לוח בקרה טכנו-מבצעי'!$E$8="",מלאי!W191='לוח בקרה טכנו-מבצעי'!$E$8),OR('לוח בקרה טכנו-מבצעי'!$E$9="הכל",'לוח בקרה טכנו-מבצעי'!$E$9="",ISNUMBER(SEARCH('לוח בקרה טכנו-מבצעי'!$E$9,מלאי!C191))),OR('לוח בקרה טכנו-מבצעי'!$B$10="הכל",מלאי!#REF!='לוח בקרה טכנו-מבצעי'!$B$10)),1,0)</f>
        <v>#REF!</v>
      </c>
      <c r="AF191" t="str">
        <f>IF(AD191=1,COUNTIF($AD$3:$AD191,1),"")</f>
        <v/>
      </c>
      <c r="AG191" t="e">
        <f>IF(AE191=1,COUNTIF($AE$3:$AE191,1),"")</f>
        <v>#REF!</v>
      </c>
    </row>
    <row r="192" spans="1:33" ht="15" customHeight="1" x14ac:dyDescent="0.25">
      <c r="A192" s="17"/>
      <c r="B192" s="17"/>
      <c r="C192" s="17"/>
      <c r="D192" s="17"/>
      <c r="E192" s="17" t="str">
        <f>IFERROR(INDEX(הגדרות!$I$2:$I$47,MATCH(B192,הגדרות!$H$2:$H$47,0)),"")</f>
        <v/>
      </c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t="str">
        <f>IFERROR(INDEX(הגדרות!$B$2:$B$17,MATCH(H192,הגדרות!$A$2:$A$17,0)),"")</f>
        <v/>
      </c>
      <c r="AA192" t="str">
        <f>IFERROR(INDEX(הגדרות!$C$2:$C$17,MATCH(H192,הגדרות!$A$2:$A$17,0)),"")</f>
        <v/>
      </c>
      <c r="AB192" t="str">
        <f>IFERROR(INDEX(הגדרות!$B$2:$B$17,MATCH(I192,הגדרות!$A$2:$A$17,0)),"")</f>
        <v/>
      </c>
      <c r="AC192" t="str">
        <f>IFERROR(INDEX(הגדרות!$C$2:$C$17,MATCH(I192,הגדרות!$A$2:$A$17,0)),"")</f>
        <v/>
      </c>
      <c r="AD192">
        <f>IF(AND(מלאי!D192&lt;&gt;"",OR('לוח בקרה'!$B$4="הכל",מלאי!Z192='לוח בקרה'!$B$4,מלאי!AA192='לוח בקרה'!$B$4,מלאי!AB192='לוח בקרה'!$B$4,מלאי!AC192='לוח בקרה'!$B$4),OR('לוח בקרה'!$B$5="הכל",מלאי!A192='לוח בקרה'!$B$5),OR('לוח בקרה'!$B$6="הכל",מלאי!B192='לוח בקרה'!$B$6),OR('לוח בקרה'!$B$7="הכל",מלאי!F192='לוח בקרה'!$B$7,מלאי!G192='לוח בקרה'!$B$7),OR('לוח בקרה'!$B$8="הכל",מלאי!T192='לוח בקרה'!$B$8),OR('לוח בקרה'!$B$9="הכל",מלאי!Q192='לוח בקרה'!$B$9),OR('לוח בקרה'!$E$4="הכל",מלאי!J192='לוח בקרה'!$E$4),OR('לוח בקרה'!$E$5="הכל",מלאי!L192='לוח בקרה'!$E$5),OR('לוח בקרה'!$E$6="הכל",מלאי!O192='לוח בקרה'!$E$6),OR('לוח בקרה'!$E$7="הכל",מלאי!R192='לוח בקרה'!$E$7),OR('לוח בקרה'!$E$8="הכל",'לוח בקרה'!$E$8="",מלאי!W192='לוח בקרה'!$E$8),OR('לוח בקרה'!$E$9="הכל",'לוח בקרה'!$E$9="",ISNUMBER(SEARCH('לוח בקרה'!$E$9,מלאי!C192)))),1,0)</f>
        <v>0</v>
      </c>
      <c r="AE192" t="e">
        <f>IF(AND(מלאי!D192&lt;&gt;"",OR('לוח בקרה טכנו-מבצעי'!$B$4="הכל",מלאי!Z192='לוח בקרה טכנו-מבצעי'!$B$4,מלאי!AA192='לוח בקרה טכנו-מבצעי'!$B$4,מלאי!AB192='לוח בקרה טכנו-מבצעי'!$B$4,מלאי!AC192='לוח בקרה טכנו-מבצעי'!$B$4),OR('לוח בקרה טכנו-מבצעי'!$B$5="הכל",מלאי!A192='לוח בקרה טכנו-מבצעי'!$B$5),OR('לוח בקרה טכנו-מבצעי'!$B$6="הכל",מלאי!B192='לוח בקרה טכנו-מבצעי'!$B$6),OR('לוח בקרה טכנו-מבצעי'!$B$7="הכל",מלאי!F192='לוח בקרה טכנו-מבצעי'!$B$7,מלאי!G192='לוח בקרה טכנו-מבצעי'!$B$7),OR('לוח בקרה טכנו-מבצעי'!$B$8="הכל",מלאי!T192='לוח בקרה טכנו-מבצעי'!$B$8),OR('לוח בקרה טכנו-מבצעי'!$B$9="הכל",מלאי!Q192='לוח בקרה טכנו-מבצעי'!$B$9),OR('לוח בקרה טכנו-מבצעי'!$E$4="הכל",מלאי!J192='לוח בקרה טכנו-מבצעי'!$E$4),OR('לוח בקרה טכנו-מבצעי'!$E$5="הכל",מלאי!L192='לוח בקרה טכנו-מבצעי'!$E$5),OR('לוח בקרה טכנו-מבצעי'!$E$6="הכל",מלאי!O192='לוח בקרה טכנו-מבצעי'!$E$6),OR('לוח בקרה טכנו-מבצעי'!$E$7="הכל",מלאי!R192='לוח בקרה טכנו-מבצעי'!$E$7),OR('לוח בקרה טכנו-מבצעי'!$E$8="הכל",'לוח בקרה טכנו-מבצעי'!$E$8="",מלאי!W192='לוח בקרה טכנו-מבצעי'!$E$8),OR('לוח בקרה טכנו-מבצעי'!$E$9="הכל",'לוח בקרה טכנו-מבצעי'!$E$9="",ISNUMBER(SEARCH('לוח בקרה טכנו-מבצעי'!$E$9,מלאי!C192))),OR('לוח בקרה טכנו-מבצעי'!$B$10="הכל",מלאי!#REF!='לוח בקרה טכנו-מבצעי'!$B$10)),1,0)</f>
        <v>#REF!</v>
      </c>
      <c r="AF192" t="str">
        <f>IF(AD192=1,COUNTIF($AD$3:$AD192,1),"")</f>
        <v/>
      </c>
      <c r="AG192" t="e">
        <f>IF(AE192=1,COUNTIF($AE$3:$AE192,1),"")</f>
        <v>#REF!</v>
      </c>
    </row>
    <row r="193" spans="1:33" ht="15" customHeight="1" x14ac:dyDescent="0.25">
      <c r="A193" s="19"/>
      <c r="B193" s="19"/>
      <c r="C193" s="19"/>
      <c r="D193" s="19"/>
      <c r="E193" s="19" t="str">
        <f>IFERROR(INDEX(הגדרות!$I$2:$I$47,MATCH(B193,הגדרות!$H$2:$H$47,0)),"")</f>
        <v/>
      </c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t="str">
        <f>IFERROR(INDEX(הגדרות!$B$2:$B$17,MATCH(H193,הגדרות!$A$2:$A$17,0)),"")</f>
        <v/>
      </c>
      <c r="AA193" t="str">
        <f>IFERROR(INDEX(הגדרות!$C$2:$C$17,MATCH(H193,הגדרות!$A$2:$A$17,0)),"")</f>
        <v/>
      </c>
      <c r="AB193" t="str">
        <f>IFERROR(INDEX(הגדרות!$B$2:$B$17,MATCH(I193,הגדרות!$A$2:$A$17,0)),"")</f>
        <v/>
      </c>
      <c r="AC193" t="str">
        <f>IFERROR(INDEX(הגדרות!$C$2:$C$17,MATCH(I193,הגדרות!$A$2:$A$17,0)),"")</f>
        <v/>
      </c>
      <c r="AD193">
        <f>IF(AND(מלאי!D193&lt;&gt;"",OR('לוח בקרה'!$B$4="הכל",מלאי!Z193='לוח בקרה'!$B$4,מלאי!AA193='לוח בקרה'!$B$4,מלאי!AB193='לוח בקרה'!$B$4,מלאי!AC193='לוח בקרה'!$B$4),OR('לוח בקרה'!$B$5="הכל",מלאי!A193='לוח בקרה'!$B$5),OR('לוח בקרה'!$B$6="הכל",מלאי!B193='לוח בקרה'!$B$6),OR('לוח בקרה'!$B$7="הכל",מלאי!F193='לוח בקרה'!$B$7,מלאי!G193='לוח בקרה'!$B$7),OR('לוח בקרה'!$B$8="הכל",מלאי!T193='לוח בקרה'!$B$8),OR('לוח בקרה'!$B$9="הכל",מלאי!Q193='לוח בקרה'!$B$9),OR('לוח בקרה'!$E$4="הכל",מלאי!J193='לוח בקרה'!$E$4),OR('לוח בקרה'!$E$5="הכל",מלאי!L193='לוח בקרה'!$E$5),OR('לוח בקרה'!$E$6="הכל",מלאי!O193='לוח בקרה'!$E$6),OR('לוח בקרה'!$E$7="הכל",מלאי!R193='לוח בקרה'!$E$7),OR('לוח בקרה'!$E$8="הכל",'לוח בקרה'!$E$8="",מלאי!W193='לוח בקרה'!$E$8),OR('לוח בקרה'!$E$9="הכל",'לוח בקרה'!$E$9="",ISNUMBER(SEARCH('לוח בקרה'!$E$9,מלאי!C193)))),1,0)</f>
        <v>0</v>
      </c>
      <c r="AE193" t="e">
        <f>IF(AND(מלאי!D193&lt;&gt;"",OR('לוח בקרה טכנו-מבצעי'!$B$4="הכל",מלאי!Z193='לוח בקרה טכנו-מבצעי'!$B$4,מלאי!AA193='לוח בקרה טכנו-מבצעי'!$B$4,מלאי!AB193='לוח בקרה טכנו-מבצעי'!$B$4,מלאי!AC193='לוח בקרה טכנו-מבצעי'!$B$4),OR('לוח בקרה טכנו-מבצעי'!$B$5="הכל",מלאי!A193='לוח בקרה טכנו-מבצעי'!$B$5),OR('לוח בקרה טכנו-מבצעי'!$B$6="הכל",מלאי!B193='לוח בקרה טכנו-מבצעי'!$B$6),OR('לוח בקרה טכנו-מבצעי'!$B$7="הכל",מלאי!F193='לוח בקרה טכנו-מבצעי'!$B$7,מלאי!G193='לוח בקרה טכנו-מבצעי'!$B$7),OR('לוח בקרה טכנו-מבצעי'!$B$8="הכל",מלאי!T193='לוח בקרה טכנו-מבצעי'!$B$8),OR('לוח בקרה טכנו-מבצעי'!$B$9="הכל",מלאי!Q193='לוח בקרה טכנו-מבצעי'!$B$9),OR('לוח בקרה טכנו-מבצעי'!$E$4="הכל",מלאי!J193='לוח בקרה טכנו-מבצעי'!$E$4),OR('לוח בקרה טכנו-מבצעי'!$E$5="הכל",מלאי!L193='לוח בקרה טכנו-מבצעי'!$E$5),OR('לוח בקרה טכנו-מבצעי'!$E$6="הכל",מלאי!O193='לוח בקרה טכנו-מבצעי'!$E$6),OR('לוח בקרה טכנו-מבצעי'!$E$7="הכל",מלאי!R193='לוח בקרה טכנו-מבצעי'!$E$7),OR('לוח בקרה טכנו-מבצעי'!$E$8="הכל",'לוח בקרה טכנו-מבצעי'!$E$8="",מלאי!W193='לוח בקרה טכנו-מבצעי'!$E$8),OR('לוח בקרה טכנו-מבצעי'!$E$9="הכל",'לוח בקרה טכנו-מבצעי'!$E$9="",ISNUMBER(SEARCH('לוח בקרה טכנו-מבצעי'!$E$9,מלאי!C193))),OR('לוח בקרה טכנו-מבצעי'!$B$10="הכל",מלאי!#REF!='לוח בקרה טכנו-מבצעי'!$B$10)),1,0)</f>
        <v>#REF!</v>
      </c>
      <c r="AF193" t="str">
        <f>IF(AD193=1,COUNTIF($AD$3:$AD193,1),"")</f>
        <v/>
      </c>
      <c r="AG193" t="e">
        <f>IF(AE193=1,COUNTIF($AE$3:$AE193,1),"")</f>
        <v>#REF!</v>
      </c>
    </row>
    <row r="194" spans="1:33" ht="15" customHeight="1" x14ac:dyDescent="0.25">
      <c r="A194" s="17"/>
      <c r="B194" s="17"/>
      <c r="C194" s="17"/>
      <c r="D194" s="17"/>
      <c r="E194" s="17" t="str">
        <f>IFERROR(INDEX(הגדרות!$I$2:$I$47,MATCH(B194,הגדרות!$H$2:$H$47,0)),"")</f>
        <v/>
      </c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t="str">
        <f>IFERROR(INDEX(הגדרות!$B$2:$B$17,MATCH(H194,הגדרות!$A$2:$A$17,0)),"")</f>
        <v/>
      </c>
      <c r="AA194" t="str">
        <f>IFERROR(INDEX(הגדרות!$C$2:$C$17,MATCH(H194,הגדרות!$A$2:$A$17,0)),"")</f>
        <v/>
      </c>
      <c r="AB194" t="str">
        <f>IFERROR(INDEX(הגדרות!$B$2:$B$17,MATCH(I194,הגדרות!$A$2:$A$17,0)),"")</f>
        <v/>
      </c>
      <c r="AC194" t="str">
        <f>IFERROR(INDEX(הגדרות!$C$2:$C$17,MATCH(I194,הגדרות!$A$2:$A$17,0)),"")</f>
        <v/>
      </c>
      <c r="AD194">
        <f>IF(AND(מלאי!D194&lt;&gt;"",OR('לוח בקרה'!$B$4="הכל",מלאי!Z194='לוח בקרה'!$B$4,מלאי!AA194='לוח בקרה'!$B$4,מלאי!AB194='לוח בקרה'!$B$4,מלאי!AC194='לוח בקרה'!$B$4),OR('לוח בקרה'!$B$5="הכל",מלאי!A194='לוח בקרה'!$B$5),OR('לוח בקרה'!$B$6="הכל",מלאי!B194='לוח בקרה'!$B$6),OR('לוח בקרה'!$B$7="הכל",מלאי!F194='לוח בקרה'!$B$7,מלאי!G194='לוח בקרה'!$B$7),OR('לוח בקרה'!$B$8="הכל",מלאי!T194='לוח בקרה'!$B$8),OR('לוח בקרה'!$B$9="הכל",מלאי!Q194='לוח בקרה'!$B$9),OR('לוח בקרה'!$E$4="הכל",מלאי!J194='לוח בקרה'!$E$4),OR('לוח בקרה'!$E$5="הכל",מלאי!L194='לוח בקרה'!$E$5),OR('לוח בקרה'!$E$6="הכל",מלאי!O194='לוח בקרה'!$E$6),OR('לוח בקרה'!$E$7="הכל",מלאי!R194='לוח בקרה'!$E$7),OR('לוח בקרה'!$E$8="הכל",'לוח בקרה'!$E$8="",מלאי!W194='לוח בקרה'!$E$8),OR('לוח בקרה'!$E$9="הכל",'לוח בקרה'!$E$9="",ISNUMBER(SEARCH('לוח בקרה'!$E$9,מלאי!C194)))),1,0)</f>
        <v>0</v>
      </c>
      <c r="AE194" t="e">
        <f>IF(AND(מלאי!D194&lt;&gt;"",OR('לוח בקרה טכנו-מבצעי'!$B$4="הכל",מלאי!Z194='לוח בקרה טכנו-מבצעי'!$B$4,מלאי!AA194='לוח בקרה טכנו-מבצעי'!$B$4,מלאי!AB194='לוח בקרה טכנו-מבצעי'!$B$4,מלאי!AC194='לוח בקרה טכנו-מבצעי'!$B$4),OR('לוח בקרה טכנו-מבצעי'!$B$5="הכל",מלאי!A194='לוח בקרה טכנו-מבצעי'!$B$5),OR('לוח בקרה טכנו-מבצעי'!$B$6="הכל",מלאי!B194='לוח בקרה טכנו-מבצעי'!$B$6),OR('לוח בקרה טכנו-מבצעי'!$B$7="הכל",מלאי!F194='לוח בקרה טכנו-מבצעי'!$B$7,מלאי!G194='לוח בקרה טכנו-מבצעי'!$B$7),OR('לוח בקרה טכנו-מבצעי'!$B$8="הכל",מלאי!T194='לוח בקרה טכנו-מבצעי'!$B$8),OR('לוח בקרה טכנו-מבצעי'!$B$9="הכל",מלאי!Q194='לוח בקרה טכנו-מבצעי'!$B$9),OR('לוח בקרה טכנו-מבצעי'!$E$4="הכל",מלאי!J194='לוח בקרה טכנו-מבצעי'!$E$4),OR('לוח בקרה טכנו-מבצעי'!$E$5="הכל",מלאי!L194='לוח בקרה טכנו-מבצעי'!$E$5),OR('לוח בקרה טכנו-מבצעי'!$E$6="הכל",מלאי!O194='לוח בקרה טכנו-מבצעי'!$E$6),OR('לוח בקרה טכנו-מבצעי'!$E$7="הכל",מלאי!R194='לוח בקרה טכנו-מבצעי'!$E$7),OR('לוח בקרה טכנו-מבצעי'!$E$8="הכל",'לוח בקרה טכנו-מבצעי'!$E$8="",מלאי!W194='לוח בקרה טכנו-מבצעי'!$E$8),OR('לוח בקרה טכנו-מבצעי'!$E$9="הכל",'לוח בקרה טכנו-מבצעי'!$E$9="",ISNUMBER(SEARCH('לוח בקרה טכנו-מבצעי'!$E$9,מלאי!C194))),OR('לוח בקרה טכנו-מבצעי'!$B$10="הכל",מלאי!#REF!='לוח בקרה טכנו-מבצעי'!$B$10)),1,0)</f>
        <v>#REF!</v>
      </c>
      <c r="AF194" t="str">
        <f>IF(AD194=1,COUNTIF($AD$3:$AD194,1),"")</f>
        <v/>
      </c>
      <c r="AG194" t="e">
        <f>IF(AE194=1,COUNTIF($AE$3:$AE194,1),"")</f>
        <v>#REF!</v>
      </c>
    </row>
    <row r="195" spans="1:33" ht="15" customHeight="1" x14ac:dyDescent="0.25">
      <c r="A195" s="19"/>
      <c r="B195" s="19"/>
      <c r="C195" s="19"/>
      <c r="D195" s="19"/>
      <c r="E195" s="19" t="str">
        <f>IFERROR(INDEX(הגדרות!$I$2:$I$47,MATCH(B195,הגדרות!$H$2:$H$47,0)),"")</f>
        <v/>
      </c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t="str">
        <f>IFERROR(INDEX(הגדרות!$B$2:$B$17,MATCH(H195,הגדרות!$A$2:$A$17,0)),"")</f>
        <v/>
      </c>
      <c r="AA195" t="str">
        <f>IFERROR(INDEX(הגדרות!$C$2:$C$17,MATCH(H195,הגדרות!$A$2:$A$17,0)),"")</f>
        <v/>
      </c>
      <c r="AB195" t="str">
        <f>IFERROR(INDEX(הגדרות!$B$2:$B$17,MATCH(I195,הגדרות!$A$2:$A$17,0)),"")</f>
        <v/>
      </c>
      <c r="AC195" t="str">
        <f>IFERROR(INDEX(הגדרות!$C$2:$C$17,MATCH(I195,הגדרות!$A$2:$A$17,0)),"")</f>
        <v/>
      </c>
      <c r="AD195">
        <f>IF(AND(מלאי!D195&lt;&gt;"",OR('לוח בקרה'!$B$4="הכל",מלאי!Z195='לוח בקרה'!$B$4,מלאי!AA195='לוח בקרה'!$B$4,מלאי!AB195='לוח בקרה'!$B$4,מלאי!AC195='לוח בקרה'!$B$4),OR('לוח בקרה'!$B$5="הכל",מלאי!A195='לוח בקרה'!$B$5),OR('לוח בקרה'!$B$6="הכל",מלאי!B195='לוח בקרה'!$B$6),OR('לוח בקרה'!$B$7="הכל",מלאי!F195='לוח בקרה'!$B$7,מלאי!G195='לוח בקרה'!$B$7),OR('לוח בקרה'!$B$8="הכל",מלאי!T195='לוח בקרה'!$B$8),OR('לוח בקרה'!$B$9="הכל",מלאי!Q195='לוח בקרה'!$B$9),OR('לוח בקרה'!$E$4="הכל",מלאי!J195='לוח בקרה'!$E$4),OR('לוח בקרה'!$E$5="הכל",מלאי!L195='לוח בקרה'!$E$5),OR('לוח בקרה'!$E$6="הכל",מלאי!O195='לוח בקרה'!$E$6),OR('לוח בקרה'!$E$7="הכל",מלאי!R195='לוח בקרה'!$E$7),OR('לוח בקרה'!$E$8="הכל",'לוח בקרה'!$E$8="",מלאי!W195='לוח בקרה'!$E$8),OR('לוח בקרה'!$E$9="הכל",'לוח בקרה'!$E$9="",ISNUMBER(SEARCH('לוח בקרה'!$E$9,מלאי!C195)))),1,0)</f>
        <v>0</v>
      </c>
      <c r="AE195" t="e">
        <f>IF(AND(מלאי!D195&lt;&gt;"",OR('לוח בקרה טכנו-מבצעי'!$B$4="הכל",מלאי!Z195='לוח בקרה טכנו-מבצעי'!$B$4,מלאי!AA195='לוח בקרה טכנו-מבצעי'!$B$4,מלאי!AB195='לוח בקרה טכנו-מבצעי'!$B$4,מלאי!AC195='לוח בקרה טכנו-מבצעי'!$B$4),OR('לוח בקרה טכנו-מבצעי'!$B$5="הכל",מלאי!A195='לוח בקרה טכנו-מבצעי'!$B$5),OR('לוח בקרה טכנו-מבצעי'!$B$6="הכל",מלאי!B195='לוח בקרה טכנו-מבצעי'!$B$6),OR('לוח בקרה טכנו-מבצעי'!$B$7="הכל",מלאי!F195='לוח בקרה טכנו-מבצעי'!$B$7,מלאי!G195='לוח בקרה טכנו-מבצעי'!$B$7),OR('לוח בקרה טכנו-מבצעי'!$B$8="הכל",מלאי!T195='לוח בקרה טכנו-מבצעי'!$B$8),OR('לוח בקרה טכנו-מבצעי'!$B$9="הכל",מלאי!Q195='לוח בקרה טכנו-מבצעי'!$B$9),OR('לוח בקרה טכנו-מבצעי'!$E$4="הכל",מלאי!J195='לוח בקרה טכנו-מבצעי'!$E$4),OR('לוח בקרה טכנו-מבצעי'!$E$5="הכל",מלאי!L195='לוח בקרה טכנו-מבצעי'!$E$5),OR('לוח בקרה טכנו-מבצעי'!$E$6="הכל",מלאי!O195='לוח בקרה טכנו-מבצעי'!$E$6),OR('לוח בקרה טכנו-מבצעי'!$E$7="הכל",מלאי!R195='לוח בקרה טכנו-מבצעי'!$E$7),OR('לוח בקרה טכנו-מבצעי'!$E$8="הכל",'לוח בקרה טכנו-מבצעי'!$E$8="",מלאי!W195='לוח בקרה טכנו-מבצעי'!$E$8),OR('לוח בקרה טכנו-מבצעי'!$E$9="הכל",'לוח בקרה טכנו-מבצעי'!$E$9="",ISNUMBER(SEARCH('לוח בקרה טכנו-מבצעי'!$E$9,מלאי!C195))),OR('לוח בקרה טכנו-מבצעי'!$B$10="הכל",מלאי!#REF!='לוח בקרה טכנו-מבצעי'!$B$10)),1,0)</f>
        <v>#REF!</v>
      </c>
      <c r="AF195" t="str">
        <f>IF(AD195=1,COUNTIF($AD$3:$AD195,1),"")</f>
        <v/>
      </c>
      <c r="AG195" t="e">
        <f>IF(AE195=1,COUNTIF($AE$3:$AE195,1),"")</f>
        <v>#REF!</v>
      </c>
    </row>
    <row r="196" spans="1:33" ht="15" customHeight="1" x14ac:dyDescent="0.25">
      <c r="A196" s="17"/>
      <c r="B196" s="17"/>
      <c r="C196" s="17"/>
      <c r="D196" s="17"/>
      <c r="E196" s="17" t="str">
        <f>IFERROR(INDEX(הגדרות!$I$2:$I$47,MATCH(B196,הגדרות!$H$2:$H$47,0)),"")</f>
        <v/>
      </c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t="str">
        <f>IFERROR(INDEX(הגדרות!$B$2:$B$17,MATCH(H196,הגדרות!$A$2:$A$17,0)),"")</f>
        <v/>
      </c>
      <c r="AA196" t="str">
        <f>IFERROR(INDEX(הגדרות!$C$2:$C$17,MATCH(H196,הגדרות!$A$2:$A$17,0)),"")</f>
        <v/>
      </c>
      <c r="AB196" t="str">
        <f>IFERROR(INDEX(הגדרות!$B$2:$B$17,MATCH(I196,הגדרות!$A$2:$A$17,0)),"")</f>
        <v/>
      </c>
      <c r="AC196" t="str">
        <f>IFERROR(INDEX(הגדרות!$C$2:$C$17,MATCH(I196,הגדרות!$A$2:$A$17,0)),"")</f>
        <v/>
      </c>
      <c r="AD196">
        <f>IF(AND(מלאי!D196&lt;&gt;"",OR('לוח בקרה'!$B$4="הכל",מלאי!Z196='לוח בקרה'!$B$4,מלאי!AA196='לוח בקרה'!$B$4,מלאי!AB196='לוח בקרה'!$B$4,מלאי!AC196='לוח בקרה'!$B$4),OR('לוח בקרה'!$B$5="הכל",מלאי!A196='לוח בקרה'!$B$5),OR('לוח בקרה'!$B$6="הכל",מלאי!B196='לוח בקרה'!$B$6),OR('לוח בקרה'!$B$7="הכל",מלאי!F196='לוח בקרה'!$B$7,מלאי!G196='לוח בקרה'!$B$7),OR('לוח בקרה'!$B$8="הכל",מלאי!T196='לוח בקרה'!$B$8),OR('לוח בקרה'!$B$9="הכל",מלאי!Q196='לוח בקרה'!$B$9),OR('לוח בקרה'!$E$4="הכל",מלאי!J196='לוח בקרה'!$E$4),OR('לוח בקרה'!$E$5="הכל",מלאי!L196='לוח בקרה'!$E$5),OR('לוח בקרה'!$E$6="הכל",מלאי!O196='לוח בקרה'!$E$6),OR('לוח בקרה'!$E$7="הכל",מלאי!R196='לוח בקרה'!$E$7),OR('לוח בקרה'!$E$8="הכל",'לוח בקרה'!$E$8="",מלאי!W196='לוח בקרה'!$E$8),OR('לוח בקרה'!$E$9="הכל",'לוח בקרה'!$E$9="",ISNUMBER(SEARCH('לוח בקרה'!$E$9,מלאי!C196)))),1,0)</f>
        <v>0</v>
      </c>
      <c r="AE196" t="e">
        <f>IF(AND(מלאי!D196&lt;&gt;"",OR('לוח בקרה טכנו-מבצעי'!$B$4="הכל",מלאי!Z196='לוח בקרה טכנו-מבצעי'!$B$4,מלאי!AA196='לוח בקרה טכנו-מבצעי'!$B$4,מלאי!AB196='לוח בקרה טכנו-מבצעי'!$B$4,מלאי!AC196='לוח בקרה טכנו-מבצעי'!$B$4),OR('לוח בקרה טכנו-מבצעי'!$B$5="הכל",מלאי!A196='לוח בקרה טכנו-מבצעי'!$B$5),OR('לוח בקרה טכנו-מבצעי'!$B$6="הכל",מלאי!B196='לוח בקרה טכנו-מבצעי'!$B$6),OR('לוח בקרה טכנו-מבצעי'!$B$7="הכל",מלאי!F196='לוח בקרה טכנו-מבצעי'!$B$7,מלאי!G196='לוח בקרה טכנו-מבצעי'!$B$7),OR('לוח בקרה טכנו-מבצעי'!$B$8="הכל",מלאי!T196='לוח בקרה טכנו-מבצעי'!$B$8),OR('לוח בקרה טכנו-מבצעי'!$B$9="הכל",מלאי!Q196='לוח בקרה טכנו-מבצעי'!$B$9),OR('לוח בקרה טכנו-מבצעי'!$E$4="הכל",מלאי!J196='לוח בקרה טכנו-מבצעי'!$E$4),OR('לוח בקרה טכנו-מבצעי'!$E$5="הכל",מלאי!L196='לוח בקרה טכנו-מבצעי'!$E$5),OR('לוח בקרה טכנו-מבצעי'!$E$6="הכל",מלאי!O196='לוח בקרה טכנו-מבצעי'!$E$6),OR('לוח בקרה טכנו-מבצעי'!$E$7="הכל",מלאי!R196='לוח בקרה טכנו-מבצעי'!$E$7),OR('לוח בקרה טכנו-מבצעי'!$E$8="הכל",'לוח בקרה טכנו-מבצעי'!$E$8="",מלאי!W196='לוח בקרה טכנו-מבצעי'!$E$8),OR('לוח בקרה טכנו-מבצעי'!$E$9="הכל",'לוח בקרה טכנו-מבצעי'!$E$9="",ISNUMBER(SEARCH('לוח בקרה טכנו-מבצעי'!$E$9,מלאי!C196))),OR('לוח בקרה טכנו-מבצעי'!$B$10="הכל",מלאי!#REF!='לוח בקרה טכנו-מבצעי'!$B$10)),1,0)</f>
        <v>#REF!</v>
      </c>
      <c r="AF196" t="str">
        <f>IF(AD196=1,COUNTIF($AD$3:$AD196,1),"")</f>
        <v/>
      </c>
      <c r="AG196" t="e">
        <f>IF(AE196=1,COUNTIF($AE$3:$AE196,1),"")</f>
        <v>#REF!</v>
      </c>
    </row>
    <row r="197" spans="1:33" ht="15" customHeight="1" x14ac:dyDescent="0.25">
      <c r="A197" s="19"/>
      <c r="B197" s="19"/>
      <c r="C197" s="19"/>
      <c r="D197" s="19"/>
      <c r="E197" s="19" t="str">
        <f>IFERROR(INDEX(הגדרות!$I$2:$I$47,MATCH(B197,הגדרות!$H$2:$H$47,0)),"")</f>
        <v/>
      </c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t="str">
        <f>IFERROR(INDEX(הגדרות!$B$2:$B$17,MATCH(H197,הגדרות!$A$2:$A$17,0)),"")</f>
        <v/>
      </c>
      <c r="AA197" t="str">
        <f>IFERROR(INDEX(הגדרות!$C$2:$C$17,MATCH(H197,הגדרות!$A$2:$A$17,0)),"")</f>
        <v/>
      </c>
      <c r="AB197" t="str">
        <f>IFERROR(INDEX(הגדרות!$B$2:$B$17,MATCH(I197,הגדרות!$A$2:$A$17,0)),"")</f>
        <v/>
      </c>
      <c r="AC197" t="str">
        <f>IFERROR(INDEX(הגדרות!$C$2:$C$17,MATCH(I197,הגדרות!$A$2:$A$17,0)),"")</f>
        <v/>
      </c>
      <c r="AD197">
        <f>IF(AND(מלאי!D197&lt;&gt;"",OR('לוח בקרה'!$B$4="הכל",מלאי!Z197='לוח בקרה'!$B$4,מלאי!AA197='לוח בקרה'!$B$4,מלאי!AB197='לוח בקרה'!$B$4,מלאי!AC197='לוח בקרה'!$B$4),OR('לוח בקרה'!$B$5="הכל",מלאי!A197='לוח בקרה'!$B$5),OR('לוח בקרה'!$B$6="הכל",מלאי!B197='לוח בקרה'!$B$6),OR('לוח בקרה'!$B$7="הכל",מלאי!F197='לוח בקרה'!$B$7,מלאי!G197='לוח בקרה'!$B$7),OR('לוח בקרה'!$B$8="הכל",מלאי!T197='לוח בקרה'!$B$8),OR('לוח בקרה'!$B$9="הכל",מלאי!Q197='לוח בקרה'!$B$9),OR('לוח בקרה'!$E$4="הכל",מלאי!J197='לוח בקרה'!$E$4),OR('לוח בקרה'!$E$5="הכל",מלאי!L197='לוח בקרה'!$E$5),OR('לוח בקרה'!$E$6="הכל",מלאי!O197='לוח בקרה'!$E$6),OR('לוח בקרה'!$E$7="הכל",מלאי!R197='לוח בקרה'!$E$7),OR('לוח בקרה'!$E$8="הכל",'לוח בקרה'!$E$8="",מלאי!W197='לוח בקרה'!$E$8),OR('לוח בקרה'!$E$9="הכל",'לוח בקרה'!$E$9="",ISNUMBER(SEARCH('לוח בקרה'!$E$9,מלאי!C197)))),1,0)</f>
        <v>0</v>
      </c>
      <c r="AE197" t="e">
        <f>IF(AND(מלאי!D197&lt;&gt;"",OR('לוח בקרה טכנו-מבצעי'!$B$4="הכל",מלאי!Z197='לוח בקרה טכנו-מבצעי'!$B$4,מלאי!AA197='לוח בקרה טכנו-מבצעי'!$B$4,מלאי!AB197='לוח בקרה טכנו-מבצעי'!$B$4,מלאי!AC197='לוח בקרה טכנו-מבצעי'!$B$4),OR('לוח בקרה טכנו-מבצעי'!$B$5="הכל",מלאי!A197='לוח בקרה טכנו-מבצעי'!$B$5),OR('לוח בקרה טכנו-מבצעי'!$B$6="הכל",מלאי!B197='לוח בקרה טכנו-מבצעי'!$B$6),OR('לוח בקרה טכנו-מבצעי'!$B$7="הכל",מלאי!F197='לוח בקרה טכנו-מבצעי'!$B$7,מלאי!G197='לוח בקרה טכנו-מבצעי'!$B$7),OR('לוח בקרה טכנו-מבצעי'!$B$8="הכל",מלאי!T197='לוח בקרה טכנו-מבצעי'!$B$8),OR('לוח בקרה טכנו-מבצעי'!$B$9="הכל",מלאי!Q197='לוח בקרה טכנו-מבצעי'!$B$9),OR('לוח בקרה טכנו-מבצעי'!$E$4="הכל",מלאי!J197='לוח בקרה טכנו-מבצעי'!$E$4),OR('לוח בקרה טכנו-מבצעי'!$E$5="הכל",מלאי!L197='לוח בקרה טכנו-מבצעי'!$E$5),OR('לוח בקרה טכנו-מבצעי'!$E$6="הכל",מלאי!O197='לוח בקרה טכנו-מבצעי'!$E$6),OR('לוח בקרה טכנו-מבצעי'!$E$7="הכל",מלאי!R197='לוח בקרה טכנו-מבצעי'!$E$7),OR('לוח בקרה טכנו-מבצעי'!$E$8="הכל",'לוח בקרה טכנו-מבצעי'!$E$8="",מלאי!W197='לוח בקרה טכנו-מבצעי'!$E$8),OR('לוח בקרה טכנו-מבצעי'!$E$9="הכל",'לוח בקרה טכנו-מבצעי'!$E$9="",ISNUMBER(SEARCH('לוח בקרה טכנו-מבצעי'!$E$9,מלאי!C197))),OR('לוח בקרה טכנו-מבצעי'!$B$10="הכל",מלאי!#REF!='לוח בקרה טכנו-מבצעי'!$B$10)),1,0)</f>
        <v>#REF!</v>
      </c>
      <c r="AF197" t="str">
        <f>IF(AD197=1,COUNTIF($AD$3:$AD197,1),"")</f>
        <v/>
      </c>
      <c r="AG197" t="e">
        <f>IF(AE197=1,COUNTIF($AE$3:$AE197,1),"")</f>
        <v>#REF!</v>
      </c>
    </row>
    <row r="198" spans="1:33" ht="15" customHeight="1" x14ac:dyDescent="0.25">
      <c r="A198" s="17"/>
      <c r="B198" s="17"/>
      <c r="C198" s="17"/>
      <c r="D198" s="17"/>
      <c r="E198" s="17" t="str">
        <f>IFERROR(INDEX(הגדרות!$I$2:$I$47,MATCH(B198,הגדרות!$H$2:$H$47,0)),"")</f>
        <v/>
      </c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t="str">
        <f>IFERROR(INDEX(הגדרות!$B$2:$B$17,MATCH(H198,הגדרות!$A$2:$A$17,0)),"")</f>
        <v/>
      </c>
      <c r="AA198" t="str">
        <f>IFERROR(INDEX(הגדרות!$C$2:$C$17,MATCH(H198,הגדרות!$A$2:$A$17,0)),"")</f>
        <v/>
      </c>
      <c r="AB198" t="str">
        <f>IFERROR(INDEX(הגדרות!$B$2:$B$17,MATCH(I198,הגדרות!$A$2:$A$17,0)),"")</f>
        <v/>
      </c>
      <c r="AC198" t="str">
        <f>IFERROR(INDEX(הגדרות!$C$2:$C$17,MATCH(I198,הגדרות!$A$2:$A$17,0)),"")</f>
        <v/>
      </c>
      <c r="AD198">
        <f>IF(AND(מלאי!D198&lt;&gt;"",OR('לוח בקרה'!$B$4="הכל",מלאי!Z198='לוח בקרה'!$B$4,מלאי!AA198='לוח בקרה'!$B$4,מלאי!AB198='לוח בקרה'!$B$4,מלאי!AC198='לוח בקרה'!$B$4),OR('לוח בקרה'!$B$5="הכל",מלאי!A198='לוח בקרה'!$B$5),OR('לוח בקרה'!$B$6="הכל",מלאי!B198='לוח בקרה'!$B$6),OR('לוח בקרה'!$B$7="הכל",מלאי!F198='לוח בקרה'!$B$7,מלאי!G198='לוח בקרה'!$B$7),OR('לוח בקרה'!$B$8="הכל",מלאי!T198='לוח בקרה'!$B$8),OR('לוח בקרה'!$B$9="הכל",מלאי!Q198='לוח בקרה'!$B$9),OR('לוח בקרה'!$E$4="הכל",מלאי!J198='לוח בקרה'!$E$4),OR('לוח בקרה'!$E$5="הכל",מלאי!L198='לוח בקרה'!$E$5),OR('לוח בקרה'!$E$6="הכל",מלאי!O198='לוח בקרה'!$E$6),OR('לוח בקרה'!$E$7="הכל",מלאי!R198='לוח בקרה'!$E$7),OR('לוח בקרה'!$E$8="הכל",'לוח בקרה'!$E$8="",מלאי!W198='לוח בקרה'!$E$8),OR('לוח בקרה'!$E$9="הכל",'לוח בקרה'!$E$9="",ISNUMBER(SEARCH('לוח בקרה'!$E$9,מלאי!C198)))),1,0)</f>
        <v>0</v>
      </c>
      <c r="AE198" t="e">
        <f>IF(AND(מלאי!D198&lt;&gt;"",OR('לוח בקרה טכנו-מבצעי'!$B$4="הכל",מלאי!Z198='לוח בקרה טכנו-מבצעי'!$B$4,מלאי!AA198='לוח בקרה טכנו-מבצעי'!$B$4,מלאי!AB198='לוח בקרה טכנו-מבצעי'!$B$4,מלאי!AC198='לוח בקרה טכנו-מבצעי'!$B$4),OR('לוח בקרה טכנו-מבצעי'!$B$5="הכל",מלאי!A198='לוח בקרה טכנו-מבצעי'!$B$5),OR('לוח בקרה טכנו-מבצעי'!$B$6="הכל",מלאי!B198='לוח בקרה טכנו-מבצעי'!$B$6),OR('לוח בקרה טכנו-מבצעי'!$B$7="הכל",מלאי!F198='לוח בקרה טכנו-מבצעי'!$B$7,מלאי!G198='לוח בקרה טכנו-מבצעי'!$B$7),OR('לוח בקרה טכנו-מבצעי'!$B$8="הכל",מלאי!T198='לוח בקרה טכנו-מבצעי'!$B$8),OR('לוח בקרה טכנו-מבצעי'!$B$9="הכל",מלאי!Q198='לוח בקרה טכנו-מבצעי'!$B$9),OR('לוח בקרה טכנו-מבצעי'!$E$4="הכל",מלאי!J198='לוח בקרה טכנו-מבצעי'!$E$4),OR('לוח בקרה טכנו-מבצעי'!$E$5="הכל",מלאי!L198='לוח בקרה טכנו-מבצעי'!$E$5),OR('לוח בקרה טכנו-מבצעי'!$E$6="הכל",מלאי!O198='לוח בקרה טכנו-מבצעי'!$E$6),OR('לוח בקרה טכנו-מבצעי'!$E$7="הכל",מלאי!R198='לוח בקרה טכנו-מבצעי'!$E$7),OR('לוח בקרה טכנו-מבצעי'!$E$8="הכל",'לוח בקרה טכנו-מבצעי'!$E$8="",מלאי!W198='לוח בקרה טכנו-מבצעי'!$E$8),OR('לוח בקרה טכנו-מבצעי'!$E$9="הכל",'לוח בקרה טכנו-מבצעי'!$E$9="",ISNUMBER(SEARCH('לוח בקרה טכנו-מבצעי'!$E$9,מלאי!C198))),OR('לוח בקרה טכנו-מבצעי'!$B$10="הכל",מלאי!#REF!='לוח בקרה טכנו-מבצעי'!$B$10)),1,0)</f>
        <v>#REF!</v>
      </c>
      <c r="AF198" t="str">
        <f>IF(AD198=1,COUNTIF($AD$3:$AD198,1),"")</f>
        <v/>
      </c>
      <c r="AG198" t="e">
        <f>IF(AE198=1,COUNTIF($AE$3:$AE198,1),"")</f>
        <v>#REF!</v>
      </c>
    </row>
    <row r="199" spans="1:33" ht="15" customHeight="1" x14ac:dyDescent="0.25">
      <c r="A199" s="19"/>
      <c r="B199" s="19"/>
      <c r="C199" s="19"/>
      <c r="D199" s="19"/>
      <c r="E199" s="19" t="str">
        <f>IFERROR(INDEX(הגדרות!$I$2:$I$47,MATCH(B199,הגדרות!$H$2:$H$47,0)),"")</f>
        <v/>
      </c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t="str">
        <f>IFERROR(INDEX(הגדרות!$B$2:$B$17,MATCH(H199,הגדרות!$A$2:$A$17,0)),"")</f>
        <v/>
      </c>
      <c r="AA199" t="str">
        <f>IFERROR(INDEX(הגדרות!$C$2:$C$17,MATCH(H199,הגדרות!$A$2:$A$17,0)),"")</f>
        <v/>
      </c>
      <c r="AB199" t="str">
        <f>IFERROR(INDEX(הגדרות!$B$2:$B$17,MATCH(I199,הגדרות!$A$2:$A$17,0)),"")</f>
        <v/>
      </c>
      <c r="AC199" t="str">
        <f>IFERROR(INDEX(הגדרות!$C$2:$C$17,MATCH(I199,הגדרות!$A$2:$A$17,0)),"")</f>
        <v/>
      </c>
      <c r="AD199">
        <f>IF(AND(מלאי!D199&lt;&gt;"",OR('לוח בקרה'!$B$4="הכל",מלאי!Z199='לוח בקרה'!$B$4,מלאי!AA199='לוח בקרה'!$B$4,מלאי!AB199='לוח בקרה'!$B$4,מלאי!AC199='לוח בקרה'!$B$4),OR('לוח בקרה'!$B$5="הכל",מלאי!A199='לוח בקרה'!$B$5),OR('לוח בקרה'!$B$6="הכל",מלאי!B199='לוח בקרה'!$B$6),OR('לוח בקרה'!$B$7="הכל",מלאי!F199='לוח בקרה'!$B$7,מלאי!G199='לוח בקרה'!$B$7),OR('לוח בקרה'!$B$8="הכל",מלאי!T199='לוח בקרה'!$B$8),OR('לוח בקרה'!$B$9="הכל",מלאי!Q199='לוח בקרה'!$B$9),OR('לוח בקרה'!$E$4="הכל",מלאי!J199='לוח בקרה'!$E$4),OR('לוח בקרה'!$E$5="הכל",מלאי!L199='לוח בקרה'!$E$5),OR('לוח בקרה'!$E$6="הכל",מלאי!O199='לוח בקרה'!$E$6),OR('לוח בקרה'!$E$7="הכל",מלאי!R199='לוח בקרה'!$E$7),OR('לוח בקרה'!$E$8="הכל",'לוח בקרה'!$E$8="",מלאי!W199='לוח בקרה'!$E$8),OR('לוח בקרה'!$E$9="הכל",'לוח בקרה'!$E$9="",ISNUMBER(SEARCH('לוח בקרה'!$E$9,מלאי!C199)))),1,0)</f>
        <v>0</v>
      </c>
      <c r="AE199" t="e">
        <f>IF(AND(מלאי!D199&lt;&gt;"",OR('לוח בקרה טכנו-מבצעי'!$B$4="הכל",מלאי!Z199='לוח בקרה טכנו-מבצעי'!$B$4,מלאי!AA199='לוח בקרה טכנו-מבצעי'!$B$4,מלאי!AB199='לוח בקרה טכנו-מבצעי'!$B$4,מלאי!AC199='לוח בקרה טכנו-מבצעי'!$B$4),OR('לוח בקרה טכנו-מבצעי'!$B$5="הכל",מלאי!A199='לוח בקרה טכנו-מבצעי'!$B$5),OR('לוח בקרה טכנו-מבצעי'!$B$6="הכל",מלאי!B199='לוח בקרה טכנו-מבצעי'!$B$6),OR('לוח בקרה טכנו-מבצעי'!$B$7="הכל",מלאי!F199='לוח בקרה טכנו-מבצעי'!$B$7,מלאי!G199='לוח בקרה טכנו-מבצעי'!$B$7),OR('לוח בקרה טכנו-מבצעי'!$B$8="הכל",מלאי!T199='לוח בקרה טכנו-מבצעי'!$B$8),OR('לוח בקרה טכנו-מבצעי'!$B$9="הכל",מלאי!Q199='לוח בקרה טכנו-מבצעי'!$B$9),OR('לוח בקרה טכנו-מבצעי'!$E$4="הכל",מלאי!J199='לוח בקרה טכנו-מבצעי'!$E$4),OR('לוח בקרה טכנו-מבצעי'!$E$5="הכל",מלאי!L199='לוח בקרה טכנו-מבצעי'!$E$5),OR('לוח בקרה טכנו-מבצעי'!$E$6="הכל",מלאי!O199='לוח בקרה טכנו-מבצעי'!$E$6),OR('לוח בקרה טכנו-מבצעי'!$E$7="הכל",מלאי!R199='לוח בקרה טכנו-מבצעי'!$E$7),OR('לוח בקרה טכנו-מבצעי'!$E$8="הכל",'לוח בקרה טכנו-מבצעי'!$E$8="",מלאי!W199='לוח בקרה טכנו-מבצעי'!$E$8),OR('לוח בקרה טכנו-מבצעי'!$E$9="הכל",'לוח בקרה טכנו-מבצעי'!$E$9="",ISNUMBER(SEARCH('לוח בקרה טכנו-מבצעי'!$E$9,מלאי!C199))),OR('לוח בקרה טכנו-מבצעי'!$B$10="הכל",מלאי!#REF!='לוח בקרה טכנו-מבצעי'!$B$10)),1,0)</f>
        <v>#REF!</v>
      </c>
      <c r="AF199" t="str">
        <f>IF(AD199=1,COUNTIF($AD$3:$AD199,1),"")</f>
        <v/>
      </c>
      <c r="AG199" t="e">
        <f>IF(AE199=1,COUNTIF($AE$3:$AE199,1),"")</f>
        <v>#REF!</v>
      </c>
    </row>
    <row r="200" spans="1:33" ht="15" customHeight="1" x14ac:dyDescent="0.25">
      <c r="A200" s="17"/>
      <c r="B200" s="17"/>
      <c r="C200" s="17"/>
      <c r="D200" s="17"/>
      <c r="E200" s="17" t="str">
        <f>IFERROR(INDEX(הגדרות!$I$2:$I$47,MATCH(B200,הגדרות!$H$2:$H$47,0)),"")</f>
        <v/>
      </c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t="str">
        <f>IFERROR(INDEX(הגדרות!$B$2:$B$17,MATCH(H200,הגדרות!$A$2:$A$17,0)),"")</f>
        <v/>
      </c>
      <c r="AA200" t="str">
        <f>IFERROR(INDEX(הגדרות!$C$2:$C$17,MATCH(H200,הגדרות!$A$2:$A$17,0)),"")</f>
        <v/>
      </c>
      <c r="AB200" t="str">
        <f>IFERROR(INDEX(הגדרות!$B$2:$B$17,MATCH(I200,הגדרות!$A$2:$A$17,0)),"")</f>
        <v/>
      </c>
      <c r="AC200" t="str">
        <f>IFERROR(INDEX(הגדרות!$C$2:$C$17,MATCH(I200,הגדרות!$A$2:$A$17,0)),"")</f>
        <v/>
      </c>
      <c r="AD200">
        <f>IF(AND(מלאי!D200&lt;&gt;"",OR('לוח בקרה'!$B$4="הכל",מלאי!Z200='לוח בקרה'!$B$4,מלאי!AA200='לוח בקרה'!$B$4,מלאי!AB200='לוח בקרה'!$B$4,מלאי!AC200='לוח בקרה'!$B$4),OR('לוח בקרה'!$B$5="הכל",מלאי!A200='לוח בקרה'!$B$5),OR('לוח בקרה'!$B$6="הכל",מלאי!B200='לוח בקרה'!$B$6),OR('לוח בקרה'!$B$7="הכל",מלאי!F200='לוח בקרה'!$B$7,מלאי!G200='לוח בקרה'!$B$7),OR('לוח בקרה'!$B$8="הכל",מלאי!T200='לוח בקרה'!$B$8),OR('לוח בקרה'!$B$9="הכל",מלאי!Q200='לוח בקרה'!$B$9),OR('לוח בקרה'!$E$4="הכל",מלאי!J200='לוח בקרה'!$E$4),OR('לוח בקרה'!$E$5="הכל",מלאי!L200='לוח בקרה'!$E$5),OR('לוח בקרה'!$E$6="הכל",מלאי!O200='לוח בקרה'!$E$6),OR('לוח בקרה'!$E$7="הכל",מלאי!R200='לוח בקרה'!$E$7),OR('לוח בקרה'!$E$8="הכל",'לוח בקרה'!$E$8="",מלאי!W200='לוח בקרה'!$E$8),OR('לוח בקרה'!$E$9="הכל",'לוח בקרה'!$E$9="",ISNUMBER(SEARCH('לוח בקרה'!$E$9,מלאי!C200)))),1,0)</f>
        <v>0</v>
      </c>
      <c r="AE200" t="e">
        <f>IF(AND(מלאי!D200&lt;&gt;"",OR('לוח בקרה טכנו-מבצעי'!$B$4="הכל",מלאי!Z200='לוח בקרה טכנו-מבצעי'!$B$4,מלאי!AA200='לוח בקרה טכנו-מבצעי'!$B$4,מלאי!AB200='לוח בקרה טכנו-מבצעי'!$B$4,מלאי!AC200='לוח בקרה טכנו-מבצעי'!$B$4),OR('לוח בקרה טכנו-מבצעי'!$B$5="הכל",מלאי!A200='לוח בקרה טכנו-מבצעי'!$B$5),OR('לוח בקרה טכנו-מבצעי'!$B$6="הכל",מלאי!B200='לוח בקרה טכנו-מבצעי'!$B$6),OR('לוח בקרה טכנו-מבצעי'!$B$7="הכל",מלאי!F200='לוח בקרה טכנו-מבצעי'!$B$7,מלאי!G200='לוח בקרה טכנו-מבצעי'!$B$7),OR('לוח בקרה טכנו-מבצעי'!$B$8="הכל",מלאי!T200='לוח בקרה טכנו-מבצעי'!$B$8),OR('לוח בקרה טכנו-מבצעי'!$B$9="הכל",מלאי!Q200='לוח בקרה טכנו-מבצעי'!$B$9),OR('לוח בקרה טכנו-מבצעי'!$E$4="הכל",מלאי!J200='לוח בקרה טכנו-מבצעי'!$E$4),OR('לוח בקרה טכנו-מבצעי'!$E$5="הכל",מלאי!L200='לוח בקרה טכנו-מבצעי'!$E$5),OR('לוח בקרה טכנו-מבצעי'!$E$6="הכל",מלאי!O200='לוח בקרה טכנו-מבצעי'!$E$6),OR('לוח בקרה טכנו-מבצעי'!$E$7="הכל",מלאי!R200='לוח בקרה טכנו-מבצעי'!$E$7),OR('לוח בקרה טכנו-מבצעי'!$E$8="הכל",'לוח בקרה טכנו-מבצעי'!$E$8="",מלאי!W200='לוח בקרה טכנו-מבצעי'!$E$8),OR('לוח בקרה טכנו-מבצעי'!$E$9="הכל",'לוח בקרה טכנו-מבצעי'!$E$9="",ISNUMBER(SEARCH('לוח בקרה טכנו-מבצעי'!$E$9,מלאי!C200))),OR('לוח בקרה טכנו-מבצעי'!$B$10="הכל",מלאי!#REF!='לוח בקרה טכנו-מבצעי'!$B$10)),1,0)</f>
        <v>#REF!</v>
      </c>
      <c r="AF200" t="str">
        <f>IF(AD200=1,COUNTIF($AD$3:$AD200,1),"")</f>
        <v/>
      </c>
      <c r="AG200" t="e">
        <f>IF(AE200=1,COUNTIF($AE$3:$AE200,1),"")</f>
        <v>#REF!</v>
      </c>
    </row>
    <row r="201" spans="1:33" ht="15" customHeight="1" x14ac:dyDescent="0.25">
      <c r="A201" s="19"/>
      <c r="B201" s="19"/>
      <c r="C201" s="19"/>
      <c r="D201" s="19"/>
      <c r="E201" s="19" t="str">
        <f>IFERROR(INDEX(הגדרות!$I$2:$I$47,MATCH(B201,הגדרות!$H$2:$H$47,0)),"")</f>
        <v/>
      </c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t="str">
        <f>IFERROR(INDEX(הגדרות!$B$2:$B$17,MATCH(H201,הגדרות!$A$2:$A$17,0)),"")</f>
        <v/>
      </c>
      <c r="AA201" t="str">
        <f>IFERROR(INDEX(הגדרות!$C$2:$C$17,MATCH(H201,הגדרות!$A$2:$A$17,0)),"")</f>
        <v/>
      </c>
      <c r="AB201" t="str">
        <f>IFERROR(INDEX(הגדרות!$B$2:$B$17,MATCH(I201,הגדרות!$A$2:$A$17,0)),"")</f>
        <v/>
      </c>
      <c r="AC201" t="str">
        <f>IFERROR(INDEX(הגדרות!$C$2:$C$17,MATCH(I201,הגדרות!$A$2:$A$17,0)),"")</f>
        <v/>
      </c>
      <c r="AD201">
        <f>IF(AND(מלאי!D201&lt;&gt;"",OR('לוח בקרה'!$B$4="הכל",מלאי!Z201='לוח בקרה'!$B$4,מלאי!AA201='לוח בקרה'!$B$4,מלאי!AB201='לוח בקרה'!$B$4,מלאי!AC201='לוח בקרה'!$B$4),OR('לוח בקרה'!$B$5="הכל",מלאי!A201='לוח בקרה'!$B$5),OR('לוח בקרה'!$B$6="הכל",מלאי!B201='לוח בקרה'!$B$6),OR('לוח בקרה'!$B$7="הכל",מלאי!F201='לוח בקרה'!$B$7,מלאי!G201='לוח בקרה'!$B$7),OR('לוח בקרה'!$B$8="הכל",מלאי!T201='לוח בקרה'!$B$8),OR('לוח בקרה'!$B$9="הכל",מלאי!Q201='לוח בקרה'!$B$9),OR('לוח בקרה'!$E$4="הכל",מלאי!J201='לוח בקרה'!$E$4),OR('לוח בקרה'!$E$5="הכל",מלאי!L201='לוח בקרה'!$E$5),OR('לוח בקרה'!$E$6="הכל",מלאי!O201='לוח בקרה'!$E$6),OR('לוח בקרה'!$E$7="הכל",מלאי!R201='לוח בקרה'!$E$7),OR('לוח בקרה'!$E$8="הכל",'לוח בקרה'!$E$8="",מלאי!W201='לוח בקרה'!$E$8),OR('לוח בקרה'!$E$9="הכל",'לוח בקרה'!$E$9="",ISNUMBER(SEARCH('לוח בקרה'!$E$9,מלאי!C201)))),1,0)</f>
        <v>0</v>
      </c>
      <c r="AE201" t="e">
        <f>IF(AND(מלאי!D201&lt;&gt;"",OR('לוח בקרה טכנו-מבצעי'!$B$4="הכל",מלאי!Z201='לוח בקרה טכנו-מבצעי'!$B$4,מלאי!AA201='לוח בקרה טכנו-מבצעי'!$B$4,מלאי!AB201='לוח בקרה טכנו-מבצעי'!$B$4,מלאי!AC201='לוח בקרה טכנו-מבצעי'!$B$4),OR('לוח בקרה טכנו-מבצעי'!$B$5="הכל",מלאי!A201='לוח בקרה טכנו-מבצעי'!$B$5),OR('לוח בקרה טכנו-מבצעי'!$B$6="הכל",מלאי!B201='לוח בקרה טכנו-מבצעי'!$B$6),OR('לוח בקרה טכנו-מבצעי'!$B$7="הכל",מלאי!F201='לוח בקרה טכנו-מבצעי'!$B$7,מלאי!G201='לוח בקרה טכנו-מבצעי'!$B$7),OR('לוח בקרה טכנו-מבצעי'!$B$8="הכל",מלאי!T201='לוח בקרה טכנו-מבצעי'!$B$8),OR('לוח בקרה טכנו-מבצעי'!$B$9="הכל",מלאי!Q201='לוח בקרה טכנו-מבצעי'!$B$9),OR('לוח בקרה טכנו-מבצעי'!$E$4="הכל",מלאי!J201='לוח בקרה טכנו-מבצעי'!$E$4),OR('לוח בקרה טכנו-מבצעי'!$E$5="הכל",מלאי!L201='לוח בקרה טכנו-מבצעי'!$E$5),OR('לוח בקרה טכנו-מבצעי'!$E$6="הכל",מלאי!O201='לוח בקרה טכנו-מבצעי'!$E$6),OR('לוח בקרה טכנו-מבצעי'!$E$7="הכל",מלאי!R201='לוח בקרה טכנו-מבצעי'!$E$7),OR('לוח בקרה טכנו-מבצעי'!$E$8="הכל",'לוח בקרה טכנו-מבצעי'!$E$8="",מלאי!W201='לוח בקרה טכנו-מבצעי'!$E$8),OR('לוח בקרה טכנו-מבצעי'!$E$9="הכל",'לוח בקרה טכנו-מבצעי'!$E$9="",ISNUMBER(SEARCH('לוח בקרה טכנו-מבצעי'!$E$9,מלאי!C201))),OR('לוח בקרה טכנו-מבצעי'!$B$10="הכל",מלאי!#REF!='לוח בקרה טכנו-מבצעי'!$B$10)),1,0)</f>
        <v>#REF!</v>
      </c>
      <c r="AF201" t="str">
        <f>IF(AD201=1,COUNTIF($AD$3:$AD201,1),"")</f>
        <v/>
      </c>
      <c r="AG201" t="e">
        <f>IF(AE201=1,COUNTIF($AE$3:$AE201,1),"")</f>
        <v>#REF!</v>
      </c>
    </row>
    <row r="202" spans="1:33" ht="15" customHeight="1" x14ac:dyDescent="0.25">
      <c r="A202" s="17"/>
      <c r="B202" s="17"/>
      <c r="C202" s="17"/>
      <c r="D202" s="17"/>
      <c r="E202" s="17" t="str">
        <f>IFERROR(INDEX(הגדרות!$I$2:$I$47,MATCH(B202,הגדרות!$H$2:$H$47,0)),"")</f>
        <v/>
      </c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t="str">
        <f>IFERROR(INDEX(הגדרות!$B$2:$B$17,MATCH(H202,הגדרות!$A$2:$A$17,0)),"")</f>
        <v/>
      </c>
      <c r="AA202" t="str">
        <f>IFERROR(INDEX(הגדרות!$C$2:$C$17,MATCH(H202,הגדרות!$A$2:$A$17,0)),"")</f>
        <v/>
      </c>
      <c r="AB202" t="str">
        <f>IFERROR(INDEX(הגדרות!$B$2:$B$17,MATCH(I202,הגדרות!$A$2:$A$17,0)),"")</f>
        <v/>
      </c>
      <c r="AC202" t="str">
        <f>IFERROR(INDEX(הגדרות!$C$2:$C$17,MATCH(I202,הגדרות!$A$2:$A$17,0)),"")</f>
        <v/>
      </c>
      <c r="AD202">
        <f>IF(AND(מלאי!D202&lt;&gt;"",OR('לוח בקרה'!$B$4="הכל",מלאי!Z202='לוח בקרה'!$B$4,מלאי!AA202='לוח בקרה'!$B$4,מלאי!AB202='לוח בקרה'!$B$4,מלאי!AC202='לוח בקרה'!$B$4),OR('לוח בקרה'!$B$5="הכל",מלאי!A202='לוח בקרה'!$B$5),OR('לוח בקרה'!$B$6="הכל",מלאי!B202='לוח בקרה'!$B$6),OR('לוח בקרה'!$B$7="הכל",מלאי!F202='לוח בקרה'!$B$7,מלאי!G202='לוח בקרה'!$B$7),OR('לוח בקרה'!$B$8="הכל",מלאי!T202='לוח בקרה'!$B$8),OR('לוח בקרה'!$B$9="הכל",מלאי!Q202='לוח בקרה'!$B$9),OR('לוח בקרה'!$E$4="הכל",מלאי!J202='לוח בקרה'!$E$4),OR('לוח בקרה'!$E$5="הכל",מלאי!L202='לוח בקרה'!$E$5),OR('לוח בקרה'!$E$6="הכל",מלאי!O202='לוח בקרה'!$E$6),OR('לוח בקרה'!$E$7="הכל",מלאי!R202='לוח בקרה'!$E$7),OR('לוח בקרה'!$E$8="הכל",'לוח בקרה'!$E$8="",מלאי!W202='לוח בקרה'!$E$8),OR('לוח בקרה'!$E$9="הכל",'לוח בקרה'!$E$9="",ISNUMBER(SEARCH('לוח בקרה'!$E$9,מלאי!C202)))),1,0)</f>
        <v>0</v>
      </c>
      <c r="AE202" t="e">
        <f>IF(AND(מלאי!D202&lt;&gt;"",OR('לוח בקרה טכנו-מבצעי'!$B$4="הכל",מלאי!Z202='לוח בקרה טכנו-מבצעי'!$B$4,מלאי!AA202='לוח בקרה טכנו-מבצעי'!$B$4,מלאי!AB202='לוח בקרה טכנו-מבצעי'!$B$4,מלאי!AC202='לוח בקרה טכנו-מבצעי'!$B$4),OR('לוח בקרה טכנו-מבצעי'!$B$5="הכל",מלאי!A202='לוח בקרה טכנו-מבצעי'!$B$5),OR('לוח בקרה טכנו-מבצעי'!$B$6="הכל",מלאי!B202='לוח בקרה טכנו-מבצעי'!$B$6),OR('לוח בקרה טכנו-מבצעי'!$B$7="הכל",מלאי!F202='לוח בקרה טכנו-מבצעי'!$B$7,מלאי!G202='לוח בקרה טכנו-מבצעי'!$B$7),OR('לוח בקרה טכנו-מבצעי'!$B$8="הכל",מלאי!T202='לוח בקרה טכנו-מבצעי'!$B$8),OR('לוח בקרה טכנו-מבצעי'!$B$9="הכל",מלאי!Q202='לוח בקרה טכנו-מבצעי'!$B$9),OR('לוח בקרה טכנו-מבצעי'!$E$4="הכל",מלאי!J202='לוח בקרה טכנו-מבצעי'!$E$4),OR('לוח בקרה טכנו-מבצעי'!$E$5="הכל",מלאי!L202='לוח בקרה טכנו-מבצעי'!$E$5),OR('לוח בקרה טכנו-מבצעי'!$E$6="הכל",מלאי!O202='לוח בקרה טכנו-מבצעי'!$E$6),OR('לוח בקרה טכנו-מבצעי'!$E$7="הכל",מלאי!R202='לוח בקרה טכנו-מבצעי'!$E$7),OR('לוח בקרה טכנו-מבצעי'!$E$8="הכל",'לוח בקרה טכנו-מבצעי'!$E$8="",מלאי!W202='לוח בקרה טכנו-מבצעי'!$E$8),OR('לוח בקרה טכנו-מבצעי'!$E$9="הכל",'לוח בקרה טכנו-מבצעי'!$E$9="",ISNUMBER(SEARCH('לוח בקרה טכנו-מבצעי'!$E$9,מלאי!C202))),OR('לוח בקרה טכנו-מבצעי'!$B$10="הכל",מלאי!#REF!='לוח בקרה טכנו-מבצעי'!$B$10)),1,0)</f>
        <v>#REF!</v>
      </c>
      <c r="AF202" t="str">
        <f>IF(AD202=1,COUNTIF($AD$3:$AD202,1),"")</f>
        <v/>
      </c>
      <c r="AG202" t="e">
        <f>IF(AE202=1,COUNTIF($AE$3:$AE202,1),"")</f>
        <v>#REF!</v>
      </c>
    </row>
    <row r="203" spans="1:33" ht="15" customHeight="1" x14ac:dyDescent="0.25">
      <c r="A203" s="19"/>
      <c r="B203" s="19"/>
      <c r="C203" s="19"/>
      <c r="D203" s="19"/>
      <c r="E203" s="19" t="str">
        <f>IFERROR(INDEX(הגדרות!$I$2:$I$47,MATCH(B203,הגדרות!$H$2:$H$47,0)),"")</f>
        <v/>
      </c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t="str">
        <f>IFERROR(INDEX(הגדרות!$B$2:$B$17,MATCH(H203,הגדרות!$A$2:$A$17,0)),"")</f>
        <v/>
      </c>
      <c r="AA203" t="str">
        <f>IFERROR(INDEX(הגדרות!$C$2:$C$17,MATCH(H203,הגדרות!$A$2:$A$17,0)),"")</f>
        <v/>
      </c>
      <c r="AB203" t="str">
        <f>IFERROR(INDEX(הגדרות!$B$2:$B$17,MATCH(I203,הגדרות!$A$2:$A$17,0)),"")</f>
        <v/>
      </c>
      <c r="AC203" t="str">
        <f>IFERROR(INDEX(הגדרות!$C$2:$C$17,MATCH(I203,הגדרות!$A$2:$A$17,0)),"")</f>
        <v/>
      </c>
      <c r="AD203">
        <f>IF(AND(מלאי!D203&lt;&gt;"",OR('לוח בקרה'!$B$4="הכל",מלאי!Z203='לוח בקרה'!$B$4,מלאי!AA203='לוח בקרה'!$B$4,מלאי!AB203='לוח בקרה'!$B$4,מלאי!AC203='לוח בקרה'!$B$4),OR('לוח בקרה'!$B$5="הכל",מלאי!A203='לוח בקרה'!$B$5),OR('לוח בקרה'!$B$6="הכל",מלאי!B203='לוח בקרה'!$B$6),OR('לוח בקרה'!$B$7="הכל",מלאי!F203='לוח בקרה'!$B$7,מלאי!G203='לוח בקרה'!$B$7),OR('לוח בקרה'!$B$8="הכל",מלאי!T203='לוח בקרה'!$B$8),OR('לוח בקרה'!$B$9="הכל",מלאי!Q203='לוח בקרה'!$B$9),OR('לוח בקרה'!$E$4="הכל",מלאי!J203='לוח בקרה'!$E$4),OR('לוח בקרה'!$E$5="הכל",מלאי!L203='לוח בקרה'!$E$5),OR('לוח בקרה'!$E$6="הכל",מלאי!O203='לוח בקרה'!$E$6),OR('לוח בקרה'!$E$7="הכל",מלאי!R203='לוח בקרה'!$E$7),OR('לוח בקרה'!$E$8="הכל",'לוח בקרה'!$E$8="",מלאי!W203='לוח בקרה'!$E$8),OR('לוח בקרה'!$E$9="הכל",'לוח בקרה'!$E$9="",ISNUMBER(SEARCH('לוח בקרה'!$E$9,מלאי!C203)))),1,0)</f>
        <v>0</v>
      </c>
      <c r="AE203" t="e">
        <f>IF(AND(מלאי!D203&lt;&gt;"",OR('לוח בקרה טכנו-מבצעי'!$B$4="הכל",מלאי!Z203='לוח בקרה טכנו-מבצעי'!$B$4,מלאי!AA203='לוח בקרה טכנו-מבצעי'!$B$4,מלאי!AB203='לוח בקרה טכנו-מבצעי'!$B$4,מלאי!AC203='לוח בקרה טכנו-מבצעי'!$B$4),OR('לוח בקרה טכנו-מבצעי'!$B$5="הכל",מלאי!A203='לוח בקרה טכנו-מבצעי'!$B$5),OR('לוח בקרה טכנו-מבצעי'!$B$6="הכל",מלאי!B203='לוח בקרה טכנו-מבצעי'!$B$6),OR('לוח בקרה טכנו-מבצעי'!$B$7="הכל",מלאי!F203='לוח בקרה טכנו-מבצעי'!$B$7,מלאי!G203='לוח בקרה טכנו-מבצעי'!$B$7),OR('לוח בקרה טכנו-מבצעי'!$B$8="הכל",מלאי!T203='לוח בקרה טכנו-מבצעי'!$B$8),OR('לוח בקרה טכנו-מבצעי'!$B$9="הכל",מלאי!Q203='לוח בקרה טכנו-מבצעי'!$B$9),OR('לוח בקרה טכנו-מבצעי'!$E$4="הכל",מלאי!J203='לוח בקרה טכנו-מבצעי'!$E$4),OR('לוח בקרה טכנו-מבצעי'!$E$5="הכל",מלאי!L203='לוח בקרה טכנו-מבצעי'!$E$5),OR('לוח בקרה טכנו-מבצעי'!$E$6="הכל",מלאי!O203='לוח בקרה טכנו-מבצעי'!$E$6),OR('לוח בקרה טכנו-מבצעי'!$E$7="הכל",מלאי!R203='לוח בקרה טכנו-מבצעי'!$E$7),OR('לוח בקרה טכנו-מבצעי'!$E$8="הכל",'לוח בקרה טכנו-מבצעי'!$E$8="",מלאי!W203='לוח בקרה טכנו-מבצעי'!$E$8),OR('לוח בקרה טכנו-מבצעי'!$E$9="הכל",'לוח בקרה טכנו-מבצעי'!$E$9="",ISNUMBER(SEARCH('לוח בקרה טכנו-מבצעי'!$E$9,מלאי!C203))),OR('לוח בקרה טכנו-מבצעי'!$B$10="הכל",מלאי!#REF!='לוח בקרה טכנו-מבצעי'!$B$10)),1,0)</f>
        <v>#REF!</v>
      </c>
      <c r="AF203" t="str">
        <f>IF(AD203=1,COUNTIF($AD$3:$AD203,1),"")</f>
        <v/>
      </c>
      <c r="AG203" t="e">
        <f>IF(AE203=1,COUNTIF($AE$3:$AE203,1),"")</f>
        <v>#REF!</v>
      </c>
    </row>
    <row r="204" spans="1:33" ht="15" customHeight="1" x14ac:dyDescent="0.25">
      <c r="A204" s="17"/>
      <c r="B204" s="17"/>
      <c r="C204" s="17"/>
      <c r="D204" s="17"/>
      <c r="E204" s="17" t="str">
        <f>IFERROR(INDEX(הגדרות!$I$2:$I$47,MATCH(B204,הגדרות!$H$2:$H$47,0)),"")</f>
        <v/>
      </c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t="str">
        <f>IFERROR(INDEX(הגדרות!$B$2:$B$17,MATCH(H204,הגדרות!$A$2:$A$17,0)),"")</f>
        <v/>
      </c>
      <c r="AA204" t="str">
        <f>IFERROR(INDEX(הגדרות!$C$2:$C$17,MATCH(H204,הגדרות!$A$2:$A$17,0)),"")</f>
        <v/>
      </c>
      <c r="AB204" t="str">
        <f>IFERROR(INDEX(הגדרות!$B$2:$B$17,MATCH(I204,הגדרות!$A$2:$A$17,0)),"")</f>
        <v/>
      </c>
      <c r="AC204" t="str">
        <f>IFERROR(INDEX(הגדרות!$C$2:$C$17,MATCH(I204,הגדרות!$A$2:$A$17,0)),"")</f>
        <v/>
      </c>
      <c r="AD204">
        <f>IF(AND(מלאי!D204&lt;&gt;"",OR('לוח בקרה'!$B$4="הכל",מלאי!Z204='לוח בקרה'!$B$4,מלאי!AA204='לוח בקרה'!$B$4,מלאי!AB204='לוח בקרה'!$B$4,מלאי!AC204='לוח בקרה'!$B$4),OR('לוח בקרה'!$B$5="הכל",מלאי!A204='לוח בקרה'!$B$5),OR('לוח בקרה'!$B$6="הכל",מלאי!B204='לוח בקרה'!$B$6),OR('לוח בקרה'!$B$7="הכל",מלאי!F204='לוח בקרה'!$B$7,מלאי!G204='לוח בקרה'!$B$7),OR('לוח בקרה'!$B$8="הכל",מלאי!T204='לוח בקרה'!$B$8),OR('לוח בקרה'!$B$9="הכל",מלאי!Q204='לוח בקרה'!$B$9),OR('לוח בקרה'!$E$4="הכל",מלאי!J204='לוח בקרה'!$E$4),OR('לוח בקרה'!$E$5="הכל",מלאי!L204='לוח בקרה'!$E$5),OR('לוח בקרה'!$E$6="הכל",מלאי!O204='לוח בקרה'!$E$6),OR('לוח בקרה'!$E$7="הכל",מלאי!R204='לוח בקרה'!$E$7),OR('לוח בקרה'!$E$8="הכל",'לוח בקרה'!$E$8="",מלאי!W204='לוח בקרה'!$E$8),OR('לוח בקרה'!$E$9="הכל",'לוח בקרה'!$E$9="",ISNUMBER(SEARCH('לוח בקרה'!$E$9,מלאי!C204)))),1,0)</f>
        <v>0</v>
      </c>
      <c r="AE204" t="e">
        <f>IF(AND(מלאי!D204&lt;&gt;"",OR('לוח בקרה טכנו-מבצעי'!$B$4="הכל",מלאי!Z204='לוח בקרה טכנו-מבצעי'!$B$4,מלאי!AA204='לוח בקרה טכנו-מבצעי'!$B$4,מלאי!AB204='לוח בקרה טכנו-מבצעי'!$B$4,מלאי!AC204='לוח בקרה טכנו-מבצעי'!$B$4),OR('לוח בקרה טכנו-מבצעי'!$B$5="הכל",מלאי!A204='לוח בקרה טכנו-מבצעי'!$B$5),OR('לוח בקרה טכנו-מבצעי'!$B$6="הכל",מלאי!B204='לוח בקרה טכנו-מבצעי'!$B$6),OR('לוח בקרה טכנו-מבצעי'!$B$7="הכל",מלאי!F204='לוח בקרה טכנו-מבצעי'!$B$7,מלאי!G204='לוח בקרה טכנו-מבצעי'!$B$7),OR('לוח בקרה טכנו-מבצעי'!$B$8="הכל",מלאי!T204='לוח בקרה טכנו-מבצעי'!$B$8),OR('לוח בקרה טכנו-מבצעי'!$B$9="הכל",מלאי!Q204='לוח בקרה טכנו-מבצעי'!$B$9),OR('לוח בקרה טכנו-מבצעי'!$E$4="הכל",מלאי!J204='לוח בקרה טכנו-מבצעי'!$E$4),OR('לוח בקרה טכנו-מבצעי'!$E$5="הכל",מלאי!L204='לוח בקרה טכנו-מבצעי'!$E$5),OR('לוח בקרה טכנו-מבצעי'!$E$6="הכל",מלאי!O204='לוח בקרה טכנו-מבצעי'!$E$6),OR('לוח בקרה טכנו-מבצעי'!$E$7="הכל",מלאי!R204='לוח בקרה טכנו-מבצעי'!$E$7),OR('לוח בקרה טכנו-מבצעי'!$E$8="הכל",'לוח בקרה טכנו-מבצעי'!$E$8="",מלאי!W204='לוח בקרה טכנו-מבצעי'!$E$8),OR('לוח בקרה טכנו-מבצעי'!$E$9="הכל",'לוח בקרה טכנו-מבצעי'!$E$9="",ISNUMBER(SEARCH('לוח בקרה טכנו-מבצעי'!$E$9,מלאי!C204))),OR('לוח בקרה טכנו-מבצעי'!$B$10="הכל",מלאי!#REF!='לוח בקרה טכנו-מבצעי'!$B$10)),1,0)</f>
        <v>#REF!</v>
      </c>
      <c r="AF204" t="str">
        <f>IF(AD204=1,COUNTIF($AD$3:$AD204,1),"")</f>
        <v/>
      </c>
      <c r="AG204" t="e">
        <f>IF(AE204=1,COUNTIF($AE$3:$AE204,1),"")</f>
        <v>#REF!</v>
      </c>
    </row>
    <row r="205" spans="1:33" ht="15" customHeight="1" x14ac:dyDescent="0.25">
      <c r="A205" s="19"/>
      <c r="B205" s="19"/>
      <c r="C205" s="19"/>
      <c r="D205" s="19"/>
      <c r="E205" s="19" t="str">
        <f>IFERROR(INDEX(הגדרות!$I$2:$I$47,MATCH(B205,הגדרות!$H$2:$H$47,0)),"")</f>
        <v/>
      </c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t="str">
        <f>IFERROR(INDEX(הגדרות!$B$2:$B$17,MATCH(H205,הגדרות!$A$2:$A$17,0)),"")</f>
        <v/>
      </c>
      <c r="AA205" t="str">
        <f>IFERROR(INDEX(הגדרות!$C$2:$C$17,MATCH(H205,הגדרות!$A$2:$A$17,0)),"")</f>
        <v/>
      </c>
      <c r="AB205" t="str">
        <f>IFERROR(INDEX(הגדרות!$B$2:$B$17,MATCH(I205,הגדרות!$A$2:$A$17,0)),"")</f>
        <v/>
      </c>
      <c r="AC205" t="str">
        <f>IFERROR(INDEX(הגדרות!$C$2:$C$17,MATCH(I205,הגדרות!$A$2:$A$17,0)),"")</f>
        <v/>
      </c>
      <c r="AD205">
        <f>IF(AND(מלאי!D205&lt;&gt;"",OR('לוח בקרה'!$B$4="הכל",מלאי!Z205='לוח בקרה'!$B$4,מלאי!AA205='לוח בקרה'!$B$4,מלאי!AB205='לוח בקרה'!$B$4,מלאי!AC205='לוח בקרה'!$B$4),OR('לוח בקרה'!$B$5="הכל",מלאי!A205='לוח בקרה'!$B$5),OR('לוח בקרה'!$B$6="הכל",מלאי!B205='לוח בקרה'!$B$6),OR('לוח בקרה'!$B$7="הכל",מלאי!F205='לוח בקרה'!$B$7,מלאי!G205='לוח בקרה'!$B$7),OR('לוח בקרה'!$B$8="הכל",מלאי!T205='לוח בקרה'!$B$8),OR('לוח בקרה'!$B$9="הכל",מלאי!Q205='לוח בקרה'!$B$9),OR('לוח בקרה'!$E$4="הכל",מלאי!J205='לוח בקרה'!$E$4),OR('לוח בקרה'!$E$5="הכל",מלאי!L205='לוח בקרה'!$E$5),OR('לוח בקרה'!$E$6="הכל",מלאי!O205='לוח בקרה'!$E$6),OR('לוח בקרה'!$E$7="הכל",מלאי!R205='לוח בקרה'!$E$7),OR('לוח בקרה'!$E$8="הכל",'לוח בקרה'!$E$8="",מלאי!W205='לוח בקרה'!$E$8),OR('לוח בקרה'!$E$9="הכל",'לוח בקרה'!$E$9="",ISNUMBER(SEARCH('לוח בקרה'!$E$9,מלאי!C205)))),1,0)</f>
        <v>0</v>
      </c>
      <c r="AE205" t="e">
        <f>IF(AND(מלאי!D205&lt;&gt;"",OR('לוח בקרה טכנו-מבצעי'!$B$4="הכל",מלאי!Z205='לוח בקרה טכנו-מבצעי'!$B$4,מלאי!AA205='לוח בקרה טכנו-מבצעי'!$B$4,מלאי!AB205='לוח בקרה טכנו-מבצעי'!$B$4,מלאי!AC205='לוח בקרה טכנו-מבצעי'!$B$4),OR('לוח בקרה טכנו-מבצעי'!$B$5="הכל",מלאי!A205='לוח בקרה טכנו-מבצעי'!$B$5),OR('לוח בקרה טכנו-מבצעי'!$B$6="הכל",מלאי!B205='לוח בקרה טכנו-מבצעי'!$B$6),OR('לוח בקרה טכנו-מבצעי'!$B$7="הכל",מלאי!F205='לוח בקרה טכנו-מבצעי'!$B$7,מלאי!G205='לוח בקרה טכנו-מבצעי'!$B$7),OR('לוח בקרה טכנו-מבצעי'!$B$8="הכל",מלאי!T205='לוח בקרה טכנו-מבצעי'!$B$8),OR('לוח בקרה טכנו-מבצעי'!$B$9="הכל",מלאי!Q205='לוח בקרה טכנו-מבצעי'!$B$9),OR('לוח בקרה טכנו-מבצעי'!$E$4="הכל",מלאי!J205='לוח בקרה טכנו-מבצעי'!$E$4),OR('לוח בקרה טכנו-מבצעי'!$E$5="הכל",מלאי!L205='לוח בקרה טכנו-מבצעי'!$E$5),OR('לוח בקרה טכנו-מבצעי'!$E$6="הכל",מלאי!O205='לוח בקרה טכנו-מבצעי'!$E$6),OR('לוח בקרה טכנו-מבצעי'!$E$7="הכל",מלאי!R205='לוח בקרה טכנו-מבצעי'!$E$7),OR('לוח בקרה טכנו-מבצעי'!$E$8="הכל",'לוח בקרה טכנו-מבצעי'!$E$8="",מלאי!W205='לוח בקרה טכנו-מבצעי'!$E$8),OR('לוח בקרה טכנו-מבצעי'!$E$9="הכל",'לוח בקרה טכנו-מבצעי'!$E$9="",ISNUMBER(SEARCH('לוח בקרה טכנו-מבצעי'!$E$9,מלאי!C205))),OR('לוח בקרה טכנו-מבצעי'!$B$10="הכל",מלאי!#REF!='לוח בקרה טכנו-מבצעי'!$B$10)),1,0)</f>
        <v>#REF!</v>
      </c>
      <c r="AF205" t="str">
        <f>IF(AD205=1,COUNTIF($AD$3:$AD205,1),"")</f>
        <v/>
      </c>
      <c r="AG205" t="e">
        <f>IF(AE205=1,COUNTIF($AE$3:$AE205,1),"")</f>
        <v>#REF!</v>
      </c>
    </row>
    <row r="206" spans="1:33" ht="15" customHeight="1" x14ac:dyDescent="0.25">
      <c r="A206" s="17"/>
      <c r="B206" s="17"/>
      <c r="C206" s="17"/>
      <c r="D206" s="17"/>
      <c r="E206" s="17" t="str">
        <f>IFERROR(INDEX(הגדרות!$I$2:$I$47,MATCH(B206,הגדרות!$H$2:$H$47,0)),"")</f>
        <v/>
      </c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t="str">
        <f>IFERROR(INDEX(הגדרות!$B$2:$B$17,MATCH(H206,הגדרות!$A$2:$A$17,0)),"")</f>
        <v/>
      </c>
      <c r="AA206" t="str">
        <f>IFERROR(INDEX(הגדרות!$C$2:$C$17,MATCH(H206,הגדרות!$A$2:$A$17,0)),"")</f>
        <v/>
      </c>
      <c r="AB206" t="str">
        <f>IFERROR(INDEX(הגדרות!$B$2:$B$17,MATCH(I206,הגדרות!$A$2:$A$17,0)),"")</f>
        <v/>
      </c>
      <c r="AC206" t="str">
        <f>IFERROR(INDEX(הגדרות!$C$2:$C$17,MATCH(I206,הגדרות!$A$2:$A$17,0)),"")</f>
        <v/>
      </c>
      <c r="AD206">
        <f>IF(AND(מלאי!D206&lt;&gt;"",OR('לוח בקרה'!$B$4="הכל",מלאי!Z206='לוח בקרה'!$B$4,מלאי!AA206='לוח בקרה'!$B$4,מלאי!AB206='לוח בקרה'!$B$4,מלאי!AC206='לוח בקרה'!$B$4),OR('לוח בקרה'!$B$5="הכל",מלאי!A206='לוח בקרה'!$B$5),OR('לוח בקרה'!$B$6="הכל",מלאי!B206='לוח בקרה'!$B$6),OR('לוח בקרה'!$B$7="הכל",מלאי!F206='לוח בקרה'!$B$7,מלאי!G206='לוח בקרה'!$B$7),OR('לוח בקרה'!$B$8="הכל",מלאי!T206='לוח בקרה'!$B$8),OR('לוח בקרה'!$B$9="הכל",מלאי!Q206='לוח בקרה'!$B$9),OR('לוח בקרה'!$E$4="הכל",מלאי!J206='לוח בקרה'!$E$4),OR('לוח בקרה'!$E$5="הכל",מלאי!L206='לוח בקרה'!$E$5),OR('לוח בקרה'!$E$6="הכל",מלאי!O206='לוח בקרה'!$E$6),OR('לוח בקרה'!$E$7="הכל",מלאי!R206='לוח בקרה'!$E$7),OR('לוח בקרה'!$E$8="הכל",'לוח בקרה'!$E$8="",מלאי!W206='לוח בקרה'!$E$8),OR('לוח בקרה'!$E$9="הכל",'לוח בקרה'!$E$9="",ISNUMBER(SEARCH('לוח בקרה'!$E$9,מלאי!C206)))),1,0)</f>
        <v>0</v>
      </c>
      <c r="AE206" t="e">
        <f>IF(AND(מלאי!D206&lt;&gt;"",OR('לוח בקרה טכנו-מבצעי'!$B$4="הכל",מלאי!Z206='לוח בקרה טכנו-מבצעי'!$B$4,מלאי!AA206='לוח בקרה טכנו-מבצעי'!$B$4,מלאי!AB206='לוח בקרה טכנו-מבצעי'!$B$4,מלאי!AC206='לוח בקרה טכנו-מבצעי'!$B$4),OR('לוח בקרה טכנו-מבצעי'!$B$5="הכל",מלאי!A206='לוח בקרה טכנו-מבצעי'!$B$5),OR('לוח בקרה טכנו-מבצעי'!$B$6="הכל",מלאי!B206='לוח בקרה טכנו-מבצעי'!$B$6),OR('לוח בקרה טכנו-מבצעי'!$B$7="הכל",מלאי!F206='לוח בקרה טכנו-מבצעי'!$B$7,מלאי!G206='לוח בקרה טכנו-מבצעי'!$B$7),OR('לוח בקרה טכנו-מבצעי'!$B$8="הכל",מלאי!T206='לוח בקרה טכנו-מבצעי'!$B$8),OR('לוח בקרה טכנו-מבצעי'!$B$9="הכל",מלאי!Q206='לוח בקרה טכנו-מבצעי'!$B$9),OR('לוח בקרה טכנו-מבצעי'!$E$4="הכל",מלאי!J206='לוח בקרה טכנו-מבצעי'!$E$4),OR('לוח בקרה טכנו-מבצעי'!$E$5="הכל",מלאי!L206='לוח בקרה טכנו-מבצעי'!$E$5),OR('לוח בקרה טכנו-מבצעי'!$E$6="הכל",מלאי!O206='לוח בקרה טכנו-מבצעי'!$E$6),OR('לוח בקרה טכנו-מבצעי'!$E$7="הכל",מלאי!R206='לוח בקרה טכנו-מבצעי'!$E$7),OR('לוח בקרה טכנו-מבצעי'!$E$8="הכל",'לוח בקרה טכנו-מבצעי'!$E$8="",מלאי!W206='לוח בקרה טכנו-מבצעי'!$E$8),OR('לוח בקרה טכנו-מבצעי'!$E$9="הכל",'לוח בקרה טכנו-מבצעי'!$E$9="",ISNUMBER(SEARCH('לוח בקרה טכנו-מבצעי'!$E$9,מלאי!C206))),OR('לוח בקרה טכנו-מבצעי'!$B$10="הכל",מלאי!#REF!='לוח בקרה טכנו-מבצעי'!$B$10)),1,0)</f>
        <v>#REF!</v>
      </c>
      <c r="AF206" t="str">
        <f>IF(AD206=1,COUNTIF($AD$3:$AD206,1),"")</f>
        <v/>
      </c>
      <c r="AG206" t="e">
        <f>IF(AE206=1,COUNTIF($AE$3:$AE206,1),"")</f>
        <v>#REF!</v>
      </c>
    </row>
    <row r="207" spans="1:33" ht="15" customHeight="1" x14ac:dyDescent="0.25">
      <c r="A207" s="19"/>
      <c r="B207" s="19"/>
      <c r="C207" s="19"/>
      <c r="D207" s="19"/>
      <c r="E207" s="19" t="str">
        <f>IFERROR(INDEX(הגדרות!$I$2:$I$47,MATCH(B207,הגדרות!$H$2:$H$47,0)),"")</f>
        <v/>
      </c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t="str">
        <f>IFERROR(INDEX(הגדרות!$B$2:$B$17,MATCH(H207,הגדרות!$A$2:$A$17,0)),"")</f>
        <v/>
      </c>
      <c r="AA207" t="str">
        <f>IFERROR(INDEX(הגדרות!$C$2:$C$17,MATCH(H207,הגדרות!$A$2:$A$17,0)),"")</f>
        <v/>
      </c>
      <c r="AB207" t="str">
        <f>IFERROR(INDEX(הגדרות!$B$2:$B$17,MATCH(I207,הגדרות!$A$2:$A$17,0)),"")</f>
        <v/>
      </c>
      <c r="AC207" t="str">
        <f>IFERROR(INDEX(הגדרות!$C$2:$C$17,MATCH(I207,הגדרות!$A$2:$A$17,0)),"")</f>
        <v/>
      </c>
      <c r="AD207">
        <f>IF(AND(מלאי!D207&lt;&gt;"",OR('לוח בקרה'!$B$4="הכל",מלאי!Z207='לוח בקרה'!$B$4,מלאי!AA207='לוח בקרה'!$B$4,מלאי!AB207='לוח בקרה'!$B$4,מלאי!AC207='לוח בקרה'!$B$4),OR('לוח בקרה'!$B$5="הכל",מלאי!A207='לוח בקרה'!$B$5),OR('לוח בקרה'!$B$6="הכל",מלאי!B207='לוח בקרה'!$B$6),OR('לוח בקרה'!$B$7="הכל",מלאי!F207='לוח בקרה'!$B$7,מלאי!G207='לוח בקרה'!$B$7),OR('לוח בקרה'!$B$8="הכל",מלאי!T207='לוח בקרה'!$B$8),OR('לוח בקרה'!$B$9="הכל",מלאי!Q207='לוח בקרה'!$B$9),OR('לוח בקרה'!$E$4="הכל",מלאי!J207='לוח בקרה'!$E$4),OR('לוח בקרה'!$E$5="הכל",מלאי!L207='לוח בקרה'!$E$5),OR('לוח בקרה'!$E$6="הכל",מלאי!O207='לוח בקרה'!$E$6),OR('לוח בקרה'!$E$7="הכל",מלאי!R207='לוח בקרה'!$E$7),OR('לוח בקרה'!$E$8="הכל",'לוח בקרה'!$E$8="",מלאי!W207='לוח בקרה'!$E$8),OR('לוח בקרה'!$E$9="הכל",'לוח בקרה'!$E$9="",ISNUMBER(SEARCH('לוח בקרה'!$E$9,מלאי!C207)))),1,0)</f>
        <v>0</v>
      </c>
      <c r="AE207" t="e">
        <f>IF(AND(מלאי!D207&lt;&gt;"",OR('לוח בקרה טכנו-מבצעי'!$B$4="הכל",מלאי!Z207='לוח בקרה טכנו-מבצעי'!$B$4,מלאי!AA207='לוח בקרה טכנו-מבצעי'!$B$4,מלאי!AB207='לוח בקרה טכנו-מבצעי'!$B$4,מלאי!AC207='לוח בקרה טכנו-מבצעי'!$B$4),OR('לוח בקרה טכנו-מבצעי'!$B$5="הכל",מלאי!A207='לוח בקרה טכנו-מבצעי'!$B$5),OR('לוח בקרה טכנו-מבצעי'!$B$6="הכל",מלאי!B207='לוח בקרה טכנו-מבצעי'!$B$6),OR('לוח בקרה טכנו-מבצעי'!$B$7="הכל",מלאי!F207='לוח בקרה טכנו-מבצעי'!$B$7,מלאי!G207='לוח בקרה טכנו-מבצעי'!$B$7),OR('לוח בקרה טכנו-מבצעי'!$B$8="הכל",מלאי!T207='לוח בקרה טכנו-מבצעי'!$B$8),OR('לוח בקרה טכנו-מבצעי'!$B$9="הכל",מלאי!Q207='לוח בקרה טכנו-מבצעי'!$B$9),OR('לוח בקרה טכנו-מבצעי'!$E$4="הכל",מלאי!J207='לוח בקרה טכנו-מבצעי'!$E$4),OR('לוח בקרה טכנו-מבצעי'!$E$5="הכל",מלאי!L207='לוח בקרה טכנו-מבצעי'!$E$5),OR('לוח בקרה טכנו-מבצעי'!$E$6="הכל",מלאי!O207='לוח בקרה טכנו-מבצעי'!$E$6),OR('לוח בקרה טכנו-מבצעי'!$E$7="הכל",מלאי!R207='לוח בקרה טכנו-מבצעי'!$E$7),OR('לוח בקרה טכנו-מבצעי'!$E$8="הכל",'לוח בקרה טכנו-מבצעי'!$E$8="",מלאי!W207='לוח בקרה טכנו-מבצעי'!$E$8),OR('לוח בקרה טכנו-מבצעי'!$E$9="הכל",'לוח בקרה טכנו-מבצעי'!$E$9="",ISNUMBER(SEARCH('לוח בקרה טכנו-מבצעי'!$E$9,מלאי!C207))),OR('לוח בקרה טכנו-מבצעי'!$B$10="הכל",מלאי!#REF!='לוח בקרה טכנו-מבצעי'!$B$10)),1,0)</f>
        <v>#REF!</v>
      </c>
      <c r="AF207" t="str">
        <f>IF(AD207=1,COUNTIF($AD$3:$AD207,1),"")</f>
        <v/>
      </c>
      <c r="AG207" t="e">
        <f>IF(AE207=1,COUNTIF($AE$3:$AE207,1),"")</f>
        <v>#REF!</v>
      </c>
    </row>
    <row r="208" spans="1:33" ht="15" customHeight="1" x14ac:dyDescent="0.25">
      <c r="A208" s="17"/>
      <c r="B208" s="17"/>
      <c r="C208" s="17"/>
      <c r="D208" s="17"/>
      <c r="E208" s="17" t="str">
        <f>IFERROR(INDEX(הגדרות!$I$2:$I$47,MATCH(B208,הגדרות!$H$2:$H$47,0)),"")</f>
        <v/>
      </c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t="str">
        <f>IFERROR(INDEX(הגדרות!$B$2:$B$17,MATCH(H208,הגדרות!$A$2:$A$17,0)),"")</f>
        <v/>
      </c>
      <c r="AA208" t="str">
        <f>IFERROR(INDEX(הגדרות!$C$2:$C$17,MATCH(H208,הגדרות!$A$2:$A$17,0)),"")</f>
        <v/>
      </c>
      <c r="AB208" t="str">
        <f>IFERROR(INDEX(הגדרות!$B$2:$B$17,MATCH(I208,הגדרות!$A$2:$A$17,0)),"")</f>
        <v/>
      </c>
      <c r="AC208" t="str">
        <f>IFERROR(INDEX(הגדרות!$C$2:$C$17,MATCH(I208,הגדרות!$A$2:$A$17,0)),"")</f>
        <v/>
      </c>
      <c r="AD208">
        <f>IF(AND(מלאי!D208&lt;&gt;"",OR('לוח בקרה'!$B$4="הכל",מלאי!Z208='לוח בקרה'!$B$4,מלאי!AA208='לוח בקרה'!$B$4,מלאי!AB208='לוח בקרה'!$B$4,מלאי!AC208='לוח בקרה'!$B$4),OR('לוח בקרה'!$B$5="הכל",מלאי!A208='לוח בקרה'!$B$5),OR('לוח בקרה'!$B$6="הכל",מלאי!B208='לוח בקרה'!$B$6),OR('לוח בקרה'!$B$7="הכל",מלאי!F208='לוח בקרה'!$B$7,מלאי!G208='לוח בקרה'!$B$7),OR('לוח בקרה'!$B$8="הכל",מלאי!T208='לוח בקרה'!$B$8),OR('לוח בקרה'!$B$9="הכל",מלאי!Q208='לוח בקרה'!$B$9),OR('לוח בקרה'!$E$4="הכל",מלאי!J208='לוח בקרה'!$E$4),OR('לוח בקרה'!$E$5="הכל",מלאי!L208='לוח בקרה'!$E$5),OR('לוח בקרה'!$E$6="הכל",מלאי!O208='לוח בקרה'!$E$6),OR('לוח בקרה'!$E$7="הכל",מלאי!R208='לוח בקרה'!$E$7),OR('לוח בקרה'!$E$8="הכל",'לוח בקרה'!$E$8="",מלאי!W208='לוח בקרה'!$E$8),OR('לוח בקרה'!$E$9="הכל",'לוח בקרה'!$E$9="",ISNUMBER(SEARCH('לוח בקרה'!$E$9,מלאי!C208)))),1,0)</f>
        <v>0</v>
      </c>
      <c r="AE208" t="e">
        <f>IF(AND(מלאי!D208&lt;&gt;"",OR('לוח בקרה טכנו-מבצעי'!$B$4="הכל",מלאי!Z208='לוח בקרה טכנו-מבצעי'!$B$4,מלאי!AA208='לוח בקרה טכנו-מבצעי'!$B$4,מלאי!AB208='לוח בקרה טכנו-מבצעי'!$B$4,מלאי!AC208='לוח בקרה טכנו-מבצעי'!$B$4),OR('לוח בקרה טכנו-מבצעי'!$B$5="הכל",מלאי!A208='לוח בקרה טכנו-מבצעי'!$B$5),OR('לוח בקרה טכנו-מבצעי'!$B$6="הכל",מלאי!B208='לוח בקרה טכנו-מבצעי'!$B$6),OR('לוח בקרה טכנו-מבצעי'!$B$7="הכל",מלאי!F208='לוח בקרה טכנו-מבצעי'!$B$7,מלאי!G208='לוח בקרה טכנו-מבצעי'!$B$7),OR('לוח בקרה טכנו-מבצעי'!$B$8="הכל",מלאי!T208='לוח בקרה טכנו-מבצעי'!$B$8),OR('לוח בקרה טכנו-מבצעי'!$B$9="הכל",מלאי!Q208='לוח בקרה טכנו-מבצעי'!$B$9),OR('לוח בקרה טכנו-מבצעי'!$E$4="הכל",מלאי!J208='לוח בקרה טכנו-מבצעי'!$E$4),OR('לוח בקרה טכנו-מבצעי'!$E$5="הכל",מלאי!L208='לוח בקרה טכנו-מבצעי'!$E$5),OR('לוח בקרה טכנו-מבצעי'!$E$6="הכל",מלאי!O208='לוח בקרה טכנו-מבצעי'!$E$6),OR('לוח בקרה טכנו-מבצעי'!$E$7="הכל",מלאי!R208='לוח בקרה טכנו-מבצעי'!$E$7),OR('לוח בקרה טכנו-מבצעי'!$E$8="הכל",'לוח בקרה טכנו-מבצעי'!$E$8="",מלאי!W208='לוח בקרה טכנו-מבצעי'!$E$8),OR('לוח בקרה טכנו-מבצעי'!$E$9="הכל",'לוח בקרה טכנו-מבצעי'!$E$9="",ISNUMBER(SEARCH('לוח בקרה טכנו-מבצעי'!$E$9,מלאי!C208))),OR('לוח בקרה טכנו-מבצעי'!$B$10="הכל",מלאי!#REF!='לוח בקרה טכנו-מבצעי'!$B$10)),1,0)</f>
        <v>#REF!</v>
      </c>
      <c r="AF208" t="str">
        <f>IF(AD208=1,COUNTIF($AD$3:$AD208,1),"")</f>
        <v/>
      </c>
      <c r="AG208" t="e">
        <f>IF(AE208=1,COUNTIF($AE$3:$AE208,1),"")</f>
        <v>#REF!</v>
      </c>
    </row>
    <row r="209" spans="1:33" ht="15" customHeight="1" x14ac:dyDescent="0.25">
      <c r="A209" s="19"/>
      <c r="B209" s="19"/>
      <c r="C209" s="19"/>
      <c r="D209" s="19"/>
      <c r="E209" s="19" t="str">
        <f>IFERROR(INDEX(הגדרות!$I$2:$I$47,MATCH(B209,הגדרות!$H$2:$H$47,0)),"")</f>
        <v/>
      </c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t="str">
        <f>IFERROR(INDEX(הגדרות!$B$2:$B$17,MATCH(H209,הגדרות!$A$2:$A$17,0)),"")</f>
        <v/>
      </c>
      <c r="AA209" t="str">
        <f>IFERROR(INDEX(הגדרות!$C$2:$C$17,MATCH(H209,הגדרות!$A$2:$A$17,0)),"")</f>
        <v/>
      </c>
      <c r="AB209" t="str">
        <f>IFERROR(INDEX(הגדרות!$B$2:$B$17,MATCH(I209,הגדרות!$A$2:$A$17,0)),"")</f>
        <v/>
      </c>
      <c r="AC209" t="str">
        <f>IFERROR(INDEX(הגדרות!$C$2:$C$17,MATCH(I209,הגדרות!$A$2:$A$17,0)),"")</f>
        <v/>
      </c>
      <c r="AD209">
        <f>IF(AND(מלאי!D209&lt;&gt;"",OR('לוח בקרה'!$B$4="הכל",מלאי!Z209='לוח בקרה'!$B$4,מלאי!AA209='לוח בקרה'!$B$4,מלאי!AB209='לוח בקרה'!$B$4,מלאי!AC209='לוח בקרה'!$B$4),OR('לוח בקרה'!$B$5="הכל",מלאי!A209='לוח בקרה'!$B$5),OR('לוח בקרה'!$B$6="הכל",מלאי!B209='לוח בקרה'!$B$6),OR('לוח בקרה'!$B$7="הכל",מלאי!F209='לוח בקרה'!$B$7,מלאי!G209='לוח בקרה'!$B$7),OR('לוח בקרה'!$B$8="הכל",מלאי!T209='לוח בקרה'!$B$8),OR('לוח בקרה'!$B$9="הכל",מלאי!Q209='לוח בקרה'!$B$9),OR('לוח בקרה'!$E$4="הכל",מלאי!J209='לוח בקרה'!$E$4),OR('לוח בקרה'!$E$5="הכל",מלאי!L209='לוח בקרה'!$E$5),OR('לוח בקרה'!$E$6="הכל",מלאי!O209='לוח בקרה'!$E$6),OR('לוח בקרה'!$E$7="הכל",מלאי!R209='לוח בקרה'!$E$7),OR('לוח בקרה'!$E$8="הכל",'לוח בקרה'!$E$8="",מלאי!W209='לוח בקרה'!$E$8),OR('לוח בקרה'!$E$9="הכל",'לוח בקרה'!$E$9="",ISNUMBER(SEARCH('לוח בקרה'!$E$9,מלאי!C209)))),1,0)</f>
        <v>0</v>
      </c>
      <c r="AE209" t="e">
        <f>IF(AND(מלאי!D209&lt;&gt;"",OR('לוח בקרה טכנו-מבצעי'!$B$4="הכל",מלאי!Z209='לוח בקרה טכנו-מבצעי'!$B$4,מלאי!AA209='לוח בקרה טכנו-מבצעי'!$B$4,מלאי!AB209='לוח בקרה טכנו-מבצעי'!$B$4,מלאי!AC209='לוח בקרה טכנו-מבצעי'!$B$4),OR('לוח בקרה טכנו-מבצעי'!$B$5="הכל",מלאי!A209='לוח בקרה טכנו-מבצעי'!$B$5),OR('לוח בקרה טכנו-מבצעי'!$B$6="הכל",מלאי!B209='לוח בקרה טכנו-מבצעי'!$B$6),OR('לוח בקרה טכנו-מבצעי'!$B$7="הכל",מלאי!F209='לוח בקרה טכנו-מבצעי'!$B$7,מלאי!G209='לוח בקרה טכנו-מבצעי'!$B$7),OR('לוח בקרה טכנו-מבצעי'!$B$8="הכל",מלאי!T209='לוח בקרה טכנו-מבצעי'!$B$8),OR('לוח בקרה טכנו-מבצעי'!$B$9="הכל",מלאי!Q209='לוח בקרה טכנו-מבצעי'!$B$9),OR('לוח בקרה טכנו-מבצעי'!$E$4="הכל",מלאי!J209='לוח בקרה טכנו-מבצעי'!$E$4),OR('לוח בקרה טכנו-מבצעי'!$E$5="הכל",מלאי!L209='לוח בקרה טכנו-מבצעי'!$E$5),OR('לוח בקרה טכנו-מבצעי'!$E$6="הכל",מלאי!O209='לוח בקרה טכנו-מבצעי'!$E$6),OR('לוח בקרה טכנו-מבצעי'!$E$7="הכל",מלאי!R209='לוח בקרה טכנו-מבצעי'!$E$7),OR('לוח בקרה טכנו-מבצעי'!$E$8="הכל",'לוח בקרה טכנו-מבצעי'!$E$8="",מלאי!W209='לוח בקרה טכנו-מבצעי'!$E$8),OR('לוח בקרה טכנו-מבצעי'!$E$9="הכל",'לוח בקרה טכנו-מבצעי'!$E$9="",ISNUMBER(SEARCH('לוח בקרה טכנו-מבצעי'!$E$9,מלאי!C209))),OR('לוח בקרה טכנו-מבצעי'!$B$10="הכל",מלאי!#REF!='לוח בקרה טכנו-מבצעי'!$B$10)),1,0)</f>
        <v>#REF!</v>
      </c>
      <c r="AF209" t="str">
        <f>IF(AD209=1,COUNTIF($AD$3:$AD209,1),"")</f>
        <v/>
      </c>
      <c r="AG209" t="e">
        <f>IF(AE209=1,COUNTIF($AE$3:$AE209,1),"")</f>
        <v>#REF!</v>
      </c>
    </row>
    <row r="210" spans="1:33" ht="15" customHeight="1" x14ac:dyDescent="0.25">
      <c r="A210" s="17"/>
      <c r="B210" s="17"/>
      <c r="C210" s="17"/>
      <c r="D210" s="17"/>
      <c r="E210" s="17" t="str">
        <f>IFERROR(INDEX(הגדרות!$I$2:$I$47,MATCH(B210,הגדרות!$H$2:$H$47,0)),"")</f>
        <v/>
      </c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t="str">
        <f>IFERROR(INDEX(הגדרות!$B$2:$B$17,MATCH(H210,הגדרות!$A$2:$A$17,0)),"")</f>
        <v/>
      </c>
      <c r="AA210" t="str">
        <f>IFERROR(INDEX(הגדרות!$C$2:$C$17,MATCH(H210,הגדרות!$A$2:$A$17,0)),"")</f>
        <v/>
      </c>
      <c r="AB210" t="str">
        <f>IFERROR(INDEX(הגדרות!$B$2:$B$17,MATCH(I210,הגדרות!$A$2:$A$17,0)),"")</f>
        <v/>
      </c>
      <c r="AC210" t="str">
        <f>IFERROR(INDEX(הגדרות!$C$2:$C$17,MATCH(I210,הגדרות!$A$2:$A$17,0)),"")</f>
        <v/>
      </c>
      <c r="AD210">
        <f>IF(AND(מלאי!D210&lt;&gt;"",OR('לוח בקרה'!$B$4="הכל",מלאי!Z210='לוח בקרה'!$B$4,מלאי!AA210='לוח בקרה'!$B$4,מלאי!AB210='לוח בקרה'!$B$4,מלאי!AC210='לוח בקרה'!$B$4),OR('לוח בקרה'!$B$5="הכל",מלאי!A210='לוח בקרה'!$B$5),OR('לוח בקרה'!$B$6="הכל",מלאי!B210='לוח בקרה'!$B$6),OR('לוח בקרה'!$B$7="הכל",מלאי!F210='לוח בקרה'!$B$7,מלאי!G210='לוח בקרה'!$B$7),OR('לוח בקרה'!$B$8="הכל",מלאי!T210='לוח בקרה'!$B$8),OR('לוח בקרה'!$B$9="הכל",מלאי!Q210='לוח בקרה'!$B$9),OR('לוח בקרה'!$E$4="הכל",מלאי!J210='לוח בקרה'!$E$4),OR('לוח בקרה'!$E$5="הכל",מלאי!L210='לוח בקרה'!$E$5),OR('לוח בקרה'!$E$6="הכל",מלאי!O210='לוח בקרה'!$E$6),OR('לוח בקרה'!$E$7="הכל",מלאי!R210='לוח בקרה'!$E$7),OR('לוח בקרה'!$E$8="הכל",'לוח בקרה'!$E$8="",מלאי!W210='לוח בקרה'!$E$8),OR('לוח בקרה'!$E$9="הכל",'לוח בקרה'!$E$9="",ISNUMBER(SEARCH('לוח בקרה'!$E$9,מלאי!C210)))),1,0)</f>
        <v>0</v>
      </c>
      <c r="AE210" t="e">
        <f>IF(AND(מלאי!D210&lt;&gt;"",OR('לוח בקרה טכנו-מבצעי'!$B$4="הכל",מלאי!Z210='לוח בקרה טכנו-מבצעי'!$B$4,מלאי!AA210='לוח בקרה טכנו-מבצעי'!$B$4,מלאי!AB210='לוח בקרה טכנו-מבצעי'!$B$4,מלאי!AC210='לוח בקרה טכנו-מבצעי'!$B$4),OR('לוח בקרה טכנו-מבצעי'!$B$5="הכל",מלאי!A210='לוח בקרה טכנו-מבצעי'!$B$5),OR('לוח בקרה טכנו-מבצעי'!$B$6="הכל",מלאי!B210='לוח בקרה טכנו-מבצעי'!$B$6),OR('לוח בקרה טכנו-מבצעי'!$B$7="הכל",מלאי!F210='לוח בקרה טכנו-מבצעי'!$B$7,מלאי!G210='לוח בקרה טכנו-מבצעי'!$B$7),OR('לוח בקרה טכנו-מבצעי'!$B$8="הכל",מלאי!T210='לוח בקרה טכנו-מבצעי'!$B$8),OR('לוח בקרה טכנו-מבצעי'!$B$9="הכל",מלאי!Q210='לוח בקרה טכנו-מבצעי'!$B$9),OR('לוח בקרה טכנו-מבצעי'!$E$4="הכל",מלאי!J210='לוח בקרה טכנו-מבצעי'!$E$4),OR('לוח בקרה טכנו-מבצעי'!$E$5="הכל",מלאי!L210='לוח בקרה טכנו-מבצעי'!$E$5),OR('לוח בקרה טכנו-מבצעי'!$E$6="הכל",מלאי!O210='לוח בקרה טכנו-מבצעי'!$E$6),OR('לוח בקרה טכנו-מבצעי'!$E$7="הכל",מלאי!R210='לוח בקרה טכנו-מבצעי'!$E$7),OR('לוח בקרה טכנו-מבצעי'!$E$8="הכל",'לוח בקרה טכנו-מבצעי'!$E$8="",מלאי!W210='לוח בקרה טכנו-מבצעי'!$E$8),OR('לוח בקרה טכנו-מבצעי'!$E$9="הכל",'לוח בקרה טכנו-מבצעי'!$E$9="",ISNUMBER(SEARCH('לוח בקרה טכנו-מבצעי'!$E$9,מלאי!C210))),OR('לוח בקרה טכנו-מבצעי'!$B$10="הכל",מלאי!#REF!='לוח בקרה טכנו-מבצעי'!$B$10)),1,0)</f>
        <v>#REF!</v>
      </c>
      <c r="AF210" t="str">
        <f>IF(AD210=1,COUNTIF($AD$3:$AD210,1),"")</f>
        <v/>
      </c>
      <c r="AG210" t="e">
        <f>IF(AE210=1,COUNTIF($AE$3:$AE210,1),"")</f>
        <v>#REF!</v>
      </c>
    </row>
    <row r="211" spans="1:33" ht="15" customHeight="1" x14ac:dyDescent="0.25">
      <c r="A211" s="19"/>
      <c r="B211" s="19"/>
      <c r="C211" s="19"/>
      <c r="D211" s="19"/>
      <c r="E211" s="19" t="str">
        <f>IFERROR(INDEX(הגדרות!$I$2:$I$47,MATCH(B211,הגדרות!$H$2:$H$47,0)),"")</f>
        <v/>
      </c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t="str">
        <f>IFERROR(INDEX(הגדרות!$B$2:$B$17,MATCH(H211,הגדרות!$A$2:$A$17,0)),"")</f>
        <v/>
      </c>
      <c r="AA211" t="str">
        <f>IFERROR(INDEX(הגדרות!$C$2:$C$17,MATCH(H211,הגדרות!$A$2:$A$17,0)),"")</f>
        <v/>
      </c>
      <c r="AB211" t="str">
        <f>IFERROR(INDEX(הגדרות!$B$2:$B$17,MATCH(I211,הגדרות!$A$2:$A$17,0)),"")</f>
        <v/>
      </c>
      <c r="AC211" t="str">
        <f>IFERROR(INDEX(הגדרות!$C$2:$C$17,MATCH(I211,הגדרות!$A$2:$A$17,0)),"")</f>
        <v/>
      </c>
      <c r="AD211">
        <f>IF(AND(מלאי!D211&lt;&gt;"",OR('לוח בקרה'!$B$4="הכל",מלאי!Z211='לוח בקרה'!$B$4,מלאי!AA211='לוח בקרה'!$B$4,מלאי!AB211='לוח בקרה'!$B$4,מלאי!AC211='לוח בקרה'!$B$4),OR('לוח בקרה'!$B$5="הכל",מלאי!A211='לוח בקרה'!$B$5),OR('לוח בקרה'!$B$6="הכל",מלאי!B211='לוח בקרה'!$B$6),OR('לוח בקרה'!$B$7="הכל",מלאי!F211='לוח בקרה'!$B$7,מלאי!G211='לוח בקרה'!$B$7),OR('לוח בקרה'!$B$8="הכל",מלאי!T211='לוח בקרה'!$B$8),OR('לוח בקרה'!$B$9="הכל",מלאי!Q211='לוח בקרה'!$B$9),OR('לוח בקרה'!$E$4="הכל",מלאי!J211='לוח בקרה'!$E$4),OR('לוח בקרה'!$E$5="הכל",מלאי!L211='לוח בקרה'!$E$5),OR('לוח בקרה'!$E$6="הכל",מלאי!O211='לוח בקרה'!$E$6),OR('לוח בקרה'!$E$7="הכל",מלאי!R211='לוח בקרה'!$E$7),OR('לוח בקרה'!$E$8="הכל",'לוח בקרה'!$E$8="",מלאי!W211='לוח בקרה'!$E$8),OR('לוח בקרה'!$E$9="הכל",'לוח בקרה'!$E$9="",ISNUMBER(SEARCH('לוח בקרה'!$E$9,מלאי!C211)))),1,0)</f>
        <v>0</v>
      </c>
      <c r="AE211" t="e">
        <f>IF(AND(מלאי!D211&lt;&gt;"",OR('לוח בקרה טכנו-מבצעי'!$B$4="הכל",מלאי!Z211='לוח בקרה טכנו-מבצעי'!$B$4,מלאי!AA211='לוח בקרה טכנו-מבצעי'!$B$4,מלאי!AB211='לוח בקרה טכנו-מבצעי'!$B$4,מלאי!AC211='לוח בקרה טכנו-מבצעי'!$B$4),OR('לוח בקרה טכנו-מבצעי'!$B$5="הכל",מלאי!A211='לוח בקרה טכנו-מבצעי'!$B$5),OR('לוח בקרה טכנו-מבצעי'!$B$6="הכל",מלאי!B211='לוח בקרה טכנו-מבצעי'!$B$6),OR('לוח בקרה טכנו-מבצעי'!$B$7="הכל",מלאי!F211='לוח בקרה טכנו-מבצעי'!$B$7,מלאי!G211='לוח בקרה טכנו-מבצעי'!$B$7),OR('לוח בקרה טכנו-מבצעי'!$B$8="הכל",מלאי!T211='לוח בקרה טכנו-מבצעי'!$B$8),OR('לוח בקרה טכנו-מבצעי'!$B$9="הכל",מלאי!Q211='לוח בקרה טכנו-מבצעי'!$B$9),OR('לוח בקרה טכנו-מבצעי'!$E$4="הכל",מלאי!J211='לוח בקרה טכנו-מבצעי'!$E$4),OR('לוח בקרה טכנו-מבצעי'!$E$5="הכל",מלאי!L211='לוח בקרה טכנו-מבצעי'!$E$5),OR('לוח בקרה טכנו-מבצעי'!$E$6="הכל",מלאי!O211='לוח בקרה טכנו-מבצעי'!$E$6),OR('לוח בקרה טכנו-מבצעי'!$E$7="הכל",מלאי!R211='לוח בקרה טכנו-מבצעי'!$E$7),OR('לוח בקרה טכנו-מבצעי'!$E$8="הכל",'לוח בקרה טכנו-מבצעי'!$E$8="",מלאי!W211='לוח בקרה טכנו-מבצעי'!$E$8),OR('לוח בקרה טכנו-מבצעי'!$E$9="הכל",'לוח בקרה טכנו-מבצעי'!$E$9="",ISNUMBER(SEARCH('לוח בקרה טכנו-מבצעי'!$E$9,מלאי!C211))),OR('לוח בקרה טכנו-מבצעי'!$B$10="הכל",מלאי!#REF!='לוח בקרה טכנו-מבצעי'!$B$10)),1,0)</f>
        <v>#REF!</v>
      </c>
      <c r="AF211" t="str">
        <f>IF(AD211=1,COUNTIF($AD$3:$AD211,1),"")</f>
        <v/>
      </c>
      <c r="AG211" t="e">
        <f>IF(AE211=1,COUNTIF($AE$3:$AE211,1),"")</f>
        <v>#REF!</v>
      </c>
    </row>
    <row r="212" spans="1:33" ht="15" customHeight="1" x14ac:dyDescent="0.25">
      <c r="A212" s="17"/>
      <c r="B212" s="17"/>
      <c r="C212" s="17"/>
      <c r="D212" s="17"/>
      <c r="E212" s="17" t="str">
        <f>IFERROR(INDEX(הגדרות!$I$2:$I$47,MATCH(B212,הגדרות!$H$2:$H$47,0)),"")</f>
        <v/>
      </c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t="str">
        <f>IFERROR(INDEX(הגדרות!$B$2:$B$17,MATCH(H212,הגדרות!$A$2:$A$17,0)),"")</f>
        <v/>
      </c>
      <c r="AA212" t="str">
        <f>IFERROR(INDEX(הגדרות!$C$2:$C$17,MATCH(H212,הגדרות!$A$2:$A$17,0)),"")</f>
        <v/>
      </c>
      <c r="AB212" t="str">
        <f>IFERROR(INDEX(הגדרות!$B$2:$B$17,MATCH(I212,הגדרות!$A$2:$A$17,0)),"")</f>
        <v/>
      </c>
      <c r="AC212" t="str">
        <f>IFERROR(INDEX(הגדרות!$C$2:$C$17,MATCH(I212,הגדרות!$A$2:$A$17,0)),"")</f>
        <v/>
      </c>
      <c r="AD212">
        <f>IF(AND(מלאי!D212&lt;&gt;"",OR('לוח בקרה'!$B$4="הכל",מלאי!Z212='לוח בקרה'!$B$4,מלאי!AA212='לוח בקרה'!$B$4,מלאי!AB212='לוח בקרה'!$B$4,מלאי!AC212='לוח בקרה'!$B$4),OR('לוח בקרה'!$B$5="הכל",מלאי!A212='לוח בקרה'!$B$5),OR('לוח בקרה'!$B$6="הכל",מלאי!B212='לוח בקרה'!$B$6),OR('לוח בקרה'!$B$7="הכל",מלאי!F212='לוח בקרה'!$B$7,מלאי!G212='לוח בקרה'!$B$7),OR('לוח בקרה'!$B$8="הכל",מלאי!T212='לוח בקרה'!$B$8),OR('לוח בקרה'!$B$9="הכל",מלאי!Q212='לוח בקרה'!$B$9),OR('לוח בקרה'!$E$4="הכל",מלאי!J212='לוח בקרה'!$E$4),OR('לוח בקרה'!$E$5="הכל",מלאי!L212='לוח בקרה'!$E$5),OR('לוח בקרה'!$E$6="הכל",מלאי!O212='לוח בקרה'!$E$6),OR('לוח בקרה'!$E$7="הכל",מלאי!R212='לוח בקרה'!$E$7),OR('לוח בקרה'!$E$8="הכל",'לוח בקרה'!$E$8="",מלאי!W212='לוח בקרה'!$E$8),OR('לוח בקרה'!$E$9="הכל",'לוח בקרה'!$E$9="",ISNUMBER(SEARCH('לוח בקרה'!$E$9,מלאי!C212)))),1,0)</f>
        <v>0</v>
      </c>
      <c r="AE212" t="e">
        <f>IF(AND(מלאי!D212&lt;&gt;"",OR('לוח בקרה טכנו-מבצעי'!$B$4="הכל",מלאי!Z212='לוח בקרה טכנו-מבצעי'!$B$4,מלאי!AA212='לוח בקרה טכנו-מבצעי'!$B$4,מלאי!AB212='לוח בקרה טכנו-מבצעי'!$B$4,מלאי!AC212='לוח בקרה טכנו-מבצעי'!$B$4),OR('לוח בקרה טכנו-מבצעי'!$B$5="הכל",מלאי!A212='לוח בקרה טכנו-מבצעי'!$B$5),OR('לוח בקרה טכנו-מבצעי'!$B$6="הכל",מלאי!B212='לוח בקרה טכנו-מבצעי'!$B$6),OR('לוח בקרה טכנו-מבצעי'!$B$7="הכל",מלאי!F212='לוח בקרה טכנו-מבצעי'!$B$7,מלאי!G212='לוח בקרה טכנו-מבצעי'!$B$7),OR('לוח בקרה טכנו-מבצעי'!$B$8="הכל",מלאי!T212='לוח בקרה טכנו-מבצעי'!$B$8),OR('לוח בקרה טכנו-מבצעי'!$B$9="הכל",מלאי!Q212='לוח בקרה טכנו-מבצעי'!$B$9),OR('לוח בקרה טכנו-מבצעי'!$E$4="הכל",מלאי!J212='לוח בקרה טכנו-מבצעי'!$E$4),OR('לוח בקרה טכנו-מבצעי'!$E$5="הכל",מלאי!L212='לוח בקרה טכנו-מבצעי'!$E$5),OR('לוח בקרה טכנו-מבצעי'!$E$6="הכל",מלאי!O212='לוח בקרה טכנו-מבצעי'!$E$6),OR('לוח בקרה טכנו-מבצעי'!$E$7="הכל",מלאי!R212='לוח בקרה טכנו-מבצעי'!$E$7),OR('לוח בקרה טכנו-מבצעי'!$E$8="הכל",'לוח בקרה טכנו-מבצעי'!$E$8="",מלאי!W212='לוח בקרה טכנו-מבצעי'!$E$8),OR('לוח בקרה טכנו-מבצעי'!$E$9="הכל",'לוח בקרה טכנו-מבצעי'!$E$9="",ISNUMBER(SEARCH('לוח בקרה טכנו-מבצעי'!$E$9,מלאי!C212))),OR('לוח בקרה טכנו-מבצעי'!$B$10="הכל",מלאי!#REF!='לוח בקרה טכנו-מבצעי'!$B$10)),1,0)</f>
        <v>#REF!</v>
      </c>
      <c r="AF212" t="str">
        <f>IF(AD212=1,COUNTIF($AD$3:$AD212,1),"")</f>
        <v/>
      </c>
      <c r="AG212" t="e">
        <f>IF(AE212=1,COUNTIF($AE$3:$AE212,1),"")</f>
        <v>#REF!</v>
      </c>
    </row>
    <row r="213" spans="1:33" ht="15" customHeight="1" x14ac:dyDescent="0.25">
      <c r="A213" s="19"/>
      <c r="B213" s="19"/>
      <c r="C213" s="19"/>
      <c r="D213" s="19"/>
      <c r="E213" s="19" t="str">
        <f>IFERROR(INDEX(הגדרות!$I$2:$I$47,MATCH(B213,הגדרות!$H$2:$H$47,0)),"")</f>
        <v/>
      </c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t="str">
        <f>IFERROR(INDEX(הגדרות!$B$2:$B$17,MATCH(H213,הגדרות!$A$2:$A$17,0)),"")</f>
        <v/>
      </c>
      <c r="AA213" t="str">
        <f>IFERROR(INDEX(הגדרות!$C$2:$C$17,MATCH(H213,הגדרות!$A$2:$A$17,0)),"")</f>
        <v/>
      </c>
      <c r="AB213" t="str">
        <f>IFERROR(INDEX(הגדרות!$B$2:$B$17,MATCH(I213,הגדרות!$A$2:$A$17,0)),"")</f>
        <v/>
      </c>
      <c r="AC213" t="str">
        <f>IFERROR(INDEX(הגדרות!$C$2:$C$17,MATCH(I213,הגדרות!$A$2:$A$17,0)),"")</f>
        <v/>
      </c>
      <c r="AD213">
        <f>IF(AND(מלאי!D213&lt;&gt;"",OR('לוח בקרה'!$B$4="הכל",מלאי!Z213='לוח בקרה'!$B$4,מלאי!AA213='לוח בקרה'!$B$4,מלאי!AB213='לוח בקרה'!$B$4,מלאי!AC213='לוח בקרה'!$B$4),OR('לוח בקרה'!$B$5="הכל",מלאי!A213='לוח בקרה'!$B$5),OR('לוח בקרה'!$B$6="הכל",מלאי!B213='לוח בקרה'!$B$6),OR('לוח בקרה'!$B$7="הכל",מלאי!F213='לוח בקרה'!$B$7,מלאי!G213='לוח בקרה'!$B$7),OR('לוח בקרה'!$B$8="הכל",מלאי!T213='לוח בקרה'!$B$8),OR('לוח בקרה'!$B$9="הכל",מלאי!Q213='לוח בקרה'!$B$9),OR('לוח בקרה'!$E$4="הכל",מלאי!J213='לוח בקרה'!$E$4),OR('לוח בקרה'!$E$5="הכל",מלאי!L213='לוח בקרה'!$E$5),OR('לוח בקרה'!$E$6="הכל",מלאי!O213='לוח בקרה'!$E$6),OR('לוח בקרה'!$E$7="הכל",מלאי!R213='לוח בקרה'!$E$7),OR('לוח בקרה'!$E$8="הכל",'לוח בקרה'!$E$8="",מלאי!W213='לוח בקרה'!$E$8),OR('לוח בקרה'!$E$9="הכל",'לוח בקרה'!$E$9="",ISNUMBER(SEARCH('לוח בקרה'!$E$9,מלאי!C213)))),1,0)</f>
        <v>0</v>
      </c>
      <c r="AE213" t="e">
        <f>IF(AND(מלאי!D213&lt;&gt;"",OR('לוח בקרה טכנו-מבצעי'!$B$4="הכל",מלאי!Z213='לוח בקרה טכנו-מבצעי'!$B$4,מלאי!AA213='לוח בקרה טכנו-מבצעי'!$B$4,מלאי!AB213='לוח בקרה טכנו-מבצעי'!$B$4,מלאי!AC213='לוח בקרה טכנו-מבצעי'!$B$4),OR('לוח בקרה טכנו-מבצעי'!$B$5="הכל",מלאי!A213='לוח בקרה טכנו-מבצעי'!$B$5),OR('לוח בקרה טכנו-מבצעי'!$B$6="הכל",מלאי!B213='לוח בקרה טכנו-מבצעי'!$B$6),OR('לוח בקרה טכנו-מבצעי'!$B$7="הכל",מלאי!F213='לוח בקרה טכנו-מבצעי'!$B$7,מלאי!G213='לוח בקרה טכנו-מבצעי'!$B$7),OR('לוח בקרה טכנו-מבצעי'!$B$8="הכל",מלאי!T213='לוח בקרה טכנו-מבצעי'!$B$8),OR('לוח בקרה טכנו-מבצעי'!$B$9="הכל",מלאי!Q213='לוח בקרה טכנו-מבצעי'!$B$9),OR('לוח בקרה טכנו-מבצעי'!$E$4="הכל",מלאי!J213='לוח בקרה טכנו-מבצעי'!$E$4),OR('לוח בקרה טכנו-מבצעי'!$E$5="הכל",מלאי!L213='לוח בקרה טכנו-מבצעי'!$E$5),OR('לוח בקרה טכנו-מבצעי'!$E$6="הכל",מלאי!O213='לוח בקרה טכנו-מבצעי'!$E$6),OR('לוח בקרה טכנו-מבצעי'!$E$7="הכל",מלאי!R213='לוח בקרה טכנו-מבצעי'!$E$7),OR('לוח בקרה טכנו-מבצעי'!$E$8="הכל",'לוח בקרה טכנו-מבצעי'!$E$8="",מלאי!W213='לוח בקרה טכנו-מבצעי'!$E$8),OR('לוח בקרה טכנו-מבצעי'!$E$9="הכל",'לוח בקרה טכנו-מבצעי'!$E$9="",ISNUMBER(SEARCH('לוח בקרה טכנו-מבצעי'!$E$9,מלאי!C213))),OR('לוח בקרה טכנו-מבצעי'!$B$10="הכל",מלאי!#REF!='לוח בקרה טכנו-מבצעי'!$B$10)),1,0)</f>
        <v>#REF!</v>
      </c>
      <c r="AF213" t="str">
        <f>IF(AD213=1,COUNTIF($AD$3:$AD213,1),"")</f>
        <v/>
      </c>
      <c r="AG213" t="e">
        <f>IF(AE213=1,COUNTIF($AE$3:$AE213,1),"")</f>
        <v>#REF!</v>
      </c>
    </row>
    <row r="214" spans="1:33" ht="15" customHeight="1" x14ac:dyDescent="0.25">
      <c r="A214" s="17"/>
      <c r="B214" s="17"/>
      <c r="C214" s="17"/>
      <c r="D214" s="17"/>
      <c r="E214" s="17" t="str">
        <f>IFERROR(INDEX(הגדרות!$I$2:$I$47,MATCH(B214,הגדרות!$H$2:$H$47,0)),"")</f>
        <v/>
      </c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t="str">
        <f>IFERROR(INDEX(הגדרות!$B$2:$B$17,MATCH(H214,הגדרות!$A$2:$A$17,0)),"")</f>
        <v/>
      </c>
      <c r="AA214" t="str">
        <f>IFERROR(INDEX(הגדרות!$C$2:$C$17,MATCH(H214,הגדרות!$A$2:$A$17,0)),"")</f>
        <v/>
      </c>
      <c r="AB214" t="str">
        <f>IFERROR(INDEX(הגדרות!$B$2:$B$17,MATCH(I214,הגדרות!$A$2:$A$17,0)),"")</f>
        <v/>
      </c>
      <c r="AC214" t="str">
        <f>IFERROR(INDEX(הגדרות!$C$2:$C$17,MATCH(I214,הגדרות!$A$2:$A$17,0)),"")</f>
        <v/>
      </c>
      <c r="AD214">
        <f>IF(AND(מלאי!D214&lt;&gt;"",OR('לוח בקרה'!$B$4="הכל",מלאי!Z214='לוח בקרה'!$B$4,מלאי!AA214='לוח בקרה'!$B$4,מלאי!AB214='לוח בקרה'!$B$4,מלאי!AC214='לוח בקרה'!$B$4),OR('לוח בקרה'!$B$5="הכל",מלאי!A214='לוח בקרה'!$B$5),OR('לוח בקרה'!$B$6="הכל",מלאי!B214='לוח בקרה'!$B$6),OR('לוח בקרה'!$B$7="הכל",מלאי!F214='לוח בקרה'!$B$7,מלאי!G214='לוח בקרה'!$B$7),OR('לוח בקרה'!$B$8="הכל",מלאי!T214='לוח בקרה'!$B$8),OR('לוח בקרה'!$B$9="הכל",מלאי!Q214='לוח בקרה'!$B$9),OR('לוח בקרה'!$E$4="הכל",מלאי!J214='לוח בקרה'!$E$4),OR('לוח בקרה'!$E$5="הכל",מלאי!L214='לוח בקרה'!$E$5),OR('לוח בקרה'!$E$6="הכל",מלאי!O214='לוח בקרה'!$E$6),OR('לוח בקרה'!$E$7="הכל",מלאי!R214='לוח בקרה'!$E$7),OR('לוח בקרה'!$E$8="הכל",'לוח בקרה'!$E$8="",מלאי!W214='לוח בקרה'!$E$8),OR('לוח בקרה'!$E$9="הכל",'לוח בקרה'!$E$9="",ISNUMBER(SEARCH('לוח בקרה'!$E$9,מלאי!C214)))),1,0)</f>
        <v>0</v>
      </c>
      <c r="AE214" t="e">
        <f>IF(AND(מלאי!D214&lt;&gt;"",OR('לוח בקרה טכנו-מבצעי'!$B$4="הכל",מלאי!Z214='לוח בקרה טכנו-מבצעי'!$B$4,מלאי!AA214='לוח בקרה טכנו-מבצעי'!$B$4,מלאי!AB214='לוח בקרה טכנו-מבצעי'!$B$4,מלאי!AC214='לוח בקרה טכנו-מבצעי'!$B$4),OR('לוח בקרה טכנו-מבצעי'!$B$5="הכל",מלאי!A214='לוח בקרה טכנו-מבצעי'!$B$5),OR('לוח בקרה טכנו-מבצעי'!$B$6="הכל",מלאי!B214='לוח בקרה טכנו-מבצעי'!$B$6),OR('לוח בקרה טכנו-מבצעי'!$B$7="הכל",מלאי!F214='לוח בקרה טכנו-מבצעי'!$B$7,מלאי!G214='לוח בקרה טכנו-מבצעי'!$B$7),OR('לוח בקרה טכנו-מבצעי'!$B$8="הכל",מלאי!T214='לוח בקרה טכנו-מבצעי'!$B$8),OR('לוח בקרה טכנו-מבצעי'!$B$9="הכל",מלאי!Q214='לוח בקרה טכנו-מבצעי'!$B$9),OR('לוח בקרה טכנו-מבצעי'!$E$4="הכל",מלאי!J214='לוח בקרה טכנו-מבצעי'!$E$4),OR('לוח בקרה טכנו-מבצעי'!$E$5="הכל",מלאי!L214='לוח בקרה טכנו-מבצעי'!$E$5),OR('לוח בקרה טכנו-מבצעי'!$E$6="הכל",מלאי!O214='לוח בקרה טכנו-מבצעי'!$E$6),OR('לוח בקרה טכנו-מבצעי'!$E$7="הכל",מלאי!R214='לוח בקרה טכנו-מבצעי'!$E$7),OR('לוח בקרה טכנו-מבצעי'!$E$8="הכל",'לוח בקרה טכנו-מבצעי'!$E$8="",מלאי!W214='לוח בקרה טכנו-מבצעי'!$E$8),OR('לוח בקרה טכנו-מבצעי'!$E$9="הכל",'לוח בקרה טכנו-מבצעי'!$E$9="",ISNUMBER(SEARCH('לוח בקרה טכנו-מבצעי'!$E$9,מלאי!C214))),OR('לוח בקרה טכנו-מבצעי'!$B$10="הכל",מלאי!#REF!='לוח בקרה טכנו-מבצעי'!$B$10)),1,0)</f>
        <v>#REF!</v>
      </c>
      <c r="AF214" t="str">
        <f>IF(AD214=1,COUNTIF($AD$3:$AD214,1),"")</f>
        <v/>
      </c>
      <c r="AG214" t="e">
        <f>IF(AE214=1,COUNTIF($AE$3:$AE214,1),"")</f>
        <v>#REF!</v>
      </c>
    </row>
    <row r="215" spans="1:33" ht="15" customHeight="1" x14ac:dyDescent="0.25">
      <c r="A215" s="19"/>
      <c r="B215" s="19"/>
      <c r="C215" s="19"/>
      <c r="D215" s="19"/>
      <c r="E215" s="19" t="str">
        <f>IFERROR(INDEX(הגדרות!$I$2:$I$47,MATCH(B215,הגדרות!$H$2:$H$47,0)),"")</f>
        <v/>
      </c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t="str">
        <f>IFERROR(INDEX(הגדרות!$B$2:$B$17,MATCH(H215,הגדרות!$A$2:$A$17,0)),"")</f>
        <v/>
      </c>
      <c r="AA215" t="str">
        <f>IFERROR(INDEX(הגדרות!$C$2:$C$17,MATCH(H215,הגדרות!$A$2:$A$17,0)),"")</f>
        <v/>
      </c>
      <c r="AB215" t="str">
        <f>IFERROR(INDEX(הגדרות!$B$2:$B$17,MATCH(I215,הגדרות!$A$2:$A$17,0)),"")</f>
        <v/>
      </c>
      <c r="AC215" t="str">
        <f>IFERROR(INDEX(הגדרות!$C$2:$C$17,MATCH(I215,הגדרות!$A$2:$A$17,0)),"")</f>
        <v/>
      </c>
      <c r="AD215">
        <f>IF(AND(מלאי!D215&lt;&gt;"",OR('לוח בקרה'!$B$4="הכל",מלאי!Z215='לוח בקרה'!$B$4,מלאי!AA215='לוח בקרה'!$B$4,מלאי!AB215='לוח בקרה'!$B$4,מלאי!AC215='לוח בקרה'!$B$4),OR('לוח בקרה'!$B$5="הכל",מלאי!A215='לוח בקרה'!$B$5),OR('לוח בקרה'!$B$6="הכל",מלאי!B215='לוח בקרה'!$B$6),OR('לוח בקרה'!$B$7="הכל",מלאי!F215='לוח בקרה'!$B$7,מלאי!G215='לוח בקרה'!$B$7),OR('לוח בקרה'!$B$8="הכל",מלאי!T215='לוח בקרה'!$B$8),OR('לוח בקרה'!$B$9="הכל",מלאי!Q215='לוח בקרה'!$B$9),OR('לוח בקרה'!$E$4="הכל",מלאי!J215='לוח בקרה'!$E$4),OR('לוח בקרה'!$E$5="הכל",מלאי!L215='לוח בקרה'!$E$5),OR('לוח בקרה'!$E$6="הכל",מלאי!O215='לוח בקרה'!$E$6),OR('לוח בקרה'!$E$7="הכל",מלאי!R215='לוח בקרה'!$E$7),OR('לוח בקרה'!$E$8="הכל",'לוח בקרה'!$E$8="",מלאי!W215='לוח בקרה'!$E$8),OR('לוח בקרה'!$E$9="הכל",'לוח בקרה'!$E$9="",ISNUMBER(SEARCH('לוח בקרה'!$E$9,מלאי!C215)))),1,0)</f>
        <v>0</v>
      </c>
      <c r="AE215" t="e">
        <f>IF(AND(מלאי!D215&lt;&gt;"",OR('לוח בקרה טכנו-מבצעי'!$B$4="הכל",מלאי!Z215='לוח בקרה טכנו-מבצעי'!$B$4,מלאי!AA215='לוח בקרה טכנו-מבצעי'!$B$4,מלאי!AB215='לוח בקרה טכנו-מבצעי'!$B$4,מלאי!AC215='לוח בקרה טכנו-מבצעי'!$B$4),OR('לוח בקרה טכנו-מבצעי'!$B$5="הכל",מלאי!A215='לוח בקרה טכנו-מבצעי'!$B$5),OR('לוח בקרה טכנו-מבצעי'!$B$6="הכל",מלאי!B215='לוח בקרה טכנו-מבצעי'!$B$6),OR('לוח בקרה טכנו-מבצעי'!$B$7="הכל",מלאי!F215='לוח בקרה טכנו-מבצעי'!$B$7,מלאי!G215='לוח בקרה טכנו-מבצעי'!$B$7),OR('לוח בקרה טכנו-מבצעי'!$B$8="הכל",מלאי!T215='לוח בקרה טכנו-מבצעי'!$B$8),OR('לוח בקרה טכנו-מבצעי'!$B$9="הכל",מלאי!Q215='לוח בקרה טכנו-מבצעי'!$B$9),OR('לוח בקרה טכנו-מבצעי'!$E$4="הכל",מלאי!J215='לוח בקרה טכנו-מבצעי'!$E$4),OR('לוח בקרה טכנו-מבצעי'!$E$5="הכל",מלאי!L215='לוח בקרה טכנו-מבצעי'!$E$5),OR('לוח בקרה טכנו-מבצעי'!$E$6="הכל",מלאי!O215='לוח בקרה טכנו-מבצעי'!$E$6),OR('לוח בקרה טכנו-מבצעי'!$E$7="הכל",מלאי!R215='לוח בקרה טכנו-מבצעי'!$E$7),OR('לוח בקרה טכנו-מבצעי'!$E$8="הכל",'לוח בקרה טכנו-מבצעי'!$E$8="",מלאי!W215='לוח בקרה טכנו-מבצעי'!$E$8),OR('לוח בקרה טכנו-מבצעי'!$E$9="הכל",'לוח בקרה טכנו-מבצעי'!$E$9="",ISNUMBER(SEARCH('לוח בקרה טכנו-מבצעי'!$E$9,מלאי!C215))),OR('לוח בקרה טכנו-מבצעי'!$B$10="הכל",מלאי!#REF!='לוח בקרה טכנו-מבצעי'!$B$10)),1,0)</f>
        <v>#REF!</v>
      </c>
      <c r="AF215" t="str">
        <f>IF(AD215=1,COUNTIF($AD$3:$AD215,1),"")</f>
        <v/>
      </c>
      <c r="AG215" t="e">
        <f>IF(AE215=1,COUNTIF($AE$3:$AE215,1),"")</f>
        <v>#REF!</v>
      </c>
    </row>
    <row r="216" spans="1:33" ht="15" customHeight="1" x14ac:dyDescent="0.25">
      <c r="A216" s="17"/>
      <c r="B216" s="17"/>
      <c r="C216" s="17"/>
      <c r="D216" s="17"/>
      <c r="E216" s="17" t="str">
        <f>IFERROR(INDEX(הגדרות!$I$2:$I$47,MATCH(B216,הגדרות!$H$2:$H$47,0)),"")</f>
        <v/>
      </c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t="str">
        <f>IFERROR(INDEX(הגדרות!$B$2:$B$17,MATCH(H216,הגדרות!$A$2:$A$17,0)),"")</f>
        <v/>
      </c>
      <c r="AA216" t="str">
        <f>IFERROR(INDEX(הגדרות!$C$2:$C$17,MATCH(H216,הגדרות!$A$2:$A$17,0)),"")</f>
        <v/>
      </c>
      <c r="AB216" t="str">
        <f>IFERROR(INDEX(הגדרות!$B$2:$B$17,MATCH(I216,הגדרות!$A$2:$A$17,0)),"")</f>
        <v/>
      </c>
      <c r="AC216" t="str">
        <f>IFERROR(INDEX(הגדרות!$C$2:$C$17,MATCH(I216,הגדרות!$A$2:$A$17,0)),"")</f>
        <v/>
      </c>
      <c r="AD216">
        <f>IF(AND(מלאי!D216&lt;&gt;"",OR('לוח בקרה'!$B$4="הכל",מלאי!Z216='לוח בקרה'!$B$4,מלאי!AA216='לוח בקרה'!$B$4,מלאי!AB216='לוח בקרה'!$B$4,מלאי!AC216='לוח בקרה'!$B$4),OR('לוח בקרה'!$B$5="הכל",מלאי!A216='לוח בקרה'!$B$5),OR('לוח בקרה'!$B$6="הכל",מלאי!B216='לוח בקרה'!$B$6),OR('לוח בקרה'!$B$7="הכל",מלאי!F216='לוח בקרה'!$B$7,מלאי!G216='לוח בקרה'!$B$7),OR('לוח בקרה'!$B$8="הכל",מלאי!T216='לוח בקרה'!$B$8),OR('לוח בקרה'!$B$9="הכל",מלאי!Q216='לוח בקרה'!$B$9),OR('לוח בקרה'!$E$4="הכל",מלאי!J216='לוח בקרה'!$E$4),OR('לוח בקרה'!$E$5="הכל",מלאי!L216='לוח בקרה'!$E$5),OR('לוח בקרה'!$E$6="הכל",מלאי!O216='לוח בקרה'!$E$6),OR('לוח בקרה'!$E$7="הכל",מלאי!R216='לוח בקרה'!$E$7),OR('לוח בקרה'!$E$8="הכל",'לוח בקרה'!$E$8="",מלאי!W216='לוח בקרה'!$E$8),OR('לוח בקרה'!$E$9="הכל",'לוח בקרה'!$E$9="",ISNUMBER(SEARCH('לוח בקרה'!$E$9,מלאי!C216)))),1,0)</f>
        <v>0</v>
      </c>
      <c r="AE216" t="e">
        <f>IF(AND(מלאי!D216&lt;&gt;"",OR('לוח בקרה טכנו-מבצעי'!$B$4="הכל",מלאי!Z216='לוח בקרה טכנו-מבצעי'!$B$4,מלאי!AA216='לוח בקרה טכנו-מבצעי'!$B$4,מלאי!AB216='לוח בקרה טכנו-מבצעי'!$B$4,מלאי!AC216='לוח בקרה טכנו-מבצעי'!$B$4),OR('לוח בקרה טכנו-מבצעי'!$B$5="הכל",מלאי!A216='לוח בקרה טכנו-מבצעי'!$B$5),OR('לוח בקרה טכנו-מבצעי'!$B$6="הכל",מלאי!B216='לוח בקרה טכנו-מבצעי'!$B$6),OR('לוח בקרה טכנו-מבצעי'!$B$7="הכל",מלאי!F216='לוח בקרה טכנו-מבצעי'!$B$7,מלאי!G216='לוח בקרה טכנו-מבצעי'!$B$7),OR('לוח בקרה טכנו-מבצעי'!$B$8="הכל",מלאי!T216='לוח בקרה טכנו-מבצעי'!$B$8),OR('לוח בקרה טכנו-מבצעי'!$B$9="הכל",מלאי!Q216='לוח בקרה טכנו-מבצעי'!$B$9),OR('לוח בקרה טכנו-מבצעי'!$E$4="הכל",מלאי!J216='לוח בקרה טכנו-מבצעי'!$E$4),OR('לוח בקרה טכנו-מבצעי'!$E$5="הכל",מלאי!L216='לוח בקרה טכנו-מבצעי'!$E$5),OR('לוח בקרה טכנו-מבצעי'!$E$6="הכל",מלאי!O216='לוח בקרה טכנו-מבצעי'!$E$6),OR('לוח בקרה טכנו-מבצעי'!$E$7="הכל",מלאי!R216='לוח בקרה טכנו-מבצעי'!$E$7),OR('לוח בקרה טכנו-מבצעי'!$E$8="הכל",'לוח בקרה טכנו-מבצעי'!$E$8="",מלאי!W216='לוח בקרה טכנו-מבצעי'!$E$8),OR('לוח בקרה טכנו-מבצעי'!$E$9="הכל",'לוח בקרה טכנו-מבצעי'!$E$9="",ISNUMBER(SEARCH('לוח בקרה טכנו-מבצעי'!$E$9,מלאי!C216))),OR('לוח בקרה טכנו-מבצעי'!$B$10="הכל",מלאי!#REF!='לוח בקרה טכנו-מבצעי'!$B$10)),1,0)</f>
        <v>#REF!</v>
      </c>
      <c r="AF216" t="str">
        <f>IF(AD216=1,COUNTIF($AD$3:$AD216,1),"")</f>
        <v/>
      </c>
      <c r="AG216" t="e">
        <f>IF(AE216=1,COUNTIF($AE$3:$AE216,1),"")</f>
        <v>#REF!</v>
      </c>
    </row>
    <row r="217" spans="1:33" ht="15" customHeight="1" x14ac:dyDescent="0.25">
      <c r="A217" s="19"/>
      <c r="B217" s="19"/>
      <c r="C217" s="19"/>
      <c r="D217" s="19"/>
      <c r="E217" s="19" t="str">
        <f>IFERROR(INDEX(הגדרות!$I$2:$I$47,MATCH(B217,הגדרות!$H$2:$H$47,0)),"")</f>
        <v/>
      </c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t="str">
        <f>IFERROR(INDEX(הגדרות!$B$2:$B$17,MATCH(H217,הגדרות!$A$2:$A$17,0)),"")</f>
        <v/>
      </c>
      <c r="AA217" t="str">
        <f>IFERROR(INDEX(הגדרות!$C$2:$C$17,MATCH(H217,הגדרות!$A$2:$A$17,0)),"")</f>
        <v/>
      </c>
      <c r="AB217" t="str">
        <f>IFERROR(INDEX(הגדרות!$B$2:$B$17,MATCH(I217,הגדרות!$A$2:$A$17,0)),"")</f>
        <v/>
      </c>
      <c r="AC217" t="str">
        <f>IFERROR(INDEX(הגדרות!$C$2:$C$17,MATCH(I217,הגדרות!$A$2:$A$17,0)),"")</f>
        <v/>
      </c>
      <c r="AD217">
        <f>IF(AND(מלאי!D217&lt;&gt;"",OR('לוח בקרה'!$B$4="הכל",מלאי!Z217='לוח בקרה'!$B$4,מלאי!AA217='לוח בקרה'!$B$4,מלאי!AB217='לוח בקרה'!$B$4,מלאי!AC217='לוח בקרה'!$B$4),OR('לוח בקרה'!$B$5="הכל",מלאי!A217='לוח בקרה'!$B$5),OR('לוח בקרה'!$B$6="הכל",מלאי!B217='לוח בקרה'!$B$6),OR('לוח בקרה'!$B$7="הכל",מלאי!F217='לוח בקרה'!$B$7,מלאי!G217='לוח בקרה'!$B$7),OR('לוח בקרה'!$B$8="הכל",מלאי!T217='לוח בקרה'!$B$8),OR('לוח בקרה'!$B$9="הכל",מלאי!Q217='לוח בקרה'!$B$9),OR('לוח בקרה'!$E$4="הכל",מלאי!J217='לוח בקרה'!$E$4),OR('לוח בקרה'!$E$5="הכל",מלאי!L217='לוח בקרה'!$E$5),OR('לוח בקרה'!$E$6="הכל",מלאי!O217='לוח בקרה'!$E$6),OR('לוח בקרה'!$E$7="הכל",מלאי!R217='לוח בקרה'!$E$7),OR('לוח בקרה'!$E$8="הכל",'לוח בקרה'!$E$8="",מלאי!W217='לוח בקרה'!$E$8),OR('לוח בקרה'!$E$9="הכל",'לוח בקרה'!$E$9="",ISNUMBER(SEARCH('לוח בקרה'!$E$9,מלאי!C217)))),1,0)</f>
        <v>0</v>
      </c>
      <c r="AE217" t="e">
        <f>IF(AND(מלאי!D217&lt;&gt;"",OR('לוח בקרה טכנו-מבצעי'!$B$4="הכל",מלאי!Z217='לוח בקרה טכנו-מבצעי'!$B$4,מלאי!AA217='לוח בקרה טכנו-מבצעי'!$B$4,מלאי!AB217='לוח בקרה טכנו-מבצעי'!$B$4,מלאי!AC217='לוח בקרה טכנו-מבצעי'!$B$4),OR('לוח בקרה טכנו-מבצעי'!$B$5="הכל",מלאי!A217='לוח בקרה טכנו-מבצעי'!$B$5),OR('לוח בקרה טכנו-מבצעי'!$B$6="הכל",מלאי!B217='לוח בקרה טכנו-מבצעי'!$B$6),OR('לוח בקרה טכנו-מבצעי'!$B$7="הכל",מלאי!F217='לוח בקרה טכנו-מבצעי'!$B$7,מלאי!G217='לוח בקרה טכנו-מבצעי'!$B$7),OR('לוח בקרה טכנו-מבצעי'!$B$8="הכל",מלאי!T217='לוח בקרה טכנו-מבצעי'!$B$8),OR('לוח בקרה טכנו-מבצעי'!$B$9="הכל",מלאי!Q217='לוח בקרה טכנו-מבצעי'!$B$9),OR('לוח בקרה טכנו-מבצעי'!$E$4="הכל",מלאי!J217='לוח בקרה טכנו-מבצעי'!$E$4),OR('לוח בקרה טכנו-מבצעי'!$E$5="הכל",מלאי!L217='לוח בקרה טכנו-מבצעי'!$E$5),OR('לוח בקרה טכנו-מבצעי'!$E$6="הכל",מלאי!O217='לוח בקרה טכנו-מבצעי'!$E$6),OR('לוח בקרה טכנו-מבצעי'!$E$7="הכל",מלאי!R217='לוח בקרה טכנו-מבצעי'!$E$7),OR('לוח בקרה טכנו-מבצעי'!$E$8="הכל",'לוח בקרה טכנו-מבצעי'!$E$8="",מלאי!W217='לוח בקרה טכנו-מבצעי'!$E$8),OR('לוח בקרה טכנו-מבצעי'!$E$9="הכל",'לוח בקרה טכנו-מבצעי'!$E$9="",ISNUMBER(SEARCH('לוח בקרה טכנו-מבצעי'!$E$9,מלאי!C217))),OR('לוח בקרה טכנו-מבצעי'!$B$10="הכל",מלאי!#REF!='לוח בקרה טכנו-מבצעי'!$B$10)),1,0)</f>
        <v>#REF!</v>
      </c>
      <c r="AF217" t="str">
        <f>IF(AD217=1,COUNTIF($AD$3:$AD217,1),"")</f>
        <v/>
      </c>
      <c r="AG217" t="e">
        <f>IF(AE217=1,COUNTIF($AE$3:$AE217,1),"")</f>
        <v>#REF!</v>
      </c>
    </row>
    <row r="218" spans="1:33" ht="15" customHeight="1" x14ac:dyDescent="0.25">
      <c r="A218" s="17"/>
      <c r="B218" s="17"/>
      <c r="C218" s="17"/>
      <c r="D218" s="17"/>
      <c r="E218" s="17" t="str">
        <f>IFERROR(INDEX(הגדרות!$I$2:$I$47,MATCH(B218,הגדרות!$H$2:$H$47,0)),"")</f>
        <v/>
      </c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t="str">
        <f>IFERROR(INDEX(הגדרות!$B$2:$B$17,MATCH(H218,הגדרות!$A$2:$A$17,0)),"")</f>
        <v/>
      </c>
      <c r="AA218" t="str">
        <f>IFERROR(INDEX(הגדרות!$C$2:$C$17,MATCH(H218,הגדרות!$A$2:$A$17,0)),"")</f>
        <v/>
      </c>
      <c r="AB218" t="str">
        <f>IFERROR(INDEX(הגדרות!$B$2:$B$17,MATCH(I218,הגדרות!$A$2:$A$17,0)),"")</f>
        <v/>
      </c>
      <c r="AC218" t="str">
        <f>IFERROR(INDEX(הגדרות!$C$2:$C$17,MATCH(I218,הגדרות!$A$2:$A$17,0)),"")</f>
        <v/>
      </c>
      <c r="AD218">
        <f>IF(AND(מלאי!D218&lt;&gt;"",OR('לוח בקרה'!$B$4="הכל",מלאי!Z218='לוח בקרה'!$B$4,מלאי!AA218='לוח בקרה'!$B$4,מלאי!AB218='לוח בקרה'!$B$4,מלאי!AC218='לוח בקרה'!$B$4),OR('לוח בקרה'!$B$5="הכל",מלאי!A218='לוח בקרה'!$B$5),OR('לוח בקרה'!$B$6="הכל",מלאי!B218='לוח בקרה'!$B$6),OR('לוח בקרה'!$B$7="הכל",מלאי!F218='לוח בקרה'!$B$7,מלאי!G218='לוח בקרה'!$B$7),OR('לוח בקרה'!$B$8="הכל",מלאי!T218='לוח בקרה'!$B$8),OR('לוח בקרה'!$B$9="הכל",מלאי!Q218='לוח בקרה'!$B$9),OR('לוח בקרה'!$E$4="הכל",מלאי!J218='לוח בקרה'!$E$4),OR('לוח בקרה'!$E$5="הכל",מלאי!L218='לוח בקרה'!$E$5),OR('לוח בקרה'!$E$6="הכל",מלאי!O218='לוח בקרה'!$E$6),OR('לוח בקרה'!$E$7="הכל",מלאי!R218='לוח בקרה'!$E$7),OR('לוח בקרה'!$E$8="הכל",'לוח בקרה'!$E$8="",מלאי!W218='לוח בקרה'!$E$8),OR('לוח בקרה'!$E$9="הכל",'לוח בקרה'!$E$9="",ISNUMBER(SEARCH('לוח בקרה'!$E$9,מלאי!C218)))),1,0)</f>
        <v>0</v>
      </c>
      <c r="AE218" t="e">
        <f>IF(AND(מלאי!D218&lt;&gt;"",OR('לוח בקרה טכנו-מבצעי'!$B$4="הכל",מלאי!Z218='לוח בקרה טכנו-מבצעי'!$B$4,מלאי!AA218='לוח בקרה טכנו-מבצעי'!$B$4,מלאי!AB218='לוח בקרה טכנו-מבצעי'!$B$4,מלאי!AC218='לוח בקרה טכנו-מבצעי'!$B$4),OR('לוח בקרה טכנו-מבצעי'!$B$5="הכל",מלאי!A218='לוח בקרה טכנו-מבצעי'!$B$5),OR('לוח בקרה טכנו-מבצעי'!$B$6="הכל",מלאי!B218='לוח בקרה טכנו-מבצעי'!$B$6),OR('לוח בקרה טכנו-מבצעי'!$B$7="הכל",מלאי!F218='לוח בקרה טכנו-מבצעי'!$B$7,מלאי!G218='לוח בקרה טכנו-מבצעי'!$B$7),OR('לוח בקרה טכנו-מבצעי'!$B$8="הכל",מלאי!T218='לוח בקרה טכנו-מבצעי'!$B$8),OR('לוח בקרה טכנו-מבצעי'!$B$9="הכל",מלאי!Q218='לוח בקרה טכנו-מבצעי'!$B$9),OR('לוח בקרה טכנו-מבצעי'!$E$4="הכל",מלאי!J218='לוח בקרה טכנו-מבצעי'!$E$4),OR('לוח בקרה טכנו-מבצעי'!$E$5="הכל",מלאי!L218='לוח בקרה טכנו-מבצעי'!$E$5),OR('לוח בקרה טכנו-מבצעי'!$E$6="הכל",מלאי!O218='לוח בקרה טכנו-מבצעי'!$E$6),OR('לוח בקרה טכנו-מבצעי'!$E$7="הכל",מלאי!R218='לוח בקרה טכנו-מבצעי'!$E$7),OR('לוח בקרה טכנו-מבצעי'!$E$8="הכל",'לוח בקרה טכנו-מבצעי'!$E$8="",מלאי!W218='לוח בקרה טכנו-מבצעי'!$E$8),OR('לוח בקרה טכנו-מבצעי'!$E$9="הכל",'לוח בקרה טכנו-מבצעי'!$E$9="",ISNUMBER(SEARCH('לוח בקרה טכנו-מבצעי'!$E$9,מלאי!C218))),OR('לוח בקרה טכנו-מבצעי'!$B$10="הכל",מלאי!#REF!='לוח בקרה טכנו-מבצעי'!$B$10)),1,0)</f>
        <v>#REF!</v>
      </c>
      <c r="AF218" t="str">
        <f>IF(AD218=1,COUNTIF($AD$3:$AD218,1),"")</f>
        <v/>
      </c>
      <c r="AG218" t="e">
        <f>IF(AE218=1,COUNTIF($AE$3:$AE218,1),"")</f>
        <v>#REF!</v>
      </c>
    </row>
    <row r="219" spans="1:33" ht="15" customHeight="1" x14ac:dyDescent="0.25">
      <c r="A219" s="19"/>
      <c r="B219" s="19"/>
      <c r="C219" s="19"/>
      <c r="D219" s="19"/>
      <c r="E219" s="19" t="str">
        <f>IFERROR(INDEX(הגדרות!$I$2:$I$47,MATCH(B219,הגדרות!$H$2:$H$47,0)),"")</f>
        <v/>
      </c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t="str">
        <f>IFERROR(INDEX(הגדרות!$B$2:$B$17,MATCH(H219,הגדרות!$A$2:$A$17,0)),"")</f>
        <v/>
      </c>
      <c r="AA219" t="str">
        <f>IFERROR(INDEX(הגדרות!$C$2:$C$17,MATCH(H219,הגדרות!$A$2:$A$17,0)),"")</f>
        <v/>
      </c>
      <c r="AB219" t="str">
        <f>IFERROR(INDEX(הגדרות!$B$2:$B$17,MATCH(I219,הגדרות!$A$2:$A$17,0)),"")</f>
        <v/>
      </c>
      <c r="AC219" t="str">
        <f>IFERROR(INDEX(הגדרות!$C$2:$C$17,MATCH(I219,הגדרות!$A$2:$A$17,0)),"")</f>
        <v/>
      </c>
      <c r="AD219">
        <f>IF(AND(מלאי!D219&lt;&gt;"",OR('לוח בקרה'!$B$4="הכל",מלאי!Z219='לוח בקרה'!$B$4,מלאי!AA219='לוח בקרה'!$B$4,מלאי!AB219='לוח בקרה'!$B$4,מלאי!AC219='לוח בקרה'!$B$4),OR('לוח בקרה'!$B$5="הכל",מלאי!A219='לוח בקרה'!$B$5),OR('לוח בקרה'!$B$6="הכל",מלאי!B219='לוח בקרה'!$B$6),OR('לוח בקרה'!$B$7="הכל",מלאי!F219='לוח בקרה'!$B$7,מלאי!G219='לוח בקרה'!$B$7),OR('לוח בקרה'!$B$8="הכל",מלאי!T219='לוח בקרה'!$B$8),OR('לוח בקרה'!$B$9="הכל",מלאי!Q219='לוח בקרה'!$B$9),OR('לוח בקרה'!$E$4="הכל",מלאי!J219='לוח בקרה'!$E$4),OR('לוח בקרה'!$E$5="הכל",מלאי!L219='לוח בקרה'!$E$5),OR('לוח בקרה'!$E$6="הכל",מלאי!O219='לוח בקרה'!$E$6),OR('לוח בקרה'!$E$7="הכל",מלאי!R219='לוח בקרה'!$E$7),OR('לוח בקרה'!$E$8="הכל",'לוח בקרה'!$E$8="",מלאי!W219='לוח בקרה'!$E$8),OR('לוח בקרה'!$E$9="הכל",'לוח בקרה'!$E$9="",ISNUMBER(SEARCH('לוח בקרה'!$E$9,מלאי!C219)))),1,0)</f>
        <v>0</v>
      </c>
      <c r="AE219" t="e">
        <f>IF(AND(מלאי!D219&lt;&gt;"",OR('לוח בקרה טכנו-מבצעי'!$B$4="הכל",מלאי!Z219='לוח בקרה טכנו-מבצעי'!$B$4,מלאי!AA219='לוח בקרה טכנו-מבצעי'!$B$4,מלאי!AB219='לוח בקרה טכנו-מבצעי'!$B$4,מלאי!AC219='לוח בקרה טכנו-מבצעי'!$B$4),OR('לוח בקרה טכנו-מבצעי'!$B$5="הכל",מלאי!A219='לוח בקרה טכנו-מבצעי'!$B$5),OR('לוח בקרה טכנו-מבצעי'!$B$6="הכל",מלאי!B219='לוח בקרה טכנו-מבצעי'!$B$6),OR('לוח בקרה טכנו-מבצעי'!$B$7="הכל",מלאי!F219='לוח בקרה טכנו-מבצעי'!$B$7,מלאי!G219='לוח בקרה טכנו-מבצעי'!$B$7),OR('לוח בקרה טכנו-מבצעי'!$B$8="הכל",מלאי!T219='לוח בקרה טכנו-מבצעי'!$B$8),OR('לוח בקרה טכנו-מבצעי'!$B$9="הכל",מלאי!Q219='לוח בקרה טכנו-מבצעי'!$B$9),OR('לוח בקרה טכנו-מבצעי'!$E$4="הכל",מלאי!J219='לוח בקרה טכנו-מבצעי'!$E$4),OR('לוח בקרה טכנו-מבצעי'!$E$5="הכל",מלאי!L219='לוח בקרה טכנו-מבצעי'!$E$5),OR('לוח בקרה טכנו-מבצעי'!$E$6="הכל",מלאי!O219='לוח בקרה טכנו-מבצעי'!$E$6),OR('לוח בקרה טכנו-מבצעי'!$E$7="הכל",מלאי!R219='לוח בקרה טכנו-מבצעי'!$E$7),OR('לוח בקרה טכנו-מבצעי'!$E$8="הכל",'לוח בקרה טכנו-מבצעי'!$E$8="",מלאי!W219='לוח בקרה טכנו-מבצעי'!$E$8),OR('לוח בקרה טכנו-מבצעי'!$E$9="הכל",'לוח בקרה טכנו-מבצעי'!$E$9="",ISNUMBER(SEARCH('לוח בקרה טכנו-מבצעי'!$E$9,מלאי!C219))),OR('לוח בקרה טכנו-מבצעי'!$B$10="הכל",מלאי!#REF!='לוח בקרה טכנו-מבצעי'!$B$10)),1,0)</f>
        <v>#REF!</v>
      </c>
      <c r="AF219" t="str">
        <f>IF(AD219=1,COUNTIF($AD$3:$AD219,1),"")</f>
        <v/>
      </c>
      <c r="AG219" t="e">
        <f>IF(AE219=1,COUNTIF($AE$3:$AE219,1),"")</f>
        <v>#REF!</v>
      </c>
    </row>
    <row r="220" spans="1:33" ht="15" customHeight="1" x14ac:dyDescent="0.25">
      <c r="A220" s="17"/>
      <c r="B220" s="17"/>
      <c r="C220" s="17"/>
      <c r="D220" s="17"/>
      <c r="E220" s="17" t="str">
        <f>IFERROR(INDEX(הגדרות!$I$2:$I$47,MATCH(B220,הגדרות!$H$2:$H$47,0)),"")</f>
        <v/>
      </c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t="str">
        <f>IFERROR(INDEX(הגדרות!$B$2:$B$17,MATCH(H220,הגדרות!$A$2:$A$17,0)),"")</f>
        <v/>
      </c>
      <c r="AA220" t="str">
        <f>IFERROR(INDEX(הגדרות!$C$2:$C$17,MATCH(H220,הגדרות!$A$2:$A$17,0)),"")</f>
        <v/>
      </c>
      <c r="AB220" t="str">
        <f>IFERROR(INDEX(הגדרות!$B$2:$B$17,MATCH(I220,הגדרות!$A$2:$A$17,0)),"")</f>
        <v/>
      </c>
      <c r="AC220" t="str">
        <f>IFERROR(INDEX(הגדרות!$C$2:$C$17,MATCH(I220,הגדרות!$A$2:$A$17,0)),"")</f>
        <v/>
      </c>
      <c r="AD220">
        <f>IF(AND(מלאי!D220&lt;&gt;"",OR('לוח בקרה'!$B$4="הכל",מלאי!Z220='לוח בקרה'!$B$4,מלאי!AA220='לוח בקרה'!$B$4,מלאי!AB220='לוח בקרה'!$B$4,מלאי!AC220='לוח בקרה'!$B$4),OR('לוח בקרה'!$B$5="הכל",מלאי!A220='לוח בקרה'!$B$5),OR('לוח בקרה'!$B$6="הכל",מלאי!B220='לוח בקרה'!$B$6),OR('לוח בקרה'!$B$7="הכל",מלאי!F220='לוח בקרה'!$B$7,מלאי!G220='לוח בקרה'!$B$7),OR('לוח בקרה'!$B$8="הכל",מלאי!T220='לוח בקרה'!$B$8),OR('לוח בקרה'!$B$9="הכל",מלאי!Q220='לוח בקרה'!$B$9),OR('לוח בקרה'!$E$4="הכל",מלאי!J220='לוח בקרה'!$E$4),OR('לוח בקרה'!$E$5="הכל",מלאי!L220='לוח בקרה'!$E$5),OR('לוח בקרה'!$E$6="הכל",מלאי!O220='לוח בקרה'!$E$6),OR('לוח בקרה'!$E$7="הכל",מלאי!R220='לוח בקרה'!$E$7),OR('לוח בקרה'!$E$8="הכל",'לוח בקרה'!$E$8="",מלאי!W220='לוח בקרה'!$E$8),OR('לוח בקרה'!$E$9="הכל",'לוח בקרה'!$E$9="",ISNUMBER(SEARCH('לוח בקרה'!$E$9,מלאי!C220)))),1,0)</f>
        <v>0</v>
      </c>
      <c r="AE220" t="e">
        <f>IF(AND(מלאי!D220&lt;&gt;"",OR('לוח בקרה טכנו-מבצעי'!$B$4="הכל",מלאי!Z220='לוח בקרה טכנו-מבצעי'!$B$4,מלאי!AA220='לוח בקרה טכנו-מבצעי'!$B$4,מלאי!AB220='לוח בקרה טכנו-מבצעי'!$B$4,מלאי!AC220='לוח בקרה טכנו-מבצעי'!$B$4),OR('לוח בקרה טכנו-מבצעי'!$B$5="הכל",מלאי!A220='לוח בקרה טכנו-מבצעי'!$B$5),OR('לוח בקרה טכנו-מבצעי'!$B$6="הכל",מלאי!B220='לוח בקרה טכנו-מבצעי'!$B$6),OR('לוח בקרה טכנו-מבצעי'!$B$7="הכל",מלאי!F220='לוח בקרה טכנו-מבצעי'!$B$7,מלאי!G220='לוח בקרה טכנו-מבצעי'!$B$7),OR('לוח בקרה טכנו-מבצעי'!$B$8="הכל",מלאי!T220='לוח בקרה טכנו-מבצעי'!$B$8),OR('לוח בקרה טכנו-מבצעי'!$B$9="הכל",מלאי!Q220='לוח בקרה טכנו-מבצעי'!$B$9),OR('לוח בקרה טכנו-מבצעי'!$E$4="הכל",מלאי!J220='לוח בקרה טכנו-מבצעי'!$E$4),OR('לוח בקרה טכנו-מבצעי'!$E$5="הכל",מלאי!L220='לוח בקרה טכנו-מבצעי'!$E$5),OR('לוח בקרה טכנו-מבצעי'!$E$6="הכל",מלאי!O220='לוח בקרה טכנו-מבצעי'!$E$6),OR('לוח בקרה טכנו-מבצעי'!$E$7="הכל",מלאי!R220='לוח בקרה טכנו-מבצעי'!$E$7),OR('לוח בקרה טכנו-מבצעי'!$E$8="הכל",'לוח בקרה טכנו-מבצעי'!$E$8="",מלאי!W220='לוח בקרה טכנו-מבצעי'!$E$8),OR('לוח בקרה טכנו-מבצעי'!$E$9="הכל",'לוח בקרה טכנו-מבצעי'!$E$9="",ISNUMBER(SEARCH('לוח בקרה טכנו-מבצעי'!$E$9,מלאי!C220))),OR('לוח בקרה טכנו-מבצעי'!$B$10="הכל",מלאי!#REF!='לוח בקרה טכנו-מבצעי'!$B$10)),1,0)</f>
        <v>#REF!</v>
      </c>
      <c r="AF220" t="str">
        <f>IF(AD220=1,COUNTIF($AD$3:$AD220,1),"")</f>
        <v/>
      </c>
      <c r="AG220" t="e">
        <f>IF(AE220=1,COUNTIF($AE$3:$AE220,1),"")</f>
        <v>#REF!</v>
      </c>
    </row>
    <row r="221" spans="1:33" ht="15" customHeight="1" x14ac:dyDescent="0.25">
      <c r="A221" s="19"/>
      <c r="B221" s="19"/>
      <c r="C221" s="19"/>
      <c r="D221" s="19"/>
      <c r="E221" s="19" t="str">
        <f>IFERROR(INDEX(הגדרות!$I$2:$I$47,MATCH(B221,הגדרות!$H$2:$H$47,0)),"")</f>
        <v/>
      </c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t="str">
        <f>IFERROR(INDEX(הגדרות!$B$2:$B$17,MATCH(H221,הגדרות!$A$2:$A$17,0)),"")</f>
        <v/>
      </c>
      <c r="AA221" t="str">
        <f>IFERROR(INDEX(הגדרות!$C$2:$C$17,MATCH(H221,הגדרות!$A$2:$A$17,0)),"")</f>
        <v/>
      </c>
      <c r="AB221" t="str">
        <f>IFERROR(INDEX(הגדרות!$B$2:$B$17,MATCH(I221,הגדרות!$A$2:$A$17,0)),"")</f>
        <v/>
      </c>
      <c r="AC221" t="str">
        <f>IFERROR(INDEX(הגדרות!$C$2:$C$17,MATCH(I221,הגדרות!$A$2:$A$17,0)),"")</f>
        <v/>
      </c>
      <c r="AD221">
        <f>IF(AND(מלאי!D221&lt;&gt;"",OR('לוח בקרה'!$B$4="הכל",מלאי!Z221='לוח בקרה'!$B$4,מלאי!AA221='לוח בקרה'!$B$4,מלאי!AB221='לוח בקרה'!$B$4,מלאי!AC221='לוח בקרה'!$B$4),OR('לוח בקרה'!$B$5="הכל",מלאי!A221='לוח בקרה'!$B$5),OR('לוח בקרה'!$B$6="הכל",מלאי!B221='לוח בקרה'!$B$6),OR('לוח בקרה'!$B$7="הכל",מלאי!F221='לוח בקרה'!$B$7,מלאי!G221='לוח בקרה'!$B$7),OR('לוח בקרה'!$B$8="הכל",מלאי!T221='לוח בקרה'!$B$8),OR('לוח בקרה'!$B$9="הכל",מלאי!Q221='לוח בקרה'!$B$9),OR('לוח בקרה'!$E$4="הכל",מלאי!J221='לוח בקרה'!$E$4),OR('לוח בקרה'!$E$5="הכל",מלאי!L221='לוח בקרה'!$E$5),OR('לוח בקרה'!$E$6="הכל",מלאי!O221='לוח בקרה'!$E$6),OR('לוח בקרה'!$E$7="הכל",מלאי!R221='לוח בקרה'!$E$7),OR('לוח בקרה'!$E$8="הכל",'לוח בקרה'!$E$8="",מלאי!W221='לוח בקרה'!$E$8),OR('לוח בקרה'!$E$9="הכל",'לוח בקרה'!$E$9="",ISNUMBER(SEARCH('לוח בקרה'!$E$9,מלאי!C221)))),1,0)</f>
        <v>0</v>
      </c>
      <c r="AE221" t="e">
        <f>IF(AND(מלאי!D221&lt;&gt;"",OR('לוח בקרה טכנו-מבצעי'!$B$4="הכל",מלאי!Z221='לוח בקרה טכנו-מבצעי'!$B$4,מלאי!AA221='לוח בקרה טכנו-מבצעי'!$B$4,מלאי!AB221='לוח בקרה טכנו-מבצעי'!$B$4,מלאי!AC221='לוח בקרה טכנו-מבצעי'!$B$4),OR('לוח בקרה טכנו-מבצעי'!$B$5="הכל",מלאי!A221='לוח בקרה טכנו-מבצעי'!$B$5),OR('לוח בקרה טכנו-מבצעי'!$B$6="הכל",מלאי!B221='לוח בקרה טכנו-מבצעי'!$B$6),OR('לוח בקרה טכנו-מבצעי'!$B$7="הכל",מלאי!F221='לוח בקרה טכנו-מבצעי'!$B$7,מלאי!G221='לוח בקרה טכנו-מבצעי'!$B$7),OR('לוח בקרה טכנו-מבצעי'!$B$8="הכל",מלאי!T221='לוח בקרה טכנו-מבצעי'!$B$8),OR('לוח בקרה טכנו-מבצעי'!$B$9="הכל",מלאי!Q221='לוח בקרה טכנו-מבצעי'!$B$9),OR('לוח בקרה טכנו-מבצעי'!$E$4="הכל",מלאי!J221='לוח בקרה טכנו-מבצעי'!$E$4),OR('לוח בקרה טכנו-מבצעי'!$E$5="הכל",מלאי!L221='לוח בקרה טכנו-מבצעי'!$E$5),OR('לוח בקרה טכנו-מבצעי'!$E$6="הכל",מלאי!O221='לוח בקרה טכנו-מבצעי'!$E$6),OR('לוח בקרה טכנו-מבצעי'!$E$7="הכל",מלאי!R221='לוח בקרה טכנו-מבצעי'!$E$7),OR('לוח בקרה טכנו-מבצעי'!$E$8="הכל",'לוח בקרה טכנו-מבצעי'!$E$8="",מלאי!W221='לוח בקרה טכנו-מבצעי'!$E$8),OR('לוח בקרה טכנו-מבצעי'!$E$9="הכל",'לוח בקרה טכנו-מבצעי'!$E$9="",ISNUMBER(SEARCH('לוח בקרה טכנו-מבצעי'!$E$9,מלאי!C221))),OR('לוח בקרה טכנו-מבצעי'!$B$10="הכל",מלאי!#REF!='לוח בקרה טכנו-מבצעי'!$B$10)),1,0)</f>
        <v>#REF!</v>
      </c>
      <c r="AF221" t="str">
        <f>IF(AD221=1,COUNTIF($AD$3:$AD221,1),"")</f>
        <v/>
      </c>
      <c r="AG221" t="e">
        <f>IF(AE221=1,COUNTIF($AE$3:$AE221,1),"")</f>
        <v>#REF!</v>
      </c>
    </row>
    <row r="222" spans="1:33" ht="15" customHeight="1" x14ac:dyDescent="0.25">
      <c r="A222" s="17"/>
      <c r="B222" s="17"/>
      <c r="C222" s="17"/>
      <c r="D222" s="17"/>
      <c r="E222" s="17" t="str">
        <f>IFERROR(INDEX(הגדרות!$I$2:$I$47,MATCH(B222,הגדרות!$H$2:$H$47,0)),"")</f>
        <v/>
      </c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t="str">
        <f>IFERROR(INDEX(הגדרות!$B$2:$B$17,MATCH(H222,הגדרות!$A$2:$A$17,0)),"")</f>
        <v/>
      </c>
      <c r="AA222" t="str">
        <f>IFERROR(INDEX(הגדרות!$C$2:$C$17,MATCH(H222,הגדרות!$A$2:$A$17,0)),"")</f>
        <v/>
      </c>
      <c r="AB222" t="str">
        <f>IFERROR(INDEX(הגדרות!$B$2:$B$17,MATCH(I222,הגדרות!$A$2:$A$17,0)),"")</f>
        <v/>
      </c>
      <c r="AC222" t="str">
        <f>IFERROR(INDEX(הגדרות!$C$2:$C$17,MATCH(I222,הגדרות!$A$2:$A$17,0)),"")</f>
        <v/>
      </c>
      <c r="AD222">
        <f>IF(AND(מלאי!D222&lt;&gt;"",OR('לוח בקרה'!$B$4="הכל",מלאי!Z222='לוח בקרה'!$B$4,מלאי!AA222='לוח בקרה'!$B$4,מלאי!AB222='לוח בקרה'!$B$4,מלאי!AC222='לוח בקרה'!$B$4),OR('לוח בקרה'!$B$5="הכל",מלאי!A222='לוח בקרה'!$B$5),OR('לוח בקרה'!$B$6="הכל",מלאי!B222='לוח בקרה'!$B$6),OR('לוח בקרה'!$B$7="הכל",מלאי!F222='לוח בקרה'!$B$7,מלאי!G222='לוח בקרה'!$B$7),OR('לוח בקרה'!$B$8="הכל",מלאי!T222='לוח בקרה'!$B$8),OR('לוח בקרה'!$B$9="הכל",מלאי!Q222='לוח בקרה'!$B$9),OR('לוח בקרה'!$E$4="הכל",מלאי!J222='לוח בקרה'!$E$4),OR('לוח בקרה'!$E$5="הכל",מלאי!L222='לוח בקרה'!$E$5),OR('לוח בקרה'!$E$6="הכל",מלאי!O222='לוח בקרה'!$E$6),OR('לוח בקרה'!$E$7="הכל",מלאי!R222='לוח בקרה'!$E$7),OR('לוח בקרה'!$E$8="הכל",'לוח בקרה'!$E$8="",מלאי!W222='לוח בקרה'!$E$8),OR('לוח בקרה'!$E$9="הכל",'לוח בקרה'!$E$9="",ISNUMBER(SEARCH('לוח בקרה'!$E$9,מלאי!C222)))),1,0)</f>
        <v>0</v>
      </c>
      <c r="AE222" t="e">
        <f>IF(AND(מלאי!D222&lt;&gt;"",OR('לוח בקרה טכנו-מבצעי'!$B$4="הכל",מלאי!Z222='לוח בקרה טכנו-מבצעי'!$B$4,מלאי!AA222='לוח בקרה טכנו-מבצעי'!$B$4,מלאי!AB222='לוח בקרה טכנו-מבצעי'!$B$4,מלאי!AC222='לוח בקרה טכנו-מבצעי'!$B$4),OR('לוח בקרה טכנו-מבצעי'!$B$5="הכל",מלאי!A222='לוח בקרה טכנו-מבצעי'!$B$5),OR('לוח בקרה טכנו-מבצעי'!$B$6="הכל",מלאי!B222='לוח בקרה טכנו-מבצעי'!$B$6),OR('לוח בקרה טכנו-מבצעי'!$B$7="הכל",מלאי!F222='לוח בקרה טכנו-מבצעי'!$B$7,מלאי!G222='לוח בקרה טכנו-מבצעי'!$B$7),OR('לוח בקרה טכנו-מבצעי'!$B$8="הכל",מלאי!T222='לוח בקרה טכנו-מבצעי'!$B$8),OR('לוח בקרה טכנו-מבצעי'!$B$9="הכל",מלאי!Q222='לוח בקרה טכנו-מבצעי'!$B$9),OR('לוח בקרה טכנו-מבצעי'!$E$4="הכל",מלאי!J222='לוח בקרה טכנו-מבצעי'!$E$4),OR('לוח בקרה טכנו-מבצעי'!$E$5="הכל",מלאי!L222='לוח בקרה טכנו-מבצעי'!$E$5),OR('לוח בקרה טכנו-מבצעי'!$E$6="הכל",מלאי!O222='לוח בקרה טכנו-מבצעי'!$E$6),OR('לוח בקרה טכנו-מבצעי'!$E$7="הכל",מלאי!R222='לוח בקרה טכנו-מבצעי'!$E$7),OR('לוח בקרה טכנו-מבצעי'!$E$8="הכל",'לוח בקרה טכנו-מבצעי'!$E$8="",מלאי!W222='לוח בקרה טכנו-מבצעי'!$E$8),OR('לוח בקרה טכנו-מבצעי'!$E$9="הכל",'לוח בקרה טכנו-מבצעי'!$E$9="",ISNUMBER(SEARCH('לוח בקרה טכנו-מבצעי'!$E$9,מלאי!C222))),OR('לוח בקרה טכנו-מבצעי'!$B$10="הכל",מלאי!#REF!='לוח בקרה טכנו-מבצעי'!$B$10)),1,0)</f>
        <v>#REF!</v>
      </c>
      <c r="AF222" t="str">
        <f>IF(AD222=1,COUNTIF($AD$3:$AD222,1),"")</f>
        <v/>
      </c>
      <c r="AG222" t="e">
        <f>IF(AE222=1,COUNTIF($AE$3:$AE222,1),"")</f>
        <v>#REF!</v>
      </c>
    </row>
    <row r="223" spans="1:33" ht="15" customHeight="1" x14ac:dyDescent="0.25">
      <c r="A223" s="19"/>
      <c r="B223" s="19"/>
      <c r="C223" s="19"/>
      <c r="D223" s="19"/>
      <c r="E223" s="19" t="str">
        <f>IFERROR(INDEX(הגדרות!$I$2:$I$47,MATCH(B223,הגדרות!$H$2:$H$47,0)),"")</f>
        <v/>
      </c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t="str">
        <f>IFERROR(INDEX(הגדרות!$B$2:$B$17,MATCH(H223,הגדרות!$A$2:$A$17,0)),"")</f>
        <v/>
      </c>
      <c r="AA223" t="str">
        <f>IFERROR(INDEX(הגדרות!$C$2:$C$17,MATCH(H223,הגדרות!$A$2:$A$17,0)),"")</f>
        <v/>
      </c>
      <c r="AB223" t="str">
        <f>IFERROR(INDEX(הגדרות!$B$2:$B$17,MATCH(I223,הגדרות!$A$2:$A$17,0)),"")</f>
        <v/>
      </c>
      <c r="AC223" t="str">
        <f>IFERROR(INDEX(הגדרות!$C$2:$C$17,MATCH(I223,הגדרות!$A$2:$A$17,0)),"")</f>
        <v/>
      </c>
      <c r="AD223">
        <f>IF(AND(מלאי!D223&lt;&gt;"",OR('לוח בקרה'!$B$4="הכל",מלאי!Z223='לוח בקרה'!$B$4,מלאי!AA223='לוח בקרה'!$B$4,מלאי!AB223='לוח בקרה'!$B$4,מלאי!AC223='לוח בקרה'!$B$4),OR('לוח בקרה'!$B$5="הכל",מלאי!A223='לוח בקרה'!$B$5),OR('לוח בקרה'!$B$6="הכל",מלאי!B223='לוח בקרה'!$B$6),OR('לוח בקרה'!$B$7="הכל",מלאי!F223='לוח בקרה'!$B$7,מלאי!G223='לוח בקרה'!$B$7),OR('לוח בקרה'!$B$8="הכל",מלאי!T223='לוח בקרה'!$B$8),OR('לוח בקרה'!$B$9="הכל",מלאי!Q223='לוח בקרה'!$B$9),OR('לוח בקרה'!$E$4="הכל",מלאי!J223='לוח בקרה'!$E$4),OR('לוח בקרה'!$E$5="הכל",מלאי!L223='לוח בקרה'!$E$5),OR('לוח בקרה'!$E$6="הכל",מלאי!O223='לוח בקרה'!$E$6),OR('לוח בקרה'!$E$7="הכל",מלאי!R223='לוח בקרה'!$E$7),OR('לוח בקרה'!$E$8="הכל",'לוח בקרה'!$E$8="",מלאי!W223='לוח בקרה'!$E$8),OR('לוח בקרה'!$E$9="הכל",'לוח בקרה'!$E$9="",ISNUMBER(SEARCH('לוח בקרה'!$E$9,מלאי!C223)))),1,0)</f>
        <v>0</v>
      </c>
      <c r="AE223" t="e">
        <f>IF(AND(מלאי!D223&lt;&gt;"",OR('לוח בקרה טכנו-מבצעי'!$B$4="הכל",מלאי!Z223='לוח בקרה טכנו-מבצעי'!$B$4,מלאי!AA223='לוח בקרה טכנו-מבצעי'!$B$4,מלאי!AB223='לוח בקרה טכנו-מבצעי'!$B$4,מלאי!AC223='לוח בקרה טכנו-מבצעי'!$B$4),OR('לוח בקרה טכנו-מבצעי'!$B$5="הכל",מלאי!A223='לוח בקרה טכנו-מבצעי'!$B$5),OR('לוח בקרה טכנו-מבצעי'!$B$6="הכל",מלאי!B223='לוח בקרה טכנו-מבצעי'!$B$6),OR('לוח בקרה טכנו-מבצעי'!$B$7="הכל",מלאי!F223='לוח בקרה טכנו-מבצעי'!$B$7,מלאי!G223='לוח בקרה טכנו-מבצעי'!$B$7),OR('לוח בקרה טכנו-מבצעי'!$B$8="הכל",מלאי!T223='לוח בקרה טכנו-מבצעי'!$B$8),OR('לוח בקרה טכנו-מבצעי'!$B$9="הכל",מלאי!Q223='לוח בקרה טכנו-מבצעי'!$B$9),OR('לוח בקרה טכנו-מבצעי'!$E$4="הכל",מלאי!J223='לוח בקרה טכנו-מבצעי'!$E$4),OR('לוח בקרה טכנו-מבצעי'!$E$5="הכל",מלאי!L223='לוח בקרה טכנו-מבצעי'!$E$5),OR('לוח בקרה טכנו-מבצעי'!$E$6="הכל",מלאי!O223='לוח בקרה טכנו-מבצעי'!$E$6),OR('לוח בקרה טכנו-מבצעי'!$E$7="הכל",מלאי!R223='לוח בקרה טכנו-מבצעי'!$E$7),OR('לוח בקרה טכנו-מבצעי'!$E$8="הכל",'לוח בקרה טכנו-מבצעי'!$E$8="",מלאי!W223='לוח בקרה טכנו-מבצעי'!$E$8),OR('לוח בקרה טכנו-מבצעי'!$E$9="הכל",'לוח בקרה טכנו-מבצעי'!$E$9="",ISNUMBER(SEARCH('לוח בקרה טכנו-מבצעי'!$E$9,מלאי!C223))),OR('לוח בקרה טכנו-מבצעי'!$B$10="הכל",מלאי!#REF!='לוח בקרה טכנו-מבצעי'!$B$10)),1,0)</f>
        <v>#REF!</v>
      </c>
      <c r="AF223" t="str">
        <f>IF(AD223=1,COUNTIF($AD$3:$AD223,1),"")</f>
        <v/>
      </c>
      <c r="AG223" t="e">
        <f>IF(AE223=1,COUNTIF($AE$3:$AE223,1),"")</f>
        <v>#REF!</v>
      </c>
    </row>
    <row r="224" spans="1:33" ht="15" customHeight="1" x14ac:dyDescent="0.25">
      <c r="A224" s="17"/>
      <c r="B224" s="17"/>
      <c r="C224" s="17"/>
      <c r="D224" s="17"/>
      <c r="E224" s="17" t="str">
        <f>IFERROR(INDEX(הגדרות!$I$2:$I$47,MATCH(B224,הגדרות!$H$2:$H$47,0)),"")</f>
        <v/>
      </c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t="str">
        <f>IFERROR(INDEX(הגדרות!$B$2:$B$17,MATCH(H224,הגדרות!$A$2:$A$17,0)),"")</f>
        <v/>
      </c>
      <c r="AA224" t="str">
        <f>IFERROR(INDEX(הגדרות!$C$2:$C$17,MATCH(H224,הגדרות!$A$2:$A$17,0)),"")</f>
        <v/>
      </c>
      <c r="AB224" t="str">
        <f>IFERROR(INDEX(הגדרות!$B$2:$B$17,MATCH(I224,הגדרות!$A$2:$A$17,0)),"")</f>
        <v/>
      </c>
      <c r="AC224" t="str">
        <f>IFERROR(INDEX(הגדרות!$C$2:$C$17,MATCH(I224,הגדרות!$A$2:$A$17,0)),"")</f>
        <v/>
      </c>
      <c r="AD224">
        <f>IF(AND(מלאי!D224&lt;&gt;"",OR('לוח בקרה'!$B$4="הכל",מלאי!Z224='לוח בקרה'!$B$4,מלאי!AA224='לוח בקרה'!$B$4,מלאי!AB224='לוח בקרה'!$B$4,מלאי!AC224='לוח בקרה'!$B$4),OR('לוח בקרה'!$B$5="הכל",מלאי!A224='לוח בקרה'!$B$5),OR('לוח בקרה'!$B$6="הכל",מלאי!B224='לוח בקרה'!$B$6),OR('לוח בקרה'!$B$7="הכל",מלאי!F224='לוח בקרה'!$B$7,מלאי!G224='לוח בקרה'!$B$7),OR('לוח בקרה'!$B$8="הכל",מלאי!T224='לוח בקרה'!$B$8),OR('לוח בקרה'!$B$9="הכל",מלאי!Q224='לוח בקרה'!$B$9),OR('לוח בקרה'!$E$4="הכל",מלאי!J224='לוח בקרה'!$E$4),OR('לוח בקרה'!$E$5="הכל",מלאי!L224='לוח בקרה'!$E$5),OR('לוח בקרה'!$E$6="הכל",מלאי!O224='לוח בקרה'!$E$6),OR('לוח בקרה'!$E$7="הכל",מלאי!R224='לוח בקרה'!$E$7),OR('לוח בקרה'!$E$8="הכל",'לוח בקרה'!$E$8="",מלאי!W224='לוח בקרה'!$E$8),OR('לוח בקרה'!$E$9="הכל",'לוח בקרה'!$E$9="",ISNUMBER(SEARCH('לוח בקרה'!$E$9,מלאי!C224)))),1,0)</f>
        <v>0</v>
      </c>
      <c r="AE224" t="e">
        <f>IF(AND(מלאי!D224&lt;&gt;"",OR('לוח בקרה טכנו-מבצעי'!$B$4="הכל",מלאי!Z224='לוח בקרה טכנו-מבצעי'!$B$4,מלאי!AA224='לוח בקרה טכנו-מבצעי'!$B$4,מלאי!AB224='לוח בקרה טכנו-מבצעי'!$B$4,מלאי!AC224='לוח בקרה טכנו-מבצעי'!$B$4),OR('לוח בקרה טכנו-מבצעי'!$B$5="הכל",מלאי!A224='לוח בקרה טכנו-מבצעי'!$B$5),OR('לוח בקרה טכנו-מבצעי'!$B$6="הכל",מלאי!B224='לוח בקרה טכנו-מבצעי'!$B$6),OR('לוח בקרה טכנו-מבצעי'!$B$7="הכל",מלאי!F224='לוח בקרה טכנו-מבצעי'!$B$7,מלאי!G224='לוח בקרה טכנו-מבצעי'!$B$7),OR('לוח בקרה טכנו-מבצעי'!$B$8="הכל",מלאי!T224='לוח בקרה טכנו-מבצעי'!$B$8),OR('לוח בקרה טכנו-מבצעי'!$B$9="הכל",מלאי!Q224='לוח בקרה טכנו-מבצעי'!$B$9),OR('לוח בקרה טכנו-מבצעי'!$E$4="הכל",מלאי!J224='לוח בקרה טכנו-מבצעי'!$E$4),OR('לוח בקרה טכנו-מבצעי'!$E$5="הכל",מלאי!L224='לוח בקרה טכנו-מבצעי'!$E$5),OR('לוח בקרה טכנו-מבצעי'!$E$6="הכל",מלאי!O224='לוח בקרה טכנו-מבצעי'!$E$6),OR('לוח בקרה טכנו-מבצעי'!$E$7="הכל",מלאי!R224='לוח בקרה טכנו-מבצעי'!$E$7),OR('לוח בקרה טכנו-מבצעי'!$E$8="הכל",'לוח בקרה טכנו-מבצעי'!$E$8="",מלאי!W224='לוח בקרה טכנו-מבצעי'!$E$8),OR('לוח בקרה טכנו-מבצעי'!$E$9="הכל",'לוח בקרה טכנו-מבצעי'!$E$9="",ISNUMBER(SEARCH('לוח בקרה טכנו-מבצעי'!$E$9,מלאי!C224))),OR('לוח בקרה טכנו-מבצעי'!$B$10="הכל",מלאי!#REF!='לוח בקרה טכנו-מבצעי'!$B$10)),1,0)</f>
        <v>#REF!</v>
      </c>
      <c r="AF224" t="str">
        <f>IF(AD224=1,COUNTIF($AD$3:$AD224,1),"")</f>
        <v/>
      </c>
      <c r="AG224" t="e">
        <f>IF(AE224=1,COUNTIF($AE$3:$AE224,1),"")</f>
        <v>#REF!</v>
      </c>
    </row>
    <row r="225" spans="1:33" ht="15" customHeight="1" x14ac:dyDescent="0.25">
      <c r="A225" s="19"/>
      <c r="B225" s="19"/>
      <c r="C225" s="19"/>
      <c r="D225" s="19"/>
      <c r="E225" s="19" t="str">
        <f>IFERROR(INDEX(הגדרות!$I$2:$I$47,MATCH(B225,הגדרות!$H$2:$H$47,0)),"")</f>
        <v/>
      </c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t="str">
        <f>IFERROR(INDEX(הגדרות!$B$2:$B$17,MATCH(H225,הגדרות!$A$2:$A$17,0)),"")</f>
        <v/>
      </c>
      <c r="AA225" t="str">
        <f>IFERROR(INDEX(הגדרות!$C$2:$C$17,MATCH(H225,הגדרות!$A$2:$A$17,0)),"")</f>
        <v/>
      </c>
      <c r="AB225" t="str">
        <f>IFERROR(INDEX(הגדרות!$B$2:$B$17,MATCH(I225,הגדרות!$A$2:$A$17,0)),"")</f>
        <v/>
      </c>
      <c r="AC225" t="str">
        <f>IFERROR(INDEX(הגדרות!$C$2:$C$17,MATCH(I225,הגדרות!$A$2:$A$17,0)),"")</f>
        <v/>
      </c>
      <c r="AD225">
        <f>IF(AND(מלאי!D225&lt;&gt;"",OR('לוח בקרה'!$B$4="הכל",מלאי!Z225='לוח בקרה'!$B$4,מלאי!AA225='לוח בקרה'!$B$4,מלאי!AB225='לוח בקרה'!$B$4,מלאי!AC225='לוח בקרה'!$B$4),OR('לוח בקרה'!$B$5="הכל",מלאי!A225='לוח בקרה'!$B$5),OR('לוח בקרה'!$B$6="הכל",מלאי!B225='לוח בקרה'!$B$6),OR('לוח בקרה'!$B$7="הכל",מלאי!F225='לוח בקרה'!$B$7,מלאי!G225='לוח בקרה'!$B$7),OR('לוח בקרה'!$B$8="הכל",מלאי!T225='לוח בקרה'!$B$8),OR('לוח בקרה'!$B$9="הכל",מלאי!Q225='לוח בקרה'!$B$9),OR('לוח בקרה'!$E$4="הכל",מלאי!J225='לוח בקרה'!$E$4),OR('לוח בקרה'!$E$5="הכל",מלאי!L225='לוח בקרה'!$E$5),OR('לוח בקרה'!$E$6="הכל",מלאי!O225='לוח בקרה'!$E$6),OR('לוח בקרה'!$E$7="הכל",מלאי!R225='לוח בקרה'!$E$7),OR('לוח בקרה'!$E$8="הכל",'לוח בקרה'!$E$8="",מלאי!W225='לוח בקרה'!$E$8),OR('לוח בקרה'!$E$9="הכל",'לוח בקרה'!$E$9="",ISNUMBER(SEARCH('לוח בקרה'!$E$9,מלאי!C225)))),1,0)</f>
        <v>0</v>
      </c>
      <c r="AE225" t="e">
        <f>IF(AND(מלאי!D225&lt;&gt;"",OR('לוח בקרה טכנו-מבצעי'!$B$4="הכל",מלאי!Z225='לוח בקרה טכנו-מבצעי'!$B$4,מלאי!AA225='לוח בקרה טכנו-מבצעי'!$B$4,מלאי!AB225='לוח בקרה טכנו-מבצעי'!$B$4,מלאי!AC225='לוח בקרה טכנו-מבצעי'!$B$4),OR('לוח בקרה טכנו-מבצעי'!$B$5="הכל",מלאי!A225='לוח בקרה טכנו-מבצעי'!$B$5),OR('לוח בקרה טכנו-מבצעי'!$B$6="הכל",מלאי!B225='לוח בקרה טכנו-מבצעי'!$B$6),OR('לוח בקרה טכנו-מבצעי'!$B$7="הכל",מלאי!F225='לוח בקרה טכנו-מבצעי'!$B$7,מלאי!G225='לוח בקרה טכנו-מבצעי'!$B$7),OR('לוח בקרה טכנו-מבצעי'!$B$8="הכל",מלאי!T225='לוח בקרה טכנו-מבצעי'!$B$8),OR('לוח בקרה טכנו-מבצעי'!$B$9="הכל",מלאי!Q225='לוח בקרה טכנו-מבצעי'!$B$9),OR('לוח בקרה טכנו-מבצעי'!$E$4="הכל",מלאי!J225='לוח בקרה טכנו-מבצעי'!$E$4),OR('לוח בקרה טכנו-מבצעי'!$E$5="הכל",מלאי!L225='לוח בקרה טכנו-מבצעי'!$E$5),OR('לוח בקרה טכנו-מבצעי'!$E$6="הכל",מלאי!O225='לוח בקרה טכנו-מבצעי'!$E$6),OR('לוח בקרה טכנו-מבצעי'!$E$7="הכל",מלאי!R225='לוח בקרה טכנו-מבצעי'!$E$7),OR('לוח בקרה טכנו-מבצעי'!$E$8="הכל",'לוח בקרה טכנו-מבצעי'!$E$8="",מלאי!W225='לוח בקרה טכנו-מבצעי'!$E$8),OR('לוח בקרה טכנו-מבצעי'!$E$9="הכל",'לוח בקרה טכנו-מבצעי'!$E$9="",ISNUMBER(SEARCH('לוח בקרה טכנו-מבצעי'!$E$9,מלאי!C225))),OR('לוח בקרה טכנו-מבצעי'!$B$10="הכל",מלאי!#REF!='לוח בקרה טכנו-מבצעי'!$B$10)),1,0)</f>
        <v>#REF!</v>
      </c>
      <c r="AF225" t="str">
        <f>IF(AD225=1,COUNTIF($AD$3:$AD225,1),"")</f>
        <v/>
      </c>
      <c r="AG225" t="e">
        <f>IF(AE225=1,COUNTIF($AE$3:$AE225,1),"")</f>
        <v>#REF!</v>
      </c>
    </row>
    <row r="226" spans="1:33" ht="15" customHeight="1" x14ac:dyDescent="0.25">
      <c r="A226" s="17"/>
      <c r="B226" s="17"/>
      <c r="C226" s="17"/>
      <c r="D226" s="17"/>
      <c r="E226" s="17" t="str">
        <f>IFERROR(INDEX(הגדרות!$I$2:$I$47,MATCH(B226,הגדרות!$H$2:$H$47,0)),"")</f>
        <v/>
      </c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t="str">
        <f>IFERROR(INDEX(הגדרות!$B$2:$B$17,MATCH(H226,הגדרות!$A$2:$A$17,0)),"")</f>
        <v/>
      </c>
      <c r="AA226" t="str">
        <f>IFERROR(INDEX(הגדרות!$C$2:$C$17,MATCH(H226,הגדרות!$A$2:$A$17,0)),"")</f>
        <v/>
      </c>
      <c r="AB226" t="str">
        <f>IFERROR(INDEX(הגדרות!$B$2:$B$17,MATCH(I226,הגדרות!$A$2:$A$17,0)),"")</f>
        <v/>
      </c>
      <c r="AC226" t="str">
        <f>IFERROR(INDEX(הגדרות!$C$2:$C$17,MATCH(I226,הגדרות!$A$2:$A$17,0)),"")</f>
        <v/>
      </c>
      <c r="AD226">
        <f>IF(AND(מלאי!D226&lt;&gt;"",OR('לוח בקרה'!$B$4="הכל",מלאי!Z226='לוח בקרה'!$B$4,מלאי!AA226='לוח בקרה'!$B$4,מלאי!AB226='לוח בקרה'!$B$4,מלאי!AC226='לוח בקרה'!$B$4),OR('לוח בקרה'!$B$5="הכל",מלאי!A226='לוח בקרה'!$B$5),OR('לוח בקרה'!$B$6="הכל",מלאי!B226='לוח בקרה'!$B$6),OR('לוח בקרה'!$B$7="הכל",מלאי!F226='לוח בקרה'!$B$7,מלאי!G226='לוח בקרה'!$B$7),OR('לוח בקרה'!$B$8="הכל",מלאי!T226='לוח בקרה'!$B$8),OR('לוח בקרה'!$B$9="הכל",מלאי!Q226='לוח בקרה'!$B$9),OR('לוח בקרה'!$E$4="הכל",מלאי!J226='לוח בקרה'!$E$4),OR('לוח בקרה'!$E$5="הכל",מלאי!L226='לוח בקרה'!$E$5),OR('לוח בקרה'!$E$6="הכל",מלאי!O226='לוח בקרה'!$E$6),OR('לוח בקרה'!$E$7="הכל",מלאי!R226='לוח בקרה'!$E$7),OR('לוח בקרה'!$E$8="הכל",'לוח בקרה'!$E$8="",מלאי!W226='לוח בקרה'!$E$8),OR('לוח בקרה'!$E$9="הכל",'לוח בקרה'!$E$9="",ISNUMBER(SEARCH('לוח בקרה'!$E$9,מלאי!C226)))),1,0)</f>
        <v>0</v>
      </c>
      <c r="AE226" t="e">
        <f>IF(AND(מלאי!D226&lt;&gt;"",OR('לוח בקרה טכנו-מבצעי'!$B$4="הכל",מלאי!Z226='לוח בקרה טכנו-מבצעי'!$B$4,מלאי!AA226='לוח בקרה טכנו-מבצעי'!$B$4,מלאי!AB226='לוח בקרה טכנו-מבצעי'!$B$4,מלאי!AC226='לוח בקרה טכנו-מבצעי'!$B$4),OR('לוח בקרה טכנו-מבצעי'!$B$5="הכל",מלאי!A226='לוח בקרה טכנו-מבצעי'!$B$5),OR('לוח בקרה טכנו-מבצעי'!$B$6="הכל",מלאי!B226='לוח בקרה טכנו-מבצעי'!$B$6),OR('לוח בקרה טכנו-מבצעי'!$B$7="הכל",מלאי!F226='לוח בקרה טכנו-מבצעי'!$B$7,מלאי!G226='לוח בקרה טכנו-מבצעי'!$B$7),OR('לוח בקרה טכנו-מבצעי'!$B$8="הכל",מלאי!T226='לוח בקרה טכנו-מבצעי'!$B$8),OR('לוח בקרה טכנו-מבצעי'!$B$9="הכל",מלאי!Q226='לוח בקרה טכנו-מבצעי'!$B$9),OR('לוח בקרה טכנו-מבצעי'!$E$4="הכל",מלאי!J226='לוח בקרה טכנו-מבצעי'!$E$4),OR('לוח בקרה טכנו-מבצעי'!$E$5="הכל",מלאי!L226='לוח בקרה טכנו-מבצעי'!$E$5),OR('לוח בקרה טכנו-מבצעי'!$E$6="הכל",מלאי!O226='לוח בקרה טכנו-מבצעי'!$E$6),OR('לוח בקרה טכנו-מבצעי'!$E$7="הכל",מלאי!R226='לוח בקרה טכנו-מבצעי'!$E$7),OR('לוח בקרה טכנו-מבצעי'!$E$8="הכל",'לוח בקרה טכנו-מבצעי'!$E$8="",מלאי!W226='לוח בקרה טכנו-מבצעי'!$E$8),OR('לוח בקרה טכנו-מבצעי'!$E$9="הכל",'לוח בקרה טכנו-מבצעי'!$E$9="",ISNUMBER(SEARCH('לוח בקרה טכנו-מבצעי'!$E$9,מלאי!C226))),OR('לוח בקרה טכנו-מבצעי'!$B$10="הכל",מלאי!#REF!='לוח בקרה טכנו-מבצעי'!$B$10)),1,0)</f>
        <v>#REF!</v>
      </c>
      <c r="AF226" t="str">
        <f>IF(AD226=1,COUNTIF($AD$3:$AD226,1),"")</f>
        <v/>
      </c>
      <c r="AG226" t="e">
        <f>IF(AE226=1,COUNTIF($AE$3:$AE226,1),"")</f>
        <v>#REF!</v>
      </c>
    </row>
    <row r="227" spans="1:33" ht="15" customHeight="1" x14ac:dyDescent="0.25">
      <c r="A227" s="19"/>
      <c r="B227" s="19"/>
      <c r="C227" s="19"/>
      <c r="D227" s="19"/>
      <c r="E227" s="19" t="str">
        <f>IFERROR(INDEX(הגדרות!$I$2:$I$47,MATCH(B227,הגדרות!$H$2:$H$47,0)),"")</f>
        <v/>
      </c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t="str">
        <f>IFERROR(INDEX(הגדרות!$B$2:$B$17,MATCH(H227,הגדרות!$A$2:$A$17,0)),"")</f>
        <v/>
      </c>
      <c r="AA227" t="str">
        <f>IFERROR(INDEX(הגדרות!$C$2:$C$17,MATCH(H227,הגדרות!$A$2:$A$17,0)),"")</f>
        <v/>
      </c>
      <c r="AB227" t="str">
        <f>IFERROR(INDEX(הגדרות!$B$2:$B$17,MATCH(I227,הגדרות!$A$2:$A$17,0)),"")</f>
        <v/>
      </c>
      <c r="AC227" t="str">
        <f>IFERROR(INDEX(הגדרות!$C$2:$C$17,MATCH(I227,הגדרות!$A$2:$A$17,0)),"")</f>
        <v/>
      </c>
      <c r="AD227">
        <f>IF(AND(מלאי!D227&lt;&gt;"",OR('לוח בקרה'!$B$4="הכל",מלאי!Z227='לוח בקרה'!$B$4,מלאי!AA227='לוח בקרה'!$B$4,מלאי!AB227='לוח בקרה'!$B$4,מלאי!AC227='לוח בקרה'!$B$4),OR('לוח בקרה'!$B$5="הכל",מלאי!A227='לוח בקרה'!$B$5),OR('לוח בקרה'!$B$6="הכל",מלאי!B227='לוח בקרה'!$B$6),OR('לוח בקרה'!$B$7="הכל",מלאי!F227='לוח בקרה'!$B$7,מלאי!G227='לוח בקרה'!$B$7),OR('לוח בקרה'!$B$8="הכל",מלאי!T227='לוח בקרה'!$B$8),OR('לוח בקרה'!$B$9="הכל",מלאי!Q227='לוח בקרה'!$B$9),OR('לוח בקרה'!$E$4="הכל",מלאי!J227='לוח בקרה'!$E$4),OR('לוח בקרה'!$E$5="הכל",מלאי!L227='לוח בקרה'!$E$5),OR('לוח בקרה'!$E$6="הכל",מלאי!O227='לוח בקרה'!$E$6),OR('לוח בקרה'!$E$7="הכל",מלאי!R227='לוח בקרה'!$E$7),OR('לוח בקרה'!$E$8="הכל",'לוח בקרה'!$E$8="",מלאי!W227='לוח בקרה'!$E$8),OR('לוח בקרה'!$E$9="הכל",'לוח בקרה'!$E$9="",ISNUMBER(SEARCH('לוח בקרה'!$E$9,מלאי!C227)))),1,0)</f>
        <v>0</v>
      </c>
      <c r="AE227" t="e">
        <f>IF(AND(מלאי!D227&lt;&gt;"",OR('לוח בקרה טכנו-מבצעי'!$B$4="הכל",מלאי!Z227='לוח בקרה טכנו-מבצעי'!$B$4,מלאי!AA227='לוח בקרה טכנו-מבצעי'!$B$4,מלאי!AB227='לוח בקרה טכנו-מבצעי'!$B$4,מלאי!AC227='לוח בקרה טכנו-מבצעי'!$B$4),OR('לוח בקרה טכנו-מבצעי'!$B$5="הכל",מלאי!A227='לוח בקרה טכנו-מבצעי'!$B$5),OR('לוח בקרה טכנו-מבצעי'!$B$6="הכל",מלאי!B227='לוח בקרה טכנו-מבצעי'!$B$6),OR('לוח בקרה טכנו-מבצעי'!$B$7="הכל",מלאי!F227='לוח בקרה טכנו-מבצעי'!$B$7,מלאי!G227='לוח בקרה טכנו-מבצעי'!$B$7),OR('לוח בקרה טכנו-מבצעי'!$B$8="הכל",מלאי!T227='לוח בקרה טכנו-מבצעי'!$B$8),OR('לוח בקרה טכנו-מבצעי'!$B$9="הכל",מלאי!Q227='לוח בקרה טכנו-מבצעי'!$B$9),OR('לוח בקרה טכנו-מבצעי'!$E$4="הכל",מלאי!J227='לוח בקרה טכנו-מבצעי'!$E$4),OR('לוח בקרה טכנו-מבצעי'!$E$5="הכל",מלאי!L227='לוח בקרה טכנו-מבצעי'!$E$5),OR('לוח בקרה טכנו-מבצעי'!$E$6="הכל",מלאי!O227='לוח בקרה טכנו-מבצעי'!$E$6),OR('לוח בקרה טכנו-מבצעי'!$E$7="הכל",מלאי!R227='לוח בקרה טכנו-מבצעי'!$E$7),OR('לוח בקרה טכנו-מבצעי'!$E$8="הכל",'לוח בקרה טכנו-מבצעי'!$E$8="",מלאי!W227='לוח בקרה טכנו-מבצעי'!$E$8),OR('לוח בקרה טכנו-מבצעי'!$E$9="הכל",'לוח בקרה טכנו-מבצעי'!$E$9="",ISNUMBER(SEARCH('לוח בקרה טכנו-מבצעי'!$E$9,מלאי!C227))),OR('לוח בקרה טכנו-מבצעי'!$B$10="הכל",מלאי!#REF!='לוח בקרה טכנו-מבצעי'!$B$10)),1,0)</f>
        <v>#REF!</v>
      </c>
      <c r="AF227" t="str">
        <f>IF(AD227=1,COUNTIF($AD$3:$AD227,1),"")</f>
        <v/>
      </c>
      <c r="AG227" t="e">
        <f>IF(AE227=1,COUNTIF($AE$3:$AE227,1),"")</f>
        <v>#REF!</v>
      </c>
    </row>
    <row r="228" spans="1:33" ht="15" customHeight="1" x14ac:dyDescent="0.25">
      <c r="A228" s="17"/>
      <c r="B228" s="17"/>
      <c r="C228" s="17"/>
      <c r="D228" s="17"/>
      <c r="E228" s="17" t="str">
        <f>IFERROR(INDEX(הגדרות!$I$2:$I$47,MATCH(B228,הגדרות!$H$2:$H$47,0)),"")</f>
        <v/>
      </c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t="str">
        <f>IFERROR(INDEX(הגדרות!$B$2:$B$17,MATCH(H228,הגדרות!$A$2:$A$17,0)),"")</f>
        <v/>
      </c>
      <c r="AA228" t="str">
        <f>IFERROR(INDEX(הגדרות!$C$2:$C$17,MATCH(H228,הגדרות!$A$2:$A$17,0)),"")</f>
        <v/>
      </c>
      <c r="AB228" t="str">
        <f>IFERROR(INDEX(הגדרות!$B$2:$B$17,MATCH(I228,הגדרות!$A$2:$A$17,0)),"")</f>
        <v/>
      </c>
      <c r="AC228" t="str">
        <f>IFERROR(INDEX(הגדרות!$C$2:$C$17,MATCH(I228,הגדרות!$A$2:$A$17,0)),"")</f>
        <v/>
      </c>
      <c r="AD228">
        <f>IF(AND(מלאי!D228&lt;&gt;"",OR('לוח בקרה'!$B$4="הכל",מלאי!Z228='לוח בקרה'!$B$4,מלאי!AA228='לוח בקרה'!$B$4,מלאי!AB228='לוח בקרה'!$B$4,מלאי!AC228='לוח בקרה'!$B$4),OR('לוח בקרה'!$B$5="הכל",מלאי!A228='לוח בקרה'!$B$5),OR('לוח בקרה'!$B$6="הכל",מלאי!B228='לוח בקרה'!$B$6),OR('לוח בקרה'!$B$7="הכל",מלאי!F228='לוח בקרה'!$B$7,מלאי!G228='לוח בקרה'!$B$7),OR('לוח בקרה'!$B$8="הכל",מלאי!T228='לוח בקרה'!$B$8),OR('לוח בקרה'!$B$9="הכל",מלאי!Q228='לוח בקרה'!$B$9),OR('לוח בקרה'!$E$4="הכל",מלאי!J228='לוח בקרה'!$E$4),OR('לוח בקרה'!$E$5="הכל",מלאי!L228='לוח בקרה'!$E$5),OR('לוח בקרה'!$E$6="הכל",מלאי!O228='לוח בקרה'!$E$6),OR('לוח בקרה'!$E$7="הכל",מלאי!R228='לוח בקרה'!$E$7),OR('לוח בקרה'!$E$8="הכל",'לוח בקרה'!$E$8="",מלאי!W228='לוח בקרה'!$E$8),OR('לוח בקרה'!$E$9="הכל",'לוח בקרה'!$E$9="",ISNUMBER(SEARCH('לוח בקרה'!$E$9,מלאי!C228)))),1,0)</f>
        <v>0</v>
      </c>
      <c r="AE228" t="e">
        <f>IF(AND(מלאי!D228&lt;&gt;"",OR('לוח בקרה טכנו-מבצעי'!$B$4="הכל",מלאי!Z228='לוח בקרה טכנו-מבצעי'!$B$4,מלאי!AA228='לוח בקרה טכנו-מבצעי'!$B$4,מלאי!AB228='לוח בקרה טכנו-מבצעי'!$B$4,מלאי!AC228='לוח בקרה טכנו-מבצעי'!$B$4),OR('לוח בקרה טכנו-מבצעי'!$B$5="הכל",מלאי!A228='לוח בקרה טכנו-מבצעי'!$B$5),OR('לוח בקרה טכנו-מבצעי'!$B$6="הכל",מלאי!B228='לוח בקרה טכנו-מבצעי'!$B$6),OR('לוח בקרה טכנו-מבצעי'!$B$7="הכל",מלאי!F228='לוח בקרה טכנו-מבצעי'!$B$7,מלאי!G228='לוח בקרה טכנו-מבצעי'!$B$7),OR('לוח בקרה טכנו-מבצעי'!$B$8="הכל",מלאי!T228='לוח בקרה טכנו-מבצעי'!$B$8),OR('לוח בקרה טכנו-מבצעי'!$B$9="הכל",מלאי!Q228='לוח בקרה טכנו-מבצעי'!$B$9),OR('לוח בקרה טכנו-מבצעי'!$E$4="הכל",מלאי!J228='לוח בקרה טכנו-מבצעי'!$E$4),OR('לוח בקרה טכנו-מבצעי'!$E$5="הכל",מלאי!L228='לוח בקרה טכנו-מבצעי'!$E$5),OR('לוח בקרה טכנו-מבצעי'!$E$6="הכל",מלאי!O228='לוח בקרה טכנו-מבצעי'!$E$6),OR('לוח בקרה טכנו-מבצעי'!$E$7="הכל",מלאי!R228='לוח בקרה טכנו-מבצעי'!$E$7),OR('לוח בקרה טכנו-מבצעי'!$E$8="הכל",'לוח בקרה טכנו-מבצעי'!$E$8="",מלאי!W228='לוח בקרה טכנו-מבצעי'!$E$8),OR('לוח בקרה טכנו-מבצעי'!$E$9="הכל",'לוח בקרה טכנו-מבצעי'!$E$9="",ISNUMBER(SEARCH('לוח בקרה טכנו-מבצעי'!$E$9,מלאי!C228))),OR('לוח בקרה טכנו-מבצעי'!$B$10="הכל",מלאי!#REF!='לוח בקרה טכנו-מבצעי'!$B$10)),1,0)</f>
        <v>#REF!</v>
      </c>
      <c r="AF228" t="str">
        <f>IF(AD228=1,COUNTIF($AD$3:$AD228,1),"")</f>
        <v/>
      </c>
      <c r="AG228" t="e">
        <f>IF(AE228=1,COUNTIF($AE$3:$AE228,1),"")</f>
        <v>#REF!</v>
      </c>
    </row>
    <row r="229" spans="1:33" ht="15" customHeight="1" x14ac:dyDescent="0.25">
      <c r="A229" s="19"/>
      <c r="B229" s="19"/>
      <c r="C229" s="19"/>
      <c r="D229" s="19"/>
      <c r="E229" s="19" t="str">
        <f>IFERROR(INDEX(הגדרות!$I$2:$I$47,MATCH(B229,הגדרות!$H$2:$H$47,0)),"")</f>
        <v/>
      </c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t="str">
        <f>IFERROR(INDEX(הגדרות!$B$2:$B$17,MATCH(H229,הגדרות!$A$2:$A$17,0)),"")</f>
        <v/>
      </c>
      <c r="AA229" t="str">
        <f>IFERROR(INDEX(הגדרות!$C$2:$C$17,MATCH(H229,הגדרות!$A$2:$A$17,0)),"")</f>
        <v/>
      </c>
      <c r="AB229" t="str">
        <f>IFERROR(INDEX(הגדרות!$B$2:$B$17,MATCH(I229,הגדרות!$A$2:$A$17,0)),"")</f>
        <v/>
      </c>
      <c r="AC229" t="str">
        <f>IFERROR(INDEX(הגדרות!$C$2:$C$17,MATCH(I229,הגדרות!$A$2:$A$17,0)),"")</f>
        <v/>
      </c>
      <c r="AD229">
        <f>IF(AND(מלאי!D229&lt;&gt;"",OR('לוח בקרה'!$B$4="הכל",מלאי!Z229='לוח בקרה'!$B$4,מלאי!AA229='לוח בקרה'!$B$4,מלאי!AB229='לוח בקרה'!$B$4,מלאי!AC229='לוח בקרה'!$B$4),OR('לוח בקרה'!$B$5="הכל",מלאי!A229='לוח בקרה'!$B$5),OR('לוח בקרה'!$B$6="הכל",מלאי!B229='לוח בקרה'!$B$6),OR('לוח בקרה'!$B$7="הכל",מלאי!F229='לוח בקרה'!$B$7,מלאי!G229='לוח בקרה'!$B$7),OR('לוח בקרה'!$B$8="הכל",מלאי!T229='לוח בקרה'!$B$8),OR('לוח בקרה'!$B$9="הכל",מלאי!Q229='לוח בקרה'!$B$9),OR('לוח בקרה'!$E$4="הכל",מלאי!J229='לוח בקרה'!$E$4),OR('לוח בקרה'!$E$5="הכל",מלאי!L229='לוח בקרה'!$E$5),OR('לוח בקרה'!$E$6="הכל",מלאי!O229='לוח בקרה'!$E$6),OR('לוח בקרה'!$E$7="הכל",מלאי!R229='לוח בקרה'!$E$7),OR('לוח בקרה'!$E$8="הכל",'לוח בקרה'!$E$8="",מלאי!W229='לוח בקרה'!$E$8),OR('לוח בקרה'!$E$9="הכל",'לוח בקרה'!$E$9="",ISNUMBER(SEARCH('לוח בקרה'!$E$9,מלאי!C229)))),1,0)</f>
        <v>0</v>
      </c>
      <c r="AE229" t="e">
        <f>IF(AND(מלאי!D229&lt;&gt;"",OR('לוח בקרה טכנו-מבצעי'!$B$4="הכל",מלאי!Z229='לוח בקרה טכנו-מבצעי'!$B$4,מלאי!AA229='לוח בקרה טכנו-מבצעי'!$B$4,מלאי!AB229='לוח בקרה טכנו-מבצעי'!$B$4,מלאי!AC229='לוח בקרה טכנו-מבצעי'!$B$4),OR('לוח בקרה טכנו-מבצעי'!$B$5="הכל",מלאי!A229='לוח בקרה טכנו-מבצעי'!$B$5),OR('לוח בקרה טכנו-מבצעי'!$B$6="הכל",מלאי!B229='לוח בקרה טכנו-מבצעי'!$B$6),OR('לוח בקרה טכנו-מבצעי'!$B$7="הכל",מלאי!F229='לוח בקרה טכנו-מבצעי'!$B$7,מלאי!G229='לוח בקרה טכנו-מבצעי'!$B$7),OR('לוח בקרה טכנו-מבצעי'!$B$8="הכל",מלאי!T229='לוח בקרה טכנו-מבצעי'!$B$8),OR('לוח בקרה טכנו-מבצעי'!$B$9="הכל",מלאי!Q229='לוח בקרה טכנו-מבצעי'!$B$9),OR('לוח בקרה טכנו-מבצעי'!$E$4="הכל",מלאי!J229='לוח בקרה טכנו-מבצעי'!$E$4),OR('לוח בקרה טכנו-מבצעי'!$E$5="הכל",מלאי!L229='לוח בקרה טכנו-מבצעי'!$E$5),OR('לוח בקרה טכנו-מבצעי'!$E$6="הכל",מלאי!O229='לוח בקרה טכנו-מבצעי'!$E$6),OR('לוח בקרה טכנו-מבצעי'!$E$7="הכל",מלאי!R229='לוח בקרה טכנו-מבצעי'!$E$7),OR('לוח בקרה טכנו-מבצעי'!$E$8="הכל",'לוח בקרה טכנו-מבצעי'!$E$8="",מלאי!W229='לוח בקרה טכנו-מבצעי'!$E$8),OR('לוח בקרה טכנו-מבצעי'!$E$9="הכל",'לוח בקרה טכנו-מבצעי'!$E$9="",ISNUMBER(SEARCH('לוח בקרה טכנו-מבצעי'!$E$9,מלאי!C229))),OR('לוח בקרה טכנו-מבצעי'!$B$10="הכל",מלאי!#REF!='לוח בקרה טכנו-מבצעי'!$B$10)),1,0)</f>
        <v>#REF!</v>
      </c>
      <c r="AF229" t="str">
        <f>IF(AD229=1,COUNTIF($AD$3:$AD229,1),"")</f>
        <v/>
      </c>
      <c r="AG229" t="e">
        <f>IF(AE229=1,COUNTIF($AE$3:$AE229,1),"")</f>
        <v>#REF!</v>
      </c>
    </row>
    <row r="230" spans="1:33" ht="15" customHeight="1" x14ac:dyDescent="0.25">
      <c r="A230" s="17"/>
      <c r="B230" s="17"/>
      <c r="C230" s="17"/>
      <c r="D230" s="17"/>
      <c r="E230" s="17" t="str">
        <f>IFERROR(INDEX(הגדרות!$I$2:$I$47,MATCH(B230,הגדרות!$H$2:$H$47,0)),"")</f>
        <v/>
      </c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t="str">
        <f>IFERROR(INDEX(הגדרות!$B$2:$B$17,MATCH(H230,הגדרות!$A$2:$A$17,0)),"")</f>
        <v/>
      </c>
      <c r="AA230" t="str">
        <f>IFERROR(INDEX(הגדרות!$C$2:$C$17,MATCH(H230,הגדרות!$A$2:$A$17,0)),"")</f>
        <v/>
      </c>
      <c r="AB230" t="str">
        <f>IFERROR(INDEX(הגדרות!$B$2:$B$17,MATCH(I230,הגדרות!$A$2:$A$17,0)),"")</f>
        <v/>
      </c>
      <c r="AC230" t="str">
        <f>IFERROR(INDEX(הגדרות!$C$2:$C$17,MATCH(I230,הגדרות!$A$2:$A$17,0)),"")</f>
        <v/>
      </c>
      <c r="AD230">
        <f>IF(AND(מלאי!D230&lt;&gt;"",OR('לוח בקרה'!$B$4="הכל",מלאי!Z230='לוח בקרה'!$B$4,מלאי!AA230='לוח בקרה'!$B$4,מלאי!AB230='לוח בקרה'!$B$4,מלאי!AC230='לוח בקרה'!$B$4),OR('לוח בקרה'!$B$5="הכל",מלאי!A230='לוח בקרה'!$B$5),OR('לוח בקרה'!$B$6="הכל",מלאי!B230='לוח בקרה'!$B$6),OR('לוח בקרה'!$B$7="הכל",מלאי!F230='לוח בקרה'!$B$7,מלאי!G230='לוח בקרה'!$B$7),OR('לוח בקרה'!$B$8="הכל",מלאי!T230='לוח בקרה'!$B$8),OR('לוח בקרה'!$B$9="הכל",מלאי!Q230='לוח בקרה'!$B$9),OR('לוח בקרה'!$E$4="הכל",מלאי!J230='לוח בקרה'!$E$4),OR('לוח בקרה'!$E$5="הכל",מלאי!L230='לוח בקרה'!$E$5),OR('לוח בקרה'!$E$6="הכל",מלאי!O230='לוח בקרה'!$E$6),OR('לוח בקרה'!$E$7="הכל",מלאי!R230='לוח בקרה'!$E$7),OR('לוח בקרה'!$E$8="הכל",'לוח בקרה'!$E$8="",מלאי!W230='לוח בקרה'!$E$8),OR('לוח בקרה'!$E$9="הכל",'לוח בקרה'!$E$9="",ISNUMBER(SEARCH('לוח בקרה'!$E$9,מלאי!C230)))),1,0)</f>
        <v>0</v>
      </c>
      <c r="AE230" t="e">
        <f>IF(AND(מלאי!D230&lt;&gt;"",OR('לוח בקרה טכנו-מבצעי'!$B$4="הכל",מלאי!Z230='לוח בקרה טכנו-מבצעי'!$B$4,מלאי!AA230='לוח בקרה טכנו-מבצעי'!$B$4,מלאי!AB230='לוח בקרה טכנו-מבצעי'!$B$4,מלאי!AC230='לוח בקרה טכנו-מבצעי'!$B$4),OR('לוח בקרה טכנו-מבצעי'!$B$5="הכל",מלאי!A230='לוח בקרה טכנו-מבצעי'!$B$5),OR('לוח בקרה טכנו-מבצעי'!$B$6="הכל",מלאי!B230='לוח בקרה טכנו-מבצעי'!$B$6),OR('לוח בקרה טכנו-מבצעי'!$B$7="הכל",מלאי!F230='לוח בקרה טכנו-מבצעי'!$B$7,מלאי!G230='לוח בקרה טכנו-מבצעי'!$B$7),OR('לוח בקרה טכנו-מבצעי'!$B$8="הכל",מלאי!T230='לוח בקרה טכנו-מבצעי'!$B$8),OR('לוח בקרה טכנו-מבצעי'!$B$9="הכל",מלאי!Q230='לוח בקרה טכנו-מבצעי'!$B$9),OR('לוח בקרה טכנו-מבצעי'!$E$4="הכל",מלאי!J230='לוח בקרה טכנו-מבצעי'!$E$4),OR('לוח בקרה טכנו-מבצעי'!$E$5="הכל",מלאי!L230='לוח בקרה טכנו-מבצעי'!$E$5),OR('לוח בקרה טכנו-מבצעי'!$E$6="הכל",מלאי!O230='לוח בקרה טכנו-מבצעי'!$E$6),OR('לוח בקרה טכנו-מבצעי'!$E$7="הכל",מלאי!R230='לוח בקרה טכנו-מבצעי'!$E$7),OR('לוח בקרה טכנו-מבצעי'!$E$8="הכל",'לוח בקרה טכנו-מבצעי'!$E$8="",מלאי!W230='לוח בקרה טכנו-מבצעי'!$E$8),OR('לוח בקרה טכנו-מבצעי'!$E$9="הכל",'לוח בקרה טכנו-מבצעי'!$E$9="",ISNUMBER(SEARCH('לוח בקרה טכנו-מבצעי'!$E$9,מלאי!C230))),OR('לוח בקרה טכנו-מבצעי'!$B$10="הכל",מלאי!#REF!='לוח בקרה טכנו-מבצעי'!$B$10)),1,0)</f>
        <v>#REF!</v>
      </c>
      <c r="AF230" t="str">
        <f>IF(AD230=1,COUNTIF($AD$3:$AD230,1),"")</f>
        <v/>
      </c>
      <c r="AG230" t="e">
        <f>IF(AE230=1,COUNTIF($AE$3:$AE230,1),"")</f>
        <v>#REF!</v>
      </c>
    </row>
    <row r="231" spans="1:33" ht="15" customHeight="1" x14ac:dyDescent="0.25">
      <c r="A231" s="19"/>
      <c r="B231" s="19"/>
      <c r="C231" s="19"/>
      <c r="D231" s="19"/>
      <c r="E231" s="19" t="str">
        <f>IFERROR(INDEX(הגדרות!$I$2:$I$47,MATCH(B231,הגדרות!$H$2:$H$47,0)),"")</f>
        <v/>
      </c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t="str">
        <f>IFERROR(INDEX(הגדרות!$B$2:$B$17,MATCH(H231,הגדרות!$A$2:$A$17,0)),"")</f>
        <v/>
      </c>
      <c r="AA231" t="str">
        <f>IFERROR(INDEX(הגדרות!$C$2:$C$17,MATCH(H231,הגדרות!$A$2:$A$17,0)),"")</f>
        <v/>
      </c>
      <c r="AB231" t="str">
        <f>IFERROR(INDEX(הגדרות!$B$2:$B$17,MATCH(I231,הגדרות!$A$2:$A$17,0)),"")</f>
        <v/>
      </c>
      <c r="AC231" t="str">
        <f>IFERROR(INDEX(הגדרות!$C$2:$C$17,MATCH(I231,הגדרות!$A$2:$A$17,0)),"")</f>
        <v/>
      </c>
      <c r="AD231">
        <f>IF(AND(מלאי!D231&lt;&gt;"",OR('לוח בקרה'!$B$4="הכל",מלאי!Z231='לוח בקרה'!$B$4,מלאי!AA231='לוח בקרה'!$B$4,מלאי!AB231='לוח בקרה'!$B$4,מלאי!AC231='לוח בקרה'!$B$4),OR('לוח בקרה'!$B$5="הכל",מלאי!A231='לוח בקרה'!$B$5),OR('לוח בקרה'!$B$6="הכל",מלאי!B231='לוח בקרה'!$B$6),OR('לוח בקרה'!$B$7="הכל",מלאי!F231='לוח בקרה'!$B$7,מלאי!G231='לוח בקרה'!$B$7),OR('לוח בקרה'!$B$8="הכל",מלאי!T231='לוח בקרה'!$B$8),OR('לוח בקרה'!$B$9="הכל",מלאי!Q231='לוח בקרה'!$B$9),OR('לוח בקרה'!$E$4="הכל",מלאי!J231='לוח בקרה'!$E$4),OR('לוח בקרה'!$E$5="הכל",מלאי!L231='לוח בקרה'!$E$5),OR('לוח בקרה'!$E$6="הכל",מלאי!O231='לוח בקרה'!$E$6),OR('לוח בקרה'!$E$7="הכל",מלאי!R231='לוח בקרה'!$E$7),OR('לוח בקרה'!$E$8="הכל",'לוח בקרה'!$E$8="",מלאי!W231='לוח בקרה'!$E$8),OR('לוח בקרה'!$E$9="הכל",'לוח בקרה'!$E$9="",ISNUMBER(SEARCH('לוח בקרה'!$E$9,מלאי!C231)))),1,0)</f>
        <v>0</v>
      </c>
      <c r="AE231" t="e">
        <f>IF(AND(מלאי!D231&lt;&gt;"",OR('לוח בקרה טכנו-מבצעי'!$B$4="הכל",מלאי!Z231='לוח בקרה טכנו-מבצעי'!$B$4,מלאי!AA231='לוח בקרה טכנו-מבצעי'!$B$4,מלאי!AB231='לוח בקרה טכנו-מבצעי'!$B$4,מלאי!AC231='לוח בקרה טכנו-מבצעי'!$B$4),OR('לוח בקרה טכנו-מבצעי'!$B$5="הכל",מלאי!A231='לוח בקרה טכנו-מבצעי'!$B$5),OR('לוח בקרה טכנו-מבצעי'!$B$6="הכל",מלאי!B231='לוח בקרה טכנו-מבצעי'!$B$6),OR('לוח בקרה טכנו-מבצעי'!$B$7="הכל",מלאי!F231='לוח בקרה טכנו-מבצעי'!$B$7,מלאי!G231='לוח בקרה טכנו-מבצעי'!$B$7),OR('לוח בקרה טכנו-מבצעי'!$B$8="הכל",מלאי!T231='לוח בקרה טכנו-מבצעי'!$B$8),OR('לוח בקרה טכנו-מבצעי'!$B$9="הכל",מלאי!Q231='לוח בקרה טכנו-מבצעי'!$B$9),OR('לוח בקרה טכנו-מבצעי'!$E$4="הכל",מלאי!J231='לוח בקרה טכנו-מבצעי'!$E$4),OR('לוח בקרה טכנו-מבצעי'!$E$5="הכל",מלאי!L231='לוח בקרה טכנו-מבצעי'!$E$5),OR('לוח בקרה טכנו-מבצעי'!$E$6="הכל",מלאי!O231='לוח בקרה טכנו-מבצעי'!$E$6),OR('לוח בקרה טכנו-מבצעי'!$E$7="הכל",מלאי!R231='לוח בקרה טכנו-מבצעי'!$E$7),OR('לוח בקרה טכנו-מבצעי'!$E$8="הכל",'לוח בקרה טכנו-מבצעי'!$E$8="",מלאי!W231='לוח בקרה טכנו-מבצעי'!$E$8),OR('לוח בקרה טכנו-מבצעי'!$E$9="הכל",'לוח בקרה טכנו-מבצעי'!$E$9="",ISNUMBER(SEARCH('לוח בקרה טכנו-מבצעי'!$E$9,מלאי!C231))),OR('לוח בקרה טכנו-מבצעי'!$B$10="הכל",מלאי!#REF!='לוח בקרה טכנו-מבצעי'!$B$10)),1,0)</f>
        <v>#REF!</v>
      </c>
      <c r="AF231" t="str">
        <f>IF(AD231=1,COUNTIF($AD$3:$AD231,1),"")</f>
        <v/>
      </c>
      <c r="AG231" t="e">
        <f>IF(AE231=1,COUNTIF($AE$3:$AE231,1),"")</f>
        <v>#REF!</v>
      </c>
    </row>
    <row r="232" spans="1:33" ht="15" customHeight="1" x14ac:dyDescent="0.25">
      <c r="A232" s="17"/>
      <c r="B232" s="17"/>
      <c r="C232" s="17"/>
      <c r="D232" s="17"/>
      <c r="E232" s="17" t="str">
        <f>IFERROR(INDEX(הגדרות!$I$2:$I$47,MATCH(B232,הגדרות!$H$2:$H$47,0)),"")</f>
        <v/>
      </c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t="str">
        <f>IFERROR(INDEX(הגדרות!$B$2:$B$17,MATCH(H232,הגדרות!$A$2:$A$17,0)),"")</f>
        <v/>
      </c>
      <c r="AA232" t="str">
        <f>IFERROR(INDEX(הגדרות!$C$2:$C$17,MATCH(H232,הגדרות!$A$2:$A$17,0)),"")</f>
        <v/>
      </c>
      <c r="AB232" t="str">
        <f>IFERROR(INDEX(הגדרות!$B$2:$B$17,MATCH(I232,הגדרות!$A$2:$A$17,0)),"")</f>
        <v/>
      </c>
      <c r="AC232" t="str">
        <f>IFERROR(INDEX(הגדרות!$C$2:$C$17,MATCH(I232,הגדרות!$A$2:$A$17,0)),"")</f>
        <v/>
      </c>
      <c r="AD232">
        <f>IF(AND(מלאי!D232&lt;&gt;"",OR('לוח בקרה'!$B$4="הכל",מלאי!Z232='לוח בקרה'!$B$4,מלאי!AA232='לוח בקרה'!$B$4,מלאי!AB232='לוח בקרה'!$B$4,מלאי!AC232='לוח בקרה'!$B$4),OR('לוח בקרה'!$B$5="הכל",מלאי!A232='לוח בקרה'!$B$5),OR('לוח בקרה'!$B$6="הכל",מלאי!B232='לוח בקרה'!$B$6),OR('לוח בקרה'!$B$7="הכל",מלאי!F232='לוח בקרה'!$B$7,מלאי!G232='לוח בקרה'!$B$7),OR('לוח בקרה'!$B$8="הכל",מלאי!T232='לוח בקרה'!$B$8),OR('לוח בקרה'!$B$9="הכל",מלאי!Q232='לוח בקרה'!$B$9),OR('לוח בקרה'!$E$4="הכל",מלאי!J232='לוח בקרה'!$E$4),OR('לוח בקרה'!$E$5="הכל",מלאי!L232='לוח בקרה'!$E$5),OR('לוח בקרה'!$E$6="הכל",מלאי!O232='לוח בקרה'!$E$6),OR('לוח בקרה'!$E$7="הכל",מלאי!R232='לוח בקרה'!$E$7),OR('לוח בקרה'!$E$8="הכל",'לוח בקרה'!$E$8="",מלאי!W232='לוח בקרה'!$E$8),OR('לוח בקרה'!$E$9="הכל",'לוח בקרה'!$E$9="",ISNUMBER(SEARCH('לוח בקרה'!$E$9,מלאי!C232)))),1,0)</f>
        <v>0</v>
      </c>
      <c r="AE232" t="e">
        <f>IF(AND(מלאי!D232&lt;&gt;"",OR('לוח בקרה טכנו-מבצעי'!$B$4="הכל",מלאי!Z232='לוח בקרה טכנו-מבצעי'!$B$4,מלאי!AA232='לוח בקרה טכנו-מבצעי'!$B$4,מלאי!AB232='לוח בקרה טכנו-מבצעי'!$B$4,מלאי!AC232='לוח בקרה טכנו-מבצעי'!$B$4),OR('לוח בקרה טכנו-מבצעי'!$B$5="הכל",מלאי!A232='לוח בקרה טכנו-מבצעי'!$B$5),OR('לוח בקרה טכנו-מבצעי'!$B$6="הכל",מלאי!B232='לוח בקרה טכנו-מבצעי'!$B$6),OR('לוח בקרה טכנו-מבצעי'!$B$7="הכל",מלאי!F232='לוח בקרה טכנו-מבצעי'!$B$7,מלאי!G232='לוח בקרה טכנו-מבצעי'!$B$7),OR('לוח בקרה טכנו-מבצעי'!$B$8="הכל",מלאי!T232='לוח בקרה טכנו-מבצעי'!$B$8),OR('לוח בקרה טכנו-מבצעי'!$B$9="הכל",מלאי!Q232='לוח בקרה טכנו-מבצעי'!$B$9),OR('לוח בקרה טכנו-מבצעי'!$E$4="הכל",מלאי!J232='לוח בקרה טכנו-מבצעי'!$E$4),OR('לוח בקרה טכנו-מבצעי'!$E$5="הכל",מלאי!L232='לוח בקרה טכנו-מבצעי'!$E$5),OR('לוח בקרה טכנו-מבצעי'!$E$6="הכל",מלאי!O232='לוח בקרה טכנו-מבצעי'!$E$6),OR('לוח בקרה טכנו-מבצעי'!$E$7="הכל",מלאי!R232='לוח בקרה טכנו-מבצעי'!$E$7),OR('לוח בקרה טכנו-מבצעי'!$E$8="הכל",'לוח בקרה טכנו-מבצעי'!$E$8="",מלאי!W232='לוח בקרה טכנו-מבצעי'!$E$8),OR('לוח בקרה טכנו-מבצעי'!$E$9="הכל",'לוח בקרה טכנו-מבצעי'!$E$9="",ISNUMBER(SEARCH('לוח בקרה טכנו-מבצעי'!$E$9,מלאי!C232))),OR('לוח בקרה טכנו-מבצעי'!$B$10="הכל",מלאי!#REF!='לוח בקרה טכנו-מבצעי'!$B$10)),1,0)</f>
        <v>#REF!</v>
      </c>
      <c r="AF232" t="str">
        <f>IF(AD232=1,COUNTIF($AD$3:$AD232,1),"")</f>
        <v/>
      </c>
      <c r="AG232" t="e">
        <f>IF(AE232=1,COUNTIF($AE$3:$AE232,1),"")</f>
        <v>#REF!</v>
      </c>
    </row>
    <row r="233" spans="1:33" ht="15" customHeight="1" x14ac:dyDescent="0.25">
      <c r="A233" s="19"/>
      <c r="B233" s="19"/>
      <c r="C233" s="19"/>
      <c r="D233" s="19"/>
      <c r="E233" s="19" t="str">
        <f>IFERROR(INDEX(הגדרות!$I$2:$I$47,MATCH(B233,הגדרות!$H$2:$H$47,0)),"")</f>
        <v/>
      </c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t="str">
        <f>IFERROR(INDEX(הגדרות!$B$2:$B$17,MATCH(H233,הגדרות!$A$2:$A$17,0)),"")</f>
        <v/>
      </c>
      <c r="AA233" t="str">
        <f>IFERROR(INDEX(הגדרות!$C$2:$C$17,MATCH(H233,הגדרות!$A$2:$A$17,0)),"")</f>
        <v/>
      </c>
      <c r="AB233" t="str">
        <f>IFERROR(INDEX(הגדרות!$B$2:$B$17,MATCH(I233,הגדרות!$A$2:$A$17,0)),"")</f>
        <v/>
      </c>
      <c r="AC233" t="str">
        <f>IFERROR(INDEX(הגדרות!$C$2:$C$17,MATCH(I233,הגדרות!$A$2:$A$17,0)),"")</f>
        <v/>
      </c>
      <c r="AD233">
        <f>IF(AND(מלאי!D233&lt;&gt;"",OR('לוח בקרה'!$B$4="הכל",מלאי!Z233='לוח בקרה'!$B$4,מלאי!AA233='לוח בקרה'!$B$4,מלאי!AB233='לוח בקרה'!$B$4,מלאי!AC233='לוח בקרה'!$B$4),OR('לוח בקרה'!$B$5="הכל",מלאי!A233='לוח בקרה'!$B$5),OR('לוח בקרה'!$B$6="הכל",מלאי!B233='לוח בקרה'!$B$6),OR('לוח בקרה'!$B$7="הכל",מלאי!F233='לוח בקרה'!$B$7,מלאי!G233='לוח בקרה'!$B$7),OR('לוח בקרה'!$B$8="הכל",מלאי!T233='לוח בקרה'!$B$8),OR('לוח בקרה'!$B$9="הכל",מלאי!Q233='לוח בקרה'!$B$9),OR('לוח בקרה'!$E$4="הכל",מלאי!J233='לוח בקרה'!$E$4),OR('לוח בקרה'!$E$5="הכל",מלאי!L233='לוח בקרה'!$E$5),OR('לוח בקרה'!$E$6="הכל",מלאי!O233='לוח בקרה'!$E$6),OR('לוח בקרה'!$E$7="הכל",מלאי!R233='לוח בקרה'!$E$7),OR('לוח בקרה'!$E$8="הכל",'לוח בקרה'!$E$8="",מלאי!W233='לוח בקרה'!$E$8),OR('לוח בקרה'!$E$9="הכל",'לוח בקרה'!$E$9="",ISNUMBER(SEARCH('לוח בקרה'!$E$9,מלאי!C233)))),1,0)</f>
        <v>0</v>
      </c>
      <c r="AE233" t="e">
        <f>IF(AND(מלאי!D233&lt;&gt;"",OR('לוח בקרה טכנו-מבצעי'!$B$4="הכל",מלאי!Z233='לוח בקרה טכנו-מבצעי'!$B$4,מלאי!AA233='לוח בקרה טכנו-מבצעי'!$B$4,מלאי!AB233='לוח בקרה טכנו-מבצעי'!$B$4,מלאי!AC233='לוח בקרה טכנו-מבצעי'!$B$4),OR('לוח בקרה טכנו-מבצעי'!$B$5="הכל",מלאי!A233='לוח בקרה טכנו-מבצעי'!$B$5),OR('לוח בקרה טכנו-מבצעי'!$B$6="הכל",מלאי!B233='לוח בקרה טכנו-מבצעי'!$B$6),OR('לוח בקרה טכנו-מבצעי'!$B$7="הכל",מלאי!F233='לוח בקרה טכנו-מבצעי'!$B$7,מלאי!G233='לוח בקרה טכנו-מבצעי'!$B$7),OR('לוח בקרה טכנו-מבצעי'!$B$8="הכל",מלאי!T233='לוח בקרה טכנו-מבצעי'!$B$8),OR('לוח בקרה טכנו-מבצעי'!$B$9="הכל",מלאי!Q233='לוח בקרה טכנו-מבצעי'!$B$9),OR('לוח בקרה טכנו-מבצעי'!$E$4="הכל",מלאי!J233='לוח בקרה טכנו-מבצעי'!$E$4),OR('לוח בקרה טכנו-מבצעי'!$E$5="הכל",מלאי!L233='לוח בקרה טכנו-מבצעי'!$E$5),OR('לוח בקרה טכנו-מבצעי'!$E$6="הכל",מלאי!O233='לוח בקרה טכנו-מבצעי'!$E$6),OR('לוח בקרה טכנו-מבצעי'!$E$7="הכל",מלאי!R233='לוח בקרה טכנו-מבצעי'!$E$7),OR('לוח בקרה טכנו-מבצעי'!$E$8="הכל",'לוח בקרה טכנו-מבצעי'!$E$8="",מלאי!W233='לוח בקרה טכנו-מבצעי'!$E$8),OR('לוח בקרה טכנו-מבצעי'!$E$9="הכל",'לוח בקרה טכנו-מבצעי'!$E$9="",ISNUMBER(SEARCH('לוח בקרה טכנו-מבצעי'!$E$9,מלאי!C233))),OR('לוח בקרה טכנו-מבצעי'!$B$10="הכל",מלאי!#REF!='לוח בקרה טכנו-מבצעי'!$B$10)),1,0)</f>
        <v>#REF!</v>
      </c>
      <c r="AF233" t="str">
        <f>IF(AD233=1,COUNTIF($AD$3:$AD233,1),"")</f>
        <v/>
      </c>
      <c r="AG233" t="e">
        <f>IF(AE233=1,COUNTIF($AE$3:$AE233,1),"")</f>
        <v>#REF!</v>
      </c>
    </row>
    <row r="234" spans="1:33" ht="15" customHeight="1" x14ac:dyDescent="0.25">
      <c r="A234" s="17"/>
      <c r="B234" s="17"/>
      <c r="C234" s="17"/>
      <c r="D234" s="17"/>
      <c r="E234" s="17" t="str">
        <f>IFERROR(INDEX(הגדרות!$I$2:$I$47,MATCH(B234,הגדרות!$H$2:$H$47,0)),"")</f>
        <v/>
      </c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t="str">
        <f>IFERROR(INDEX(הגדרות!$B$2:$B$17,MATCH(H234,הגדרות!$A$2:$A$17,0)),"")</f>
        <v/>
      </c>
      <c r="AA234" t="str">
        <f>IFERROR(INDEX(הגדרות!$C$2:$C$17,MATCH(H234,הגדרות!$A$2:$A$17,0)),"")</f>
        <v/>
      </c>
      <c r="AB234" t="str">
        <f>IFERROR(INDEX(הגדרות!$B$2:$B$17,MATCH(I234,הגדרות!$A$2:$A$17,0)),"")</f>
        <v/>
      </c>
      <c r="AC234" t="str">
        <f>IFERROR(INDEX(הגדרות!$C$2:$C$17,MATCH(I234,הגדרות!$A$2:$A$17,0)),"")</f>
        <v/>
      </c>
      <c r="AD234">
        <f>IF(AND(מלאי!D234&lt;&gt;"",OR('לוח בקרה'!$B$4="הכל",מלאי!Z234='לוח בקרה'!$B$4,מלאי!AA234='לוח בקרה'!$B$4,מלאי!AB234='לוח בקרה'!$B$4,מלאי!AC234='לוח בקרה'!$B$4),OR('לוח בקרה'!$B$5="הכל",מלאי!A234='לוח בקרה'!$B$5),OR('לוח בקרה'!$B$6="הכל",מלאי!B234='לוח בקרה'!$B$6),OR('לוח בקרה'!$B$7="הכל",מלאי!F234='לוח בקרה'!$B$7,מלאי!G234='לוח בקרה'!$B$7),OR('לוח בקרה'!$B$8="הכל",מלאי!T234='לוח בקרה'!$B$8),OR('לוח בקרה'!$B$9="הכל",מלאי!Q234='לוח בקרה'!$B$9),OR('לוח בקרה'!$E$4="הכל",מלאי!J234='לוח בקרה'!$E$4),OR('לוח בקרה'!$E$5="הכל",מלאי!L234='לוח בקרה'!$E$5),OR('לוח בקרה'!$E$6="הכל",מלאי!O234='לוח בקרה'!$E$6),OR('לוח בקרה'!$E$7="הכל",מלאי!R234='לוח בקרה'!$E$7),OR('לוח בקרה'!$E$8="הכל",'לוח בקרה'!$E$8="",מלאי!W234='לוח בקרה'!$E$8),OR('לוח בקרה'!$E$9="הכל",'לוח בקרה'!$E$9="",ISNUMBER(SEARCH('לוח בקרה'!$E$9,מלאי!C234)))),1,0)</f>
        <v>0</v>
      </c>
      <c r="AE234" t="e">
        <f>IF(AND(מלאי!D234&lt;&gt;"",OR('לוח בקרה טכנו-מבצעי'!$B$4="הכל",מלאי!Z234='לוח בקרה טכנו-מבצעי'!$B$4,מלאי!AA234='לוח בקרה טכנו-מבצעי'!$B$4,מלאי!AB234='לוח בקרה טכנו-מבצעי'!$B$4,מלאי!AC234='לוח בקרה טכנו-מבצעי'!$B$4),OR('לוח בקרה טכנו-מבצעי'!$B$5="הכל",מלאי!A234='לוח בקרה טכנו-מבצעי'!$B$5),OR('לוח בקרה טכנו-מבצעי'!$B$6="הכל",מלאי!B234='לוח בקרה טכנו-מבצעי'!$B$6),OR('לוח בקרה טכנו-מבצעי'!$B$7="הכל",מלאי!F234='לוח בקרה טכנו-מבצעי'!$B$7,מלאי!G234='לוח בקרה טכנו-מבצעי'!$B$7),OR('לוח בקרה טכנו-מבצעי'!$B$8="הכל",מלאי!T234='לוח בקרה טכנו-מבצעי'!$B$8),OR('לוח בקרה טכנו-מבצעי'!$B$9="הכל",מלאי!Q234='לוח בקרה טכנו-מבצעי'!$B$9),OR('לוח בקרה טכנו-מבצעי'!$E$4="הכל",מלאי!J234='לוח בקרה טכנו-מבצעי'!$E$4),OR('לוח בקרה טכנו-מבצעי'!$E$5="הכל",מלאי!L234='לוח בקרה טכנו-מבצעי'!$E$5),OR('לוח בקרה טכנו-מבצעי'!$E$6="הכל",מלאי!O234='לוח בקרה טכנו-מבצעי'!$E$6),OR('לוח בקרה טכנו-מבצעי'!$E$7="הכל",מלאי!R234='לוח בקרה טכנו-מבצעי'!$E$7),OR('לוח בקרה טכנו-מבצעי'!$E$8="הכל",'לוח בקרה טכנו-מבצעי'!$E$8="",מלאי!W234='לוח בקרה טכנו-מבצעי'!$E$8),OR('לוח בקרה טכנו-מבצעי'!$E$9="הכל",'לוח בקרה טכנו-מבצעי'!$E$9="",ISNUMBER(SEARCH('לוח בקרה טכנו-מבצעי'!$E$9,מלאי!C234))),OR('לוח בקרה טכנו-מבצעי'!$B$10="הכל",מלאי!#REF!='לוח בקרה טכנו-מבצעי'!$B$10)),1,0)</f>
        <v>#REF!</v>
      </c>
      <c r="AF234" t="str">
        <f>IF(AD234=1,COUNTIF($AD$3:$AD234,1),"")</f>
        <v/>
      </c>
      <c r="AG234" t="e">
        <f>IF(AE234=1,COUNTIF($AE$3:$AE234,1),"")</f>
        <v>#REF!</v>
      </c>
    </row>
    <row r="235" spans="1:33" ht="15" customHeight="1" x14ac:dyDescent="0.25">
      <c r="A235" s="19"/>
      <c r="B235" s="19"/>
      <c r="C235" s="19"/>
      <c r="D235" s="19"/>
      <c r="E235" s="19" t="str">
        <f>IFERROR(INDEX(הגדרות!$I$2:$I$47,MATCH(B235,הגדרות!$H$2:$H$47,0)),"")</f>
        <v/>
      </c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t="str">
        <f>IFERROR(INDEX(הגדרות!$B$2:$B$17,MATCH(H235,הגדרות!$A$2:$A$17,0)),"")</f>
        <v/>
      </c>
      <c r="AA235" t="str">
        <f>IFERROR(INDEX(הגדרות!$C$2:$C$17,MATCH(H235,הגדרות!$A$2:$A$17,0)),"")</f>
        <v/>
      </c>
      <c r="AB235" t="str">
        <f>IFERROR(INDEX(הגדרות!$B$2:$B$17,MATCH(I235,הגדרות!$A$2:$A$17,0)),"")</f>
        <v/>
      </c>
      <c r="AC235" t="str">
        <f>IFERROR(INDEX(הגדרות!$C$2:$C$17,MATCH(I235,הגדרות!$A$2:$A$17,0)),"")</f>
        <v/>
      </c>
      <c r="AD235">
        <f>IF(AND(מלאי!D235&lt;&gt;"",OR('לוח בקרה'!$B$4="הכל",מלאי!Z235='לוח בקרה'!$B$4,מלאי!AA235='לוח בקרה'!$B$4,מלאי!AB235='לוח בקרה'!$B$4,מלאי!AC235='לוח בקרה'!$B$4),OR('לוח בקרה'!$B$5="הכל",מלאי!A235='לוח בקרה'!$B$5),OR('לוח בקרה'!$B$6="הכל",מלאי!B235='לוח בקרה'!$B$6),OR('לוח בקרה'!$B$7="הכל",מלאי!F235='לוח בקרה'!$B$7,מלאי!G235='לוח בקרה'!$B$7),OR('לוח בקרה'!$B$8="הכל",מלאי!T235='לוח בקרה'!$B$8),OR('לוח בקרה'!$B$9="הכל",מלאי!Q235='לוח בקרה'!$B$9),OR('לוח בקרה'!$E$4="הכל",מלאי!J235='לוח בקרה'!$E$4),OR('לוח בקרה'!$E$5="הכל",מלאי!L235='לוח בקרה'!$E$5),OR('לוח בקרה'!$E$6="הכל",מלאי!O235='לוח בקרה'!$E$6),OR('לוח בקרה'!$E$7="הכל",מלאי!R235='לוח בקרה'!$E$7),OR('לוח בקרה'!$E$8="הכל",'לוח בקרה'!$E$8="",מלאי!W235='לוח בקרה'!$E$8),OR('לוח בקרה'!$E$9="הכל",'לוח בקרה'!$E$9="",ISNUMBER(SEARCH('לוח בקרה'!$E$9,מלאי!C235)))),1,0)</f>
        <v>0</v>
      </c>
      <c r="AE235" t="e">
        <f>IF(AND(מלאי!D235&lt;&gt;"",OR('לוח בקרה טכנו-מבצעי'!$B$4="הכל",מלאי!Z235='לוח בקרה טכנו-מבצעי'!$B$4,מלאי!AA235='לוח בקרה טכנו-מבצעי'!$B$4,מלאי!AB235='לוח בקרה טכנו-מבצעי'!$B$4,מלאי!AC235='לוח בקרה טכנו-מבצעי'!$B$4),OR('לוח בקרה טכנו-מבצעי'!$B$5="הכל",מלאי!A235='לוח בקרה טכנו-מבצעי'!$B$5),OR('לוח בקרה טכנו-מבצעי'!$B$6="הכל",מלאי!B235='לוח בקרה טכנו-מבצעי'!$B$6),OR('לוח בקרה טכנו-מבצעי'!$B$7="הכל",מלאי!F235='לוח בקרה טכנו-מבצעי'!$B$7,מלאי!G235='לוח בקרה טכנו-מבצעי'!$B$7),OR('לוח בקרה טכנו-מבצעי'!$B$8="הכל",מלאי!T235='לוח בקרה טכנו-מבצעי'!$B$8),OR('לוח בקרה טכנו-מבצעי'!$B$9="הכל",מלאי!Q235='לוח בקרה טכנו-מבצעי'!$B$9),OR('לוח בקרה טכנו-מבצעי'!$E$4="הכל",מלאי!J235='לוח בקרה טכנו-מבצעי'!$E$4),OR('לוח בקרה טכנו-מבצעי'!$E$5="הכל",מלאי!L235='לוח בקרה טכנו-מבצעי'!$E$5),OR('לוח בקרה טכנו-מבצעי'!$E$6="הכל",מלאי!O235='לוח בקרה טכנו-מבצעי'!$E$6),OR('לוח בקרה טכנו-מבצעי'!$E$7="הכל",מלאי!R235='לוח בקרה טכנו-מבצעי'!$E$7),OR('לוח בקרה טכנו-מבצעי'!$E$8="הכל",'לוח בקרה טכנו-מבצעי'!$E$8="",מלאי!W235='לוח בקרה טכנו-מבצעי'!$E$8),OR('לוח בקרה טכנו-מבצעי'!$E$9="הכל",'לוח בקרה טכנו-מבצעי'!$E$9="",ISNUMBER(SEARCH('לוח בקרה טכנו-מבצעי'!$E$9,מלאי!C235))),OR('לוח בקרה טכנו-מבצעי'!$B$10="הכל",מלאי!#REF!='לוח בקרה טכנו-מבצעי'!$B$10)),1,0)</f>
        <v>#REF!</v>
      </c>
      <c r="AF235" t="str">
        <f>IF(AD235=1,COUNTIF($AD$3:$AD235,1),"")</f>
        <v/>
      </c>
      <c r="AG235" t="e">
        <f>IF(AE235=1,COUNTIF($AE$3:$AE235,1),"")</f>
        <v>#REF!</v>
      </c>
    </row>
    <row r="236" spans="1:33" ht="15" customHeight="1" x14ac:dyDescent="0.25">
      <c r="A236" s="17"/>
      <c r="B236" s="17"/>
      <c r="C236" s="17"/>
      <c r="D236" s="17"/>
      <c r="E236" s="17" t="str">
        <f>IFERROR(INDEX(הגדרות!$I$2:$I$47,MATCH(B236,הגדרות!$H$2:$H$47,0)),"")</f>
        <v/>
      </c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t="str">
        <f>IFERROR(INDEX(הגדרות!$B$2:$B$17,MATCH(H236,הגדרות!$A$2:$A$17,0)),"")</f>
        <v/>
      </c>
      <c r="AA236" t="str">
        <f>IFERROR(INDEX(הגדרות!$C$2:$C$17,MATCH(H236,הגדרות!$A$2:$A$17,0)),"")</f>
        <v/>
      </c>
      <c r="AB236" t="str">
        <f>IFERROR(INDEX(הגדרות!$B$2:$B$17,MATCH(I236,הגדרות!$A$2:$A$17,0)),"")</f>
        <v/>
      </c>
      <c r="AC236" t="str">
        <f>IFERROR(INDEX(הגדרות!$C$2:$C$17,MATCH(I236,הגדרות!$A$2:$A$17,0)),"")</f>
        <v/>
      </c>
      <c r="AD236">
        <f>IF(AND(מלאי!D236&lt;&gt;"",OR('לוח בקרה'!$B$4="הכל",מלאי!Z236='לוח בקרה'!$B$4,מלאי!AA236='לוח בקרה'!$B$4,מלאי!AB236='לוח בקרה'!$B$4,מלאי!AC236='לוח בקרה'!$B$4),OR('לוח בקרה'!$B$5="הכל",מלאי!A236='לוח בקרה'!$B$5),OR('לוח בקרה'!$B$6="הכל",מלאי!B236='לוח בקרה'!$B$6),OR('לוח בקרה'!$B$7="הכל",מלאי!F236='לוח בקרה'!$B$7,מלאי!G236='לוח בקרה'!$B$7),OR('לוח בקרה'!$B$8="הכל",מלאי!T236='לוח בקרה'!$B$8),OR('לוח בקרה'!$B$9="הכל",מלאי!Q236='לוח בקרה'!$B$9),OR('לוח בקרה'!$E$4="הכל",מלאי!J236='לוח בקרה'!$E$4),OR('לוח בקרה'!$E$5="הכל",מלאי!L236='לוח בקרה'!$E$5),OR('לוח בקרה'!$E$6="הכל",מלאי!O236='לוח בקרה'!$E$6),OR('לוח בקרה'!$E$7="הכל",מלאי!R236='לוח בקרה'!$E$7),OR('לוח בקרה'!$E$8="הכל",'לוח בקרה'!$E$8="",מלאי!W236='לוח בקרה'!$E$8),OR('לוח בקרה'!$E$9="הכל",'לוח בקרה'!$E$9="",ISNUMBER(SEARCH('לוח בקרה'!$E$9,מלאי!C236)))),1,0)</f>
        <v>0</v>
      </c>
      <c r="AE236" t="e">
        <f>IF(AND(מלאי!D236&lt;&gt;"",OR('לוח בקרה טכנו-מבצעי'!$B$4="הכל",מלאי!Z236='לוח בקרה טכנו-מבצעי'!$B$4,מלאי!AA236='לוח בקרה טכנו-מבצעי'!$B$4,מלאי!AB236='לוח בקרה טכנו-מבצעי'!$B$4,מלאי!AC236='לוח בקרה טכנו-מבצעי'!$B$4),OR('לוח בקרה טכנו-מבצעי'!$B$5="הכל",מלאי!A236='לוח בקרה טכנו-מבצעי'!$B$5),OR('לוח בקרה טכנו-מבצעי'!$B$6="הכל",מלאי!B236='לוח בקרה טכנו-מבצעי'!$B$6),OR('לוח בקרה טכנו-מבצעי'!$B$7="הכל",מלאי!F236='לוח בקרה טכנו-מבצעי'!$B$7,מלאי!G236='לוח בקרה טכנו-מבצעי'!$B$7),OR('לוח בקרה טכנו-מבצעי'!$B$8="הכל",מלאי!T236='לוח בקרה טכנו-מבצעי'!$B$8),OR('לוח בקרה טכנו-מבצעי'!$B$9="הכל",מלאי!Q236='לוח בקרה טכנו-מבצעי'!$B$9),OR('לוח בקרה טכנו-מבצעי'!$E$4="הכל",מלאי!J236='לוח בקרה טכנו-מבצעי'!$E$4),OR('לוח בקרה טכנו-מבצעי'!$E$5="הכל",מלאי!L236='לוח בקרה טכנו-מבצעי'!$E$5),OR('לוח בקרה טכנו-מבצעי'!$E$6="הכל",מלאי!O236='לוח בקרה טכנו-מבצעי'!$E$6),OR('לוח בקרה טכנו-מבצעי'!$E$7="הכל",מלאי!R236='לוח בקרה טכנו-מבצעי'!$E$7),OR('לוח בקרה טכנו-מבצעי'!$E$8="הכל",'לוח בקרה טכנו-מבצעי'!$E$8="",מלאי!W236='לוח בקרה טכנו-מבצעי'!$E$8),OR('לוח בקרה טכנו-מבצעי'!$E$9="הכל",'לוח בקרה טכנו-מבצעי'!$E$9="",ISNUMBER(SEARCH('לוח בקרה טכנו-מבצעי'!$E$9,מלאי!C236))),OR('לוח בקרה טכנו-מבצעי'!$B$10="הכל",מלאי!#REF!='לוח בקרה טכנו-מבצעי'!$B$10)),1,0)</f>
        <v>#REF!</v>
      </c>
      <c r="AF236" t="str">
        <f>IF(AD236=1,COUNTIF($AD$3:$AD236,1),"")</f>
        <v/>
      </c>
      <c r="AG236" t="e">
        <f>IF(AE236=1,COUNTIF($AE$3:$AE236,1),"")</f>
        <v>#REF!</v>
      </c>
    </row>
    <row r="237" spans="1:33" ht="15" customHeight="1" x14ac:dyDescent="0.25">
      <c r="A237" s="19"/>
      <c r="B237" s="19"/>
      <c r="C237" s="19"/>
      <c r="D237" s="19"/>
      <c r="E237" s="19" t="str">
        <f>IFERROR(INDEX(הגדרות!$I$2:$I$47,MATCH(B237,הגדרות!$H$2:$H$47,0)),"")</f>
        <v/>
      </c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t="str">
        <f>IFERROR(INDEX(הגדרות!$B$2:$B$17,MATCH(H237,הגדרות!$A$2:$A$17,0)),"")</f>
        <v/>
      </c>
      <c r="AA237" t="str">
        <f>IFERROR(INDEX(הגדרות!$C$2:$C$17,MATCH(H237,הגדרות!$A$2:$A$17,0)),"")</f>
        <v/>
      </c>
      <c r="AB237" t="str">
        <f>IFERROR(INDEX(הגדרות!$B$2:$B$17,MATCH(I237,הגדרות!$A$2:$A$17,0)),"")</f>
        <v/>
      </c>
      <c r="AC237" t="str">
        <f>IFERROR(INDEX(הגדרות!$C$2:$C$17,MATCH(I237,הגדרות!$A$2:$A$17,0)),"")</f>
        <v/>
      </c>
      <c r="AD237">
        <f>IF(AND(מלאי!D237&lt;&gt;"",OR('לוח בקרה'!$B$4="הכל",מלאי!Z237='לוח בקרה'!$B$4,מלאי!AA237='לוח בקרה'!$B$4,מלאי!AB237='לוח בקרה'!$B$4,מלאי!AC237='לוח בקרה'!$B$4),OR('לוח בקרה'!$B$5="הכל",מלאי!A237='לוח בקרה'!$B$5),OR('לוח בקרה'!$B$6="הכל",מלאי!B237='לוח בקרה'!$B$6),OR('לוח בקרה'!$B$7="הכל",מלאי!F237='לוח בקרה'!$B$7,מלאי!G237='לוח בקרה'!$B$7),OR('לוח בקרה'!$B$8="הכל",מלאי!T237='לוח בקרה'!$B$8),OR('לוח בקרה'!$B$9="הכל",מלאי!Q237='לוח בקרה'!$B$9),OR('לוח בקרה'!$E$4="הכל",מלאי!J237='לוח בקרה'!$E$4),OR('לוח בקרה'!$E$5="הכל",מלאי!L237='לוח בקרה'!$E$5),OR('לוח בקרה'!$E$6="הכל",מלאי!O237='לוח בקרה'!$E$6),OR('לוח בקרה'!$E$7="הכל",מלאי!R237='לוח בקרה'!$E$7),OR('לוח בקרה'!$E$8="הכל",'לוח בקרה'!$E$8="",מלאי!W237='לוח בקרה'!$E$8),OR('לוח בקרה'!$E$9="הכל",'לוח בקרה'!$E$9="",ISNUMBER(SEARCH('לוח בקרה'!$E$9,מלאי!C237)))),1,0)</f>
        <v>0</v>
      </c>
      <c r="AE237" t="e">
        <f>IF(AND(מלאי!D237&lt;&gt;"",OR('לוח בקרה טכנו-מבצעי'!$B$4="הכל",מלאי!Z237='לוח בקרה טכנו-מבצעי'!$B$4,מלאי!AA237='לוח בקרה טכנו-מבצעי'!$B$4,מלאי!AB237='לוח בקרה טכנו-מבצעי'!$B$4,מלאי!AC237='לוח בקרה טכנו-מבצעי'!$B$4),OR('לוח בקרה טכנו-מבצעי'!$B$5="הכל",מלאי!A237='לוח בקרה טכנו-מבצעי'!$B$5),OR('לוח בקרה טכנו-מבצעי'!$B$6="הכל",מלאי!B237='לוח בקרה טכנו-מבצעי'!$B$6),OR('לוח בקרה טכנו-מבצעי'!$B$7="הכל",מלאי!F237='לוח בקרה טכנו-מבצעי'!$B$7,מלאי!G237='לוח בקרה טכנו-מבצעי'!$B$7),OR('לוח בקרה טכנו-מבצעי'!$B$8="הכל",מלאי!T237='לוח בקרה טכנו-מבצעי'!$B$8),OR('לוח בקרה טכנו-מבצעי'!$B$9="הכל",מלאי!Q237='לוח בקרה טכנו-מבצעי'!$B$9),OR('לוח בקרה טכנו-מבצעי'!$E$4="הכל",מלאי!J237='לוח בקרה טכנו-מבצעי'!$E$4),OR('לוח בקרה טכנו-מבצעי'!$E$5="הכל",מלאי!L237='לוח בקרה טכנו-מבצעי'!$E$5),OR('לוח בקרה טכנו-מבצעי'!$E$6="הכל",מלאי!O237='לוח בקרה טכנו-מבצעי'!$E$6),OR('לוח בקרה טכנו-מבצעי'!$E$7="הכל",מלאי!R237='לוח בקרה טכנו-מבצעי'!$E$7),OR('לוח בקרה טכנו-מבצעי'!$E$8="הכל",'לוח בקרה טכנו-מבצעי'!$E$8="",מלאי!W237='לוח בקרה טכנו-מבצעי'!$E$8),OR('לוח בקרה טכנו-מבצעי'!$E$9="הכל",'לוח בקרה טכנו-מבצעי'!$E$9="",ISNUMBER(SEARCH('לוח בקרה טכנו-מבצעי'!$E$9,מלאי!C237))),OR('לוח בקרה טכנו-מבצעי'!$B$10="הכל",מלאי!#REF!='לוח בקרה טכנו-מבצעי'!$B$10)),1,0)</f>
        <v>#REF!</v>
      </c>
      <c r="AF237" t="str">
        <f>IF(AD237=1,COUNTIF($AD$3:$AD237,1),"")</f>
        <v/>
      </c>
      <c r="AG237" t="e">
        <f>IF(AE237=1,COUNTIF($AE$3:$AE237,1),"")</f>
        <v>#REF!</v>
      </c>
    </row>
    <row r="238" spans="1:33" ht="15" customHeight="1" x14ac:dyDescent="0.25">
      <c r="A238" s="17"/>
      <c r="B238" s="17"/>
      <c r="C238" s="17"/>
      <c r="D238" s="17"/>
      <c r="E238" s="17" t="str">
        <f>IFERROR(INDEX(הגדרות!$I$2:$I$47,MATCH(B238,הגדרות!$H$2:$H$47,0)),"")</f>
        <v/>
      </c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t="str">
        <f>IFERROR(INDEX(הגדרות!$B$2:$B$17,MATCH(H238,הגדרות!$A$2:$A$17,0)),"")</f>
        <v/>
      </c>
      <c r="AA238" t="str">
        <f>IFERROR(INDEX(הגדרות!$C$2:$C$17,MATCH(H238,הגדרות!$A$2:$A$17,0)),"")</f>
        <v/>
      </c>
      <c r="AB238" t="str">
        <f>IFERROR(INDEX(הגדרות!$B$2:$B$17,MATCH(I238,הגדרות!$A$2:$A$17,0)),"")</f>
        <v/>
      </c>
      <c r="AC238" t="str">
        <f>IFERROR(INDEX(הגדרות!$C$2:$C$17,MATCH(I238,הגדרות!$A$2:$A$17,0)),"")</f>
        <v/>
      </c>
      <c r="AD238">
        <f>IF(AND(מלאי!D238&lt;&gt;"",OR('לוח בקרה'!$B$4="הכל",מלאי!Z238='לוח בקרה'!$B$4,מלאי!AA238='לוח בקרה'!$B$4,מלאי!AB238='לוח בקרה'!$B$4,מלאי!AC238='לוח בקרה'!$B$4),OR('לוח בקרה'!$B$5="הכל",מלאי!A238='לוח בקרה'!$B$5),OR('לוח בקרה'!$B$6="הכל",מלאי!B238='לוח בקרה'!$B$6),OR('לוח בקרה'!$B$7="הכל",מלאי!F238='לוח בקרה'!$B$7,מלאי!G238='לוח בקרה'!$B$7),OR('לוח בקרה'!$B$8="הכל",מלאי!T238='לוח בקרה'!$B$8),OR('לוח בקרה'!$B$9="הכל",מלאי!Q238='לוח בקרה'!$B$9),OR('לוח בקרה'!$E$4="הכל",מלאי!J238='לוח בקרה'!$E$4),OR('לוח בקרה'!$E$5="הכל",מלאי!L238='לוח בקרה'!$E$5),OR('לוח בקרה'!$E$6="הכל",מלאי!O238='לוח בקרה'!$E$6),OR('לוח בקרה'!$E$7="הכל",מלאי!R238='לוח בקרה'!$E$7),OR('לוח בקרה'!$E$8="הכל",'לוח בקרה'!$E$8="",מלאי!W238='לוח בקרה'!$E$8),OR('לוח בקרה'!$E$9="הכל",'לוח בקרה'!$E$9="",ISNUMBER(SEARCH('לוח בקרה'!$E$9,מלאי!C238)))),1,0)</f>
        <v>0</v>
      </c>
      <c r="AE238" t="e">
        <f>IF(AND(מלאי!D238&lt;&gt;"",OR('לוח בקרה טכנו-מבצעי'!$B$4="הכל",מלאי!Z238='לוח בקרה טכנו-מבצעי'!$B$4,מלאי!AA238='לוח בקרה טכנו-מבצעי'!$B$4,מלאי!AB238='לוח בקרה טכנו-מבצעי'!$B$4,מלאי!AC238='לוח בקרה טכנו-מבצעי'!$B$4),OR('לוח בקרה טכנו-מבצעי'!$B$5="הכל",מלאי!A238='לוח בקרה טכנו-מבצעי'!$B$5),OR('לוח בקרה טכנו-מבצעי'!$B$6="הכל",מלאי!B238='לוח בקרה טכנו-מבצעי'!$B$6),OR('לוח בקרה טכנו-מבצעי'!$B$7="הכל",מלאי!F238='לוח בקרה טכנו-מבצעי'!$B$7,מלאי!G238='לוח בקרה טכנו-מבצעי'!$B$7),OR('לוח בקרה טכנו-מבצעי'!$B$8="הכל",מלאי!T238='לוח בקרה טכנו-מבצעי'!$B$8),OR('לוח בקרה טכנו-מבצעי'!$B$9="הכל",מלאי!Q238='לוח בקרה טכנו-מבצעי'!$B$9),OR('לוח בקרה טכנו-מבצעי'!$E$4="הכל",מלאי!J238='לוח בקרה טכנו-מבצעי'!$E$4),OR('לוח בקרה טכנו-מבצעי'!$E$5="הכל",מלאי!L238='לוח בקרה טכנו-מבצעי'!$E$5),OR('לוח בקרה טכנו-מבצעי'!$E$6="הכל",מלאי!O238='לוח בקרה טכנו-מבצעי'!$E$6),OR('לוח בקרה טכנו-מבצעי'!$E$7="הכל",מלאי!R238='לוח בקרה טכנו-מבצעי'!$E$7),OR('לוח בקרה טכנו-מבצעי'!$E$8="הכל",'לוח בקרה טכנו-מבצעי'!$E$8="",מלאי!W238='לוח בקרה טכנו-מבצעי'!$E$8),OR('לוח בקרה טכנו-מבצעי'!$E$9="הכל",'לוח בקרה טכנו-מבצעי'!$E$9="",ISNUMBER(SEARCH('לוח בקרה טכנו-מבצעי'!$E$9,מלאי!C238))),OR('לוח בקרה טכנו-מבצעי'!$B$10="הכל",מלאי!#REF!='לוח בקרה טכנו-מבצעי'!$B$10)),1,0)</f>
        <v>#REF!</v>
      </c>
      <c r="AF238" t="str">
        <f>IF(AD238=1,COUNTIF($AD$3:$AD238,1),"")</f>
        <v/>
      </c>
      <c r="AG238" t="e">
        <f>IF(AE238=1,COUNTIF($AE$3:$AE238,1),"")</f>
        <v>#REF!</v>
      </c>
    </row>
    <row r="239" spans="1:33" ht="15" customHeight="1" x14ac:dyDescent="0.25">
      <c r="A239" s="19"/>
      <c r="B239" s="19"/>
      <c r="C239" s="19"/>
      <c r="D239" s="19"/>
      <c r="E239" s="19" t="str">
        <f>IFERROR(INDEX(הגדרות!$I$2:$I$47,MATCH(B239,הגדרות!$H$2:$H$47,0)),"")</f>
        <v/>
      </c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t="str">
        <f>IFERROR(INDEX(הגדרות!$B$2:$B$17,MATCH(H239,הגדרות!$A$2:$A$17,0)),"")</f>
        <v/>
      </c>
      <c r="AA239" t="str">
        <f>IFERROR(INDEX(הגדרות!$C$2:$C$17,MATCH(H239,הגדרות!$A$2:$A$17,0)),"")</f>
        <v/>
      </c>
      <c r="AB239" t="str">
        <f>IFERROR(INDEX(הגדרות!$B$2:$B$17,MATCH(I239,הגדרות!$A$2:$A$17,0)),"")</f>
        <v/>
      </c>
      <c r="AC239" t="str">
        <f>IFERROR(INDEX(הגדרות!$C$2:$C$17,MATCH(I239,הגדרות!$A$2:$A$17,0)),"")</f>
        <v/>
      </c>
      <c r="AD239">
        <f>IF(AND(מלאי!D239&lt;&gt;"",OR('לוח בקרה'!$B$4="הכל",מלאי!Z239='לוח בקרה'!$B$4,מלאי!AA239='לוח בקרה'!$B$4,מלאי!AB239='לוח בקרה'!$B$4,מלאי!AC239='לוח בקרה'!$B$4),OR('לוח בקרה'!$B$5="הכל",מלאי!A239='לוח בקרה'!$B$5),OR('לוח בקרה'!$B$6="הכל",מלאי!B239='לוח בקרה'!$B$6),OR('לוח בקרה'!$B$7="הכל",מלאי!F239='לוח בקרה'!$B$7,מלאי!G239='לוח בקרה'!$B$7),OR('לוח בקרה'!$B$8="הכל",מלאי!T239='לוח בקרה'!$B$8),OR('לוח בקרה'!$B$9="הכל",מלאי!Q239='לוח בקרה'!$B$9),OR('לוח בקרה'!$E$4="הכל",מלאי!J239='לוח בקרה'!$E$4),OR('לוח בקרה'!$E$5="הכל",מלאי!L239='לוח בקרה'!$E$5),OR('לוח בקרה'!$E$6="הכל",מלאי!O239='לוח בקרה'!$E$6),OR('לוח בקרה'!$E$7="הכל",מלאי!R239='לוח בקרה'!$E$7),OR('לוח בקרה'!$E$8="הכל",'לוח בקרה'!$E$8="",מלאי!W239='לוח בקרה'!$E$8),OR('לוח בקרה'!$E$9="הכל",'לוח בקרה'!$E$9="",ISNUMBER(SEARCH('לוח בקרה'!$E$9,מלאי!C239)))),1,0)</f>
        <v>0</v>
      </c>
      <c r="AE239" t="e">
        <f>IF(AND(מלאי!D239&lt;&gt;"",OR('לוח בקרה טכנו-מבצעי'!$B$4="הכל",מלאי!Z239='לוח בקרה טכנו-מבצעי'!$B$4,מלאי!AA239='לוח בקרה טכנו-מבצעי'!$B$4,מלאי!AB239='לוח בקרה טכנו-מבצעי'!$B$4,מלאי!AC239='לוח בקרה טכנו-מבצעי'!$B$4),OR('לוח בקרה טכנו-מבצעי'!$B$5="הכל",מלאי!A239='לוח בקרה טכנו-מבצעי'!$B$5),OR('לוח בקרה טכנו-מבצעי'!$B$6="הכל",מלאי!B239='לוח בקרה טכנו-מבצעי'!$B$6),OR('לוח בקרה טכנו-מבצעי'!$B$7="הכל",מלאי!F239='לוח בקרה טכנו-מבצעי'!$B$7,מלאי!G239='לוח בקרה טכנו-מבצעי'!$B$7),OR('לוח בקרה טכנו-מבצעי'!$B$8="הכל",מלאי!T239='לוח בקרה טכנו-מבצעי'!$B$8),OR('לוח בקרה טכנו-מבצעי'!$B$9="הכל",מלאי!Q239='לוח בקרה טכנו-מבצעי'!$B$9),OR('לוח בקרה טכנו-מבצעי'!$E$4="הכל",מלאי!J239='לוח בקרה טכנו-מבצעי'!$E$4),OR('לוח בקרה טכנו-מבצעי'!$E$5="הכל",מלאי!L239='לוח בקרה טכנו-מבצעי'!$E$5),OR('לוח בקרה טכנו-מבצעי'!$E$6="הכל",מלאי!O239='לוח בקרה טכנו-מבצעי'!$E$6),OR('לוח בקרה טכנו-מבצעי'!$E$7="הכל",מלאי!R239='לוח בקרה טכנו-מבצעי'!$E$7),OR('לוח בקרה טכנו-מבצעי'!$E$8="הכל",'לוח בקרה טכנו-מבצעי'!$E$8="",מלאי!W239='לוח בקרה טכנו-מבצעי'!$E$8),OR('לוח בקרה טכנו-מבצעי'!$E$9="הכל",'לוח בקרה טכנו-מבצעי'!$E$9="",ISNUMBER(SEARCH('לוח בקרה טכנו-מבצעי'!$E$9,מלאי!C239))),OR('לוח בקרה טכנו-מבצעי'!$B$10="הכל",מלאי!#REF!='לוח בקרה טכנו-מבצעי'!$B$10)),1,0)</f>
        <v>#REF!</v>
      </c>
      <c r="AF239" t="str">
        <f>IF(AD239=1,COUNTIF($AD$3:$AD239,1),"")</f>
        <v/>
      </c>
      <c r="AG239" t="e">
        <f>IF(AE239=1,COUNTIF($AE$3:$AE239,1),"")</f>
        <v>#REF!</v>
      </c>
    </row>
    <row r="240" spans="1:33" ht="15" customHeight="1" x14ac:dyDescent="0.25">
      <c r="A240" s="17"/>
      <c r="B240" s="17"/>
      <c r="C240" s="17"/>
      <c r="D240" s="17"/>
      <c r="E240" s="17" t="str">
        <f>IFERROR(INDEX(הגדרות!$I$2:$I$47,MATCH(B240,הגדרות!$H$2:$H$47,0)),"")</f>
        <v/>
      </c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t="str">
        <f>IFERROR(INDEX(הגדרות!$B$2:$B$17,MATCH(H240,הגדרות!$A$2:$A$17,0)),"")</f>
        <v/>
      </c>
      <c r="AA240" t="str">
        <f>IFERROR(INDEX(הגדרות!$C$2:$C$17,MATCH(H240,הגדרות!$A$2:$A$17,0)),"")</f>
        <v/>
      </c>
      <c r="AB240" t="str">
        <f>IFERROR(INDEX(הגדרות!$B$2:$B$17,MATCH(I240,הגדרות!$A$2:$A$17,0)),"")</f>
        <v/>
      </c>
      <c r="AC240" t="str">
        <f>IFERROR(INDEX(הגדרות!$C$2:$C$17,MATCH(I240,הגדרות!$A$2:$A$17,0)),"")</f>
        <v/>
      </c>
      <c r="AD240">
        <f>IF(AND(מלאי!D240&lt;&gt;"",OR('לוח בקרה'!$B$4="הכל",מלאי!Z240='לוח בקרה'!$B$4,מלאי!AA240='לוח בקרה'!$B$4,מלאי!AB240='לוח בקרה'!$B$4,מלאי!AC240='לוח בקרה'!$B$4),OR('לוח בקרה'!$B$5="הכל",מלאי!A240='לוח בקרה'!$B$5),OR('לוח בקרה'!$B$6="הכל",מלאי!B240='לוח בקרה'!$B$6),OR('לוח בקרה'!$B$7="הכל",מלאי!F240='לוח בקרה'!$B$7,מלאי!G240='לוח בקרה'!$B$7),OR('לוח בקרה'!$B$8="הכל",מלאי!T240='לוח בקרה'!$B$8),OR('לוח בקרה'!$B$9="הכל",מלאי!Q240='לוח בקרה'!$B$9),OR('לוח בקרה'!$E$4="הכל",מלאי!J240='לוח בקרה'!$E$4),OR('לוח בקרה'!$E$5="הכל",מלאי!L240='לוח בקרה'!$E$5),OR('לוח בקרה'!$E$6="הכל",מלאי!O240='לוח בקרה'!$E$6),OR('לוח בקרה'!$E$7="הכל",מלאי!R240='לוח בקרה'!$E$7),OR('לוח בקרה'!$E$8="הכל",'לוח בקרה'!$E$8="",מלאי!W240='לוח בקרה'!$E$8),OR('לוח בקרה'!$E$9="הכל",'לוח בקרה'!$E$9="",ISNUMBER(SEARCH('לוח בקרה'!$E$9,מלאי!C240)))),1,0)</f>
        <v>0</v>
      </c>
      <c r="AE240" t="e">
        <f>IF(AND(מלאי!D240&lt;&gt;"",OR('לוח בקרה טכנו-מבצעי'!$B$4="הכל",מלאי!Z240='לוח בקרה טכנו-מבצעי'!$B$4,מלאי!AA240='לוח בקרה טכנו-מבצעי'!$B$4,מלאי!AB240='לוח בקרה טכנו-מבצעי'!$B$4,מלאי!AC240='לוח בקרה טכנו-מבצעי'!$B$4),OR('לוח בקרה טכנו-מבצעי'!$B$5="הכל",מלאי!A240='לוח בקרה טכנו-מבצעי'!$B$5),OR('לוח בקרה טכנו-מבצעי'!$B$6="הכל",מלאי!B240='לוח בקרה טכנו-מבצעי'!$B$6),OR('לוח בקרה טכנו-מבצעי'!$B$7="הכל",מלאי!F240='לוח בקרה טכנו-מבצעי'!$B$7,מלאי!G240='לוח בקרה טכנו-מבצעי'!$B$7),OR('לוח בקרה טכנו-מבצעי'!$B$8="הכל",מלאי!T240='לוח בקרה טכנו-מבצעי'!$B$8),OR('לוח בקרה טכנו-מבצעי'!$B$9="הכל",מלאי!Q240='לוח בקרה טכנו-מבצעי'!$B$9),OR('לוח בקרה טכנו-מבצעי'!$E$4="הכל",מלאי!J240='לוח בקרה טכנו-מבצעי'!$E$4),OR('לוח בקרה טכנו-מבצעי'!$E$5="הכל",מלאי!L240='לוח בקרה טכנו-מבצעי'!$E$5),OR('לוח בקרה טכנו-מבצעי'!$E$6="הכל",מלאי!O240='לוח בקרה טכנו-מבצעי'!$E$6),OR('לוח בקרה טכנו-מבצעי'!$E$7="הכל",מלאי!R240='לוח בקרה טכנו-מבצעי'!$E$7),OR('לוח בקרה טכנו-מבצעי'!$E$8="הכל",'לוח בקרה טכנו-מבצעי'!$E$8="",מלאי!W240='לוח בקרה טכנו-מבצעי'!$E$8),OR('לוח בקרה טכנו-מבצעי'!$E$9="הכל",'לוח בקרה טכנו-מבצעי'!$E$9="",ISNUMBER(SEARCH('לוח בקרה טכנו-מבצעי'!$E$9,מלאי!C240))),OR('לוח בקרה טכנו-מבצעי'!$B$10="הכל",מלאי!#REF!='לוח בקרה טכנו-מבצעי'!$B$10)),1,0)</f>
        <v>#REF!</v>
      </c>
      <c r="AF240" t="str">
        <f>IF(AD240=1,COUNTIF($AD$3:$AD240,1),"")</f>
        <v/>
      </c>
      <c r="AG240" t="e">
        <f>IF(AE240=1,COUNTIF($AE$3:$AE240,1),"")</f>
        <v>#REF!</v>
      </c>
    </row>
    <row r="241" spans="1:33" ht="15" customHeight="1" x14ac:dyDescent="0.25">
      <c r="A241" s="19"/>
      <c r="B241" s="19"/>
      <c r="C241" s="19"/>
      <c r="D241" s="19"/>
      <c r="E241" s="19" t="str">
        <f>IFERROR(INDEX(הגדרות!$I$2:$I$47,MATCH(B241,הגדרות!$H$2:$H$47,0)),"")</f>
        <v/>
      </c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t="str">
        <f>IFERROR(INDEX(הגדרות!$B$2:$B$17,MATCH(H241,הגדרות!$A$2:$A$17,0)),"")</f>
        <v/>
      </c>
      <c r="AA241" t="str">
        <f>IFERROR(INDEX(הגדרות!$C$2:$C$17,MATCH(H241,הגדרות!$A$2:$A$17,0)),"")</f>
        <v/>
      </c>
      <c r="AB241" t="str">
        <f>IFERROR(INDEX(הגדרות!$B$2:$B$17,MATCH(I241,הגדרות!$A$2:$A$17,0)),"")</f>
        <v/>
      </c>
      <c r="AC241" t="str">
        <f>IFERROR(INDEX(הגדרות!$C$2:$C$17,MATCH(I241,הגדרות!$A$2:$A$17,0)),"")</f>
        <v/>
      </c>
      <c r="AD241">
        <f>IF(AND(מלאי!D241&lt;&gt;"",OR('לוח בקרה'!$B$4="הכל",מלאי!Z241='לוח בקרה'!$B$4,מלאי!AA241='לוח בקרה'!$B$4,מלאי!AB241='לוח בקרה'!$B$4,מלאי!AC241='לוח בקרה'!$B$4),OR('לוח בקרה'!$B$5="הכל",מלאי!A241='לוח בקרה'!$B$5),OR('לוח בקרה'!$B$6="הכל",מלאי!B241='לוח בקרה'!$B$6),OR('לוח בקרה'!$B$7="הכל",מלאי!F241='לוח בקרה'!$B$7,מלאי!G241='לוח בקרה'!$B$7),OR('לוח בקרה'!$B$8="הכל",מלאי!T241='לוח בקרה'!$B$8),OR('לוח בקרה'!$B$9="הכל",מלאי!Q241='לוח בקרה'!$B$9),OR('לוח בקרה'!$E$4="הכל",מלאי!J241='לוח בקרה'!$E$4),OR('לוח בקרה'!$E$5="הכל",מלאי!L241='לוח בקרה'!$E$5),OR('לוח בקרה'!$E$6="הכל",מלאי!O241='לוח בקרה'!$E$6),OR('לוח בקרה'!$E$7="הכל",מלאי!R241='לוח בקרה'!$E$7),OR('לוח בקרה'!$E$8="הכל",'לוח בקרה'!$E$8="",מלאי!W241='לוח בקרה'!$E$8),OR('לוח בקרה'!$E$9="הכל",'לוח בקרה'!$E$9="",ISNUMBER(SEARCH('לוח בקרה'!$E$9,מלאי!C241)))),1,0)</f>
        <v>0</v>
      </c>
      <c r="AE241" t="e">
        <f>IF(AND(מלאי!D241&lt;&gt;"",OR('לוח בקרה טכנו-מבצעי'!$B$4="הכל",מלאי!Z241='לוח בקרה טכנו-מבצעי'!$B$4,מלאי!AA241='לוח בקרה טכנו-מבצעי'!$B$4,מלאי!AB241='לוח בקרה טכנו-מבצעי'!$B$4,מלאי!AC241='לוח בקרה טכנו-מבצעי'!$B$4),OR('לוח בקרה טכנו-מבצעי'!$B$5="הכל",מלאי!A241='לוח בקרה טכנו-מבצעי'!$B$5),OR('לוח בקרה טכנו-מבצעי'!$B$6="הכל",מלאי!B241='לוח בקרה טכנו-מבצעי'!$B$6),OR('לוח בקרה טכנו-מבצעי'!$B$7="הכל",מלאי!F241='לוח בקרה טכנו-מבצעי'!$B$7,מלאי!G241='לוח בקרה טכנו-מבצעי'!$B$7),OR('לוח בקרה טכנו-מבצעי'!$B$8="הכל",מלאי!T241='לוח בקרה טכנו-מבצעי'!$B$8),OR('לוח בקרה טכנו-מבצעי'!$B$9="הכל",מלאי!Q241='לוח בקרה טכנו-מבצעי'!$B$9),OR('לוח בקרה טכנו-מבצעי'!$E$4="הכל",מלאי!J241='לוח בקרה טכנו-מבצעי'!$E$4),OR('לוח בקרה טכנו-מבצעי'!$E$5="הכל",מלאי!L241='לוח בקרה טכנו-מבצעי'!$E$5),OR('לוח בקרה טכנו-מבצעי'!$E$6="הכל",מלאי!O241='לוח בקרה טכנו-מבצעי'!$E$6),OR('לוח בקרה טכנו-מבצעי'!$E$7="הכל",מלאי!R241='לוח בקרה טכנו-מבצעי'!$E$7),OR('לוח בקרה טכנו-מבצעי'!$E$8="הכל",'לוח בקרה טכנו-מבצעי'!$E$8="",מלאי!W241='לוח בקרה טכנו-מבצעי'!$E$8),OR('לוח בקרה טכנו-מבצעי'!$E$9="הכל",'לוח בקרה טכנו-מבצעי'!$E$9="",ISNUMBER(SEARCH('לוח בקרה טכנו-מבצעי'!$E$9,מלאי!C241))),OR('לוח בקרה טכנו-מבצעי'!$B$10="הכל",מלאי!#REF!='לוח בקרה טכנו-מבצעי'!$B$10)),1,0)</f>
        <v>#REF!</v>
      </c>
      <c r="AF241" t="str">
        <f>IF(AD241=1,COUNTIF($AD$3:$AD241,1),"")</f>
        <v/>
      </c>
      <c r="AG241" t="e">
        <f>IF(AE241=1,COUNTIF($AE$3:$AE241,1),"")</f>
        <v>#REF!</v>
      </c>
    </row>
    <row r="242" spans="1:33" ht="15" customHeight="1" x14ac:dyDescent="0.25">
      <c r="A242" s="17"/>
      <c r="B242" s="17"/>
      <c r="C242" s="17"/>
      <c r="D242" s="17"/>
      <c r="E242" s="17" t="str">
        <f>IFERROR(INDEX(הגדרות!$I$2:$I$47,MATCH(B242,הגדרות!$H$2:$H$47,0)),"")</f>
        <v/>
      </c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t="str">
        <f>IFERROR(INDEX(הגדרות!$B$2:$B$17,MATCH(H242,הגדרות!$A$2:$A$17,0)),"")</f>
        <v/>
      </c>
      <c r="AA242" t="str">
        <f>IFERROR(INDEX(הגדרות!$C$2:$C$17,MATCH(H242,הגדרות!$A$2:$A$17,0)),"")</f>
        <v/>
      </c>
      <c r="AB242" t="str">
        <f>IFERROR(INDEX(הגדרות!$B$2:$B$17,MATCH(I242,הגדרות!$A$2:$A$17,0)),"")</f>
        <v/>
      </c>
      <c r="AC242" t="str">
        <f>IFERROR(INDEX(הגדרות!$C$2:$C$17,MATCH(I242,הגדרות!$A$2:$A$17,0)),"")</f>
        <v/>
      </c>
      <c r="AD242">
        <f>IF(AND(מלאי!D242&lt;&gt;"",OR('לוח בקרה'!$B$4="הכל",מלאי!Z242='לוח בקרה'!$B$4,מלאי!AA242='לוח בקרה'!$B$4,מלאי!AB242='לוח בקרה'!$B$4,מלאי!AC242='לוח בקרה'!$B$4),OR('לוח בקרה'!$B$5="הכל",מלאי!A242='לוח בקרה'!$B$5),OR('לוח בקרה'!$B$6="הכל",מלאי!B242='לוח בקרה'!$B$6),OR('לוח בקרה'!$B$7="הכל",מלאי!F242='לוח בקרה'!$B$7,מלאי!G242='לוח בקרה'!$B$7),OR('לוח בקרה'!$B$8="הכל",מלאי!T242='לוח בקרה'!$B$8),OR('לוח בקרה'!$B$9="הכל",מלאי!Q242='לוח בקרה'!$B$9),OR('לוח בקרה'!$E$4="הכל",מלאי!J242='לוח בקרה'!$E$4),OR('לוח בקרה'!$E$5="הכל",מלאי!L242='לוח בקרה'!$E$5),OR('לוח בקרה'!$E$6="הכל",מלאי!O242='לוח בקרה'!$E$6),OR('לוח בקרה'!$E$7="הכל",מלאי!R242='לוח בקרה'!$E$7),OR('לוח בקרה'!$E$8="הכל",'לוח בקרה'!$E$8="",מלאי!W242='לוח בקרה'!$E$8),OR('לוח בקרה'!$E$9="הכל",'לוח בקרה'!$E$9="",ISNUMBER(SEARCH('לוח בקרה'!$E$9,מלאי!C242)))),1,0)</f>
        <v>0</v>
      </c>
      <c r="AE242" t="e">
        <f>IF(AND(מלאי!D242&lt;&gt;"",OR('לוח בקרה טכנו-מבצעי'!$B$4="הכל",מלאי!Z242='לוח בקרה טכנו-מבצעי'!$B$4,מלאי!AA242='לוח בקרה טכנו-מבצעי'!$B$4,מלאי!AB242='לוח בקרה טכנו-מבצעי'!$B$4,מלאי!AC242='לוח בקרה טכנו-מבצעי'!$B$4),OR('לוח בקרה טכנו-מבצעי'!$B$5="הכל",מלאי!A242='לוח בקרה טכנו-מבצעי'!$B$5),OR('לוח בקרה טכנו-מבצעי'!$B$6="הכל",מלאי!B242='לוח בקרה טכנו-מבצעי'!$B$6),OR('לוח בקרה טכנו-מבצעי'!$B$7="הכל",מלאי!F242='לוח בקרה טכנו-מבצעי'!$B$7,מלאי!G242='לוח בקרה טכנו-מבצעי'!$B$7),OR('לוח בקרה טכנו-מבצעי'!$B$8="הכל",מלאי!T242='לוח בקרה טכנו-מבצעי'!$B$8),OR('לוח בקרה טכנו-מבצעי'!$B$9="הכל",מלאי!Q242='לוח בקרה טכנו-מבצעי'!$B$9),OR('לוח בקרה טכנו-מבצעי'!$E$4="הכל",מלאי!J242='לוח בקרה טכנו-מבצעי'!$E$4),OR('לוח בקרה טכנו-מבצעי'!$E$5="הכל",מלאי!L242='לוח בקרה טכנו-מבצעי'!$E$5),OR('לוח בקרה טכנו-מבצעי'!$E$6="הכל",מלאי!O242='לוח בקרה טכנו-מבצעי'!$E$6),OR('לוח בקרה טכנו-מבצעי'!$E$7="הכל",מלאי!R242='לוח בקרה טכנו-מבצעי'!$E$7),OR('לוח בקרה טכנו-מבצעי'!$E$8="הכל",'לוח בקרה טכנו-מבצעי'!$E$8="",מלאי!W242='לוח בקרה טכנו-מבצעי'!$E$8),OR('לוח בקרה טכנו-מבצעי'!$E$9="הכל",'לוח בקרה טכנו-מבצעי'!$E$9="",ISNUMBER(SEARCH('לוח בקרה טכנו-מבצעי'!$E$9,מלאי!C242))),OR('לוח בקרה טכנו-מבצעי'!$B$10="הכל",מלאי!#REF!='לוח בקרה טכנו-מבצעי'!$B$10)),1,0)</f>
        <v>#REF!</v>
      </c>
      <c r="AF242" t="str">
        <f>IF(AD242=1,COUNTIF($AD$3:$AD242,1),"")</f>
        <v/>
      </c>
      <c r="AG242" t="e">
        <f>IF(AE242=1,COUNTIF($AE$3:$AE242,1),"")</f>
        <v>#REF!</v>
      </c>
    </row>
    <row r="243" spans="1:33" ht="15" customHeight="1" x14ac:dyDescent="0.25">
      <c r="A243" s="19"/>
      <c r="B243" s="19"/>
      <c r="C243" s="19"/>
      <c r="D243" s="19"/>
      <c r="E243" s="19" t="str">
        <f>IFERROR(INDEX(הגדרות!$I$2:$I$47,MATCH(B243,הגדרות!$H$2:$H$47,0)),"")</f>
        <v/>
      </c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t="str">
        <f>IFERROR(INDEX(הגדרות!$B$2:$B$17,MATCH(H243,הגדרות!$A$2:$A$17,0)),"")</f>
        <v/>
      </c>
      <c r="AA243" t="str">
        <f>IFERROR(INDEX(הגדרות!$C$2:$C$17,MATCH(H243,הגדרות!$A$2:$A$17,0)),"")</f>
        <v/>
      </c>
      <c r="AB243" t="str">
        <f>IFERROR(INDEX(הגדרות!$B$2:$B$17,MATCH(I243,הגדרות!$A$2:$A$17,0)),"")</f>
        <v/>
      </c>
      <c r="AC243" t="str">
        <f>IFERROR(INDEX(הגדרות!$C$2:$C$17,MATCH(I243,הגדרות!$A$2:$A$17,0)),"")</f>
        <v/>
      </c>
      <c r="AD243">
        <f>IF(AND(מלאי!D243&lt;&gt;"",OR('לוח בקרה'!$B$4="הכל",מלאי!Z243='לוח בקרה'!$B$4,מלאי!AA243='לוח בקרה'!$B$4,מלאי!AB243='לוח בקרה'!$B$4,מלאי!AC243='לוח בקרה'!$B$4),OR('לוח בקרה'!$B$5="הכל",מלאי!A243='לוח בקרה'!$B$5),OR('לוח בקרה'!$B$6="הכל",מלאי!B243='לוח בקרה'!$B$6),OR('לוח בקרה'!$B$7="הכל",מלאי!F243='לוח בקרה'!$B$7,מלאי!G243='לוח בקרה'!$B$7),OR('לוח בקרה'!$B$8="הכל",מלאי!T243='לוח בקרה'!$B$8),OR('לוח בקרה'!$B$9="הכל",מלאי!Q243='לוח בקרה'!$B$9),OR('לוח בקרה'!$E$4="הכל",מלאי!J243='לוח בקרה'!$E$4),OR('לוח בקרה'!$E$5="הכל",מלאי!L243='לוח בקרה'!$E$5),OR('לוח בקרה'!$E$6="הכל",מלאי!O243='לוח בקרה'!$E$6),OR('לוח בקרה'!$E$7="הכל",מלאי!R243='לוח בקרה'!$E$7),OR('לוח בקרה'!$E$8="הכל",'לוח בקרה'!$E$8="",מלאי!W243='לוח בקרה'!$E$8),OR('לוח בקרה'!$E$9="הכל",'לוח בקרה'!$E$9="",ISNUMBER(SEARCH('לוח בקרה'!$E$9,מלאי!C243)))),1,0)</f>
        <v>0</v>
      </c>
      <c r="AE243" t="e">
        <f>IF(AND(מלאי!D243&lt;&gt;"",OR('לוח בקרה טכנו-מבצעי'!$B$4="הכל",מלאי!Z243='לוח בקרה טכנו-מבצעי'!$B$4,מלאי!AA243='לוח בקרה טכנו-מבצעי'!$B$4,מלאי!AB243='לוח בקרה טכנו-מבצעי'!$B$4,מלאי!AC243='לוח בקרה טכנו-מבצעי'!$B$4),OR('לוח בקרה טכנו-מבצעי'!$B$5="הכל",מלאי!A243='לוח בקרה טכנו-מבצעי'!$B$5),OR('לוח בקרה טכנו-מבצעי'!$B$6="הכל",מלאי!B243='לוח בקרה טכנו-מבצעי'!$B$6),OR('לוח בקרה טכנו-מבצעי'!$B$7="הכל",מלאי!F243='לוח בקרה טכנו-מבצעי'!$B$7,מלאי!G243='לוח בקרה טכנו-מבצעי'!$B$7),OR('לוח בקרה טכנו-מבצעי'!$B$8="הכל",מלאי!T243='לוח בקרה טכנו-מבצעי'!$B$8),OR('לוח בקרה טכנו-מבצעי'!$B$9="הכל",מלאי!Q243='לוח בקרה טכנו-מבצעי'!$B$9),OR('לוח בקרה טכנו-מבצעי'!$E$4="הכל",מלאי!J243='לוח בקרה טכנו-מבצעי'!$E$4),OR('לוח בקרה טכנו-מבצעי'!$E$5="הכל",מלאי!L243='לוח בקרה טכנו-מבצעי'!$E$5),OR('לוח בקרה טכנו-מבצעי'!$E$6="הכל",מלאי!O243='לוח בקרה טכנו-מבצעי'!$E$6),OR('לוח בקרה טכנו-מבצעי'!$E$7="הכל",מלאי!R243='לוח בקרה טכנו-מבצעי'!$E$7),OR('לוח בקרה טכנו-מבצעי'!$E$8="הכל",'לוח בקרה טכנו-מבצעי'!$E$8="",מלאי!W243='לוח בקרה טכנו-מבצעי'!$E$8),OR('לוח בקרה טכנו-מבצעי'!$E$9="הכל",'לוח בקרה טכנו-מבצעי'!$E$9="",ISNUMBER(SEARCH('לוח בקרה טכנו-מבצעי'!$E$9,מלאי!C243))),OR('לוח בקרה טכנו-מבצעי'!$B$10="הכל",מלאי!#REF!='לוח בקרה טכנו-מבצעי'!$B$10)),1,0)</f>
        <v>#REF!</v>
      </c>
      <c r="AF243" t="str">
        <f>IF(AD243=1,COUNTIF($AD$3:$AD243,1),"")</f>
        <v/>
      </c>
      <c r="AG243" t="e">
        <f>IF(AE243=1,COUNTIF($AE$3:$AE243,1),"")</f>
        <v>#REF!</v>
      </c>
    </row>
    <row r="244" spans="1:33" ht="15" customHeight="1" x14ac:dyDescent="0.25">
      <c r="A244" s="17"/>
      <c r="B244" s="17"/>
      <c r="C244" s="17"/>
      <c r="D244" s="17"/>
      <c r="E244" s="17" t="str">
        <f>IFERROR(INDEX(הגדרות!$I$2:$I$47,MATCH(B244,הגדרות!$H$2:$H$47,0)),"")</f>
        <v/>
      </c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t="str">
        <f>IFERROR(INDEX(הגדרות!$B$2:$B$17,MATCH(H244,הגדרות!$A$2:$A$17,0)),"")</f>
        <v/>
      </c>
      <c r="AA244" t="str">
        <f>IFERROR(INDEX(הגדרות!$C$2:$C$17,MATCH(H244,הגדרות!$A$2:$A$17,0)),"")</f>
        <v/>
      </c>
      <c r="AB244" t="str">
        <f>IFERROR(INDEX(הגדרות!$B$2:$B$17,MATCH(I244,הגדרות!$A$2:$A$17,0)),"")</f>
        <v/>
      </c>
      <c r="AC244" t="str">
        <f>IFERROR(INDEX(הגדרות!$C$2:$C$17,MATCH(I244,הגדרות!$A$2:$A$17,0)),"")</f>
        <v/>
      </c>
      <c r="AD244">
        <f>IF(AND(מלאי!D244&lt;&gt;"",OR('לוח בקרה'!$B$4="הכל",מלאי!Z244='לוח בקרה'!$B$4,מלאי!AA244='לוח בקרה'!$B$4,מלאי!AB244='לוח בקרה'!$B$4,מלאי!AC244='לוח בקרה'!$B$4),OR('לוח בקרה'!$B$5="הכל",מלאי!A244='לוח בקרה'!$B$5),OR('לוח בקרה'!$B$6="הכל",מלאי!B244='לוח בקרה'!$B$6),OR('לוח בקרה'!$B$7="הכל",מלאי!F244='לוח בקרה'!$B$7,מלאי!G244='לוח בקרה'!$B$7),OR('לוח בקרה'!$B$8="הכל",מלאי!T244='לוח בקרה'!$B$8),OR('לוח בקרה'!$B$9="הכל",מלאי!Q244='לוח בקרה'!$B$9),OR('לוח בקרה'!$E$4="הכל",מלאי!J244='לוח בקרה'!$E$4),OR('לוח בקרה'!$E$5="הכל",מלאי!L244='לוח בקרה'!$E$5),OR('לוח בקרה'!$E$6="הכל",מלאי!O244='לוח בקרה'!$E$6),OR('לוח בקרה'!$E$7="הכל",מלאי!R244='לוח בקרה'!$E$7),OR('לוח בקרה'!$E$8="הכל",'לוח בקרה'!$E$8="",מלאי!W244='לוח בקרה'!$E$8),OR('לוח בקרה'!$E$9="הכל",'לוח בקרה'!$E$9="",ISNUMBER(SEARCH('לוח בקרה'!$E$9,מלאי!C244)))),1,0)</f>
        <v>0</v>
      </c>
      <c r="AE244" t="e">
        <f>IF(AND(מלאי!D244&lt;&gt;"",OR('לוח בקרה טכנו-מבצעי'!$B$4="הכל",מלאי!Z244='לוח בקרה טכנו-מבצעי'!$B$4,מלאי!AA244='לוח בקרה טכנו-מבצעי'!$B$4,מלאי!AB244='לוח בקרה טכנו-מבצעי'!$B$4,מלאי!AC244='לוח בקרה טכנו-מבצעי'!$B$4),OR('לוח בקרה טכנו-מבצעי'!$B$5="הכל",מלאי!A244='לוח בקרה טכנו-מבצעי'!$B$5),OR('לוח בקרה טכנו-מבצעי'!$B$6="הכל",מלאי!B244='לוח בקרה טכנו-מבצעי'!$B$6),OR('לוח בקרה טכנו-מבצעי'!$B$7="הכל",מלאי!F244='לוח בקרה טכנו-מבצעי'!$B$7,מלאי!G244='לוח בקרה טכנו-מבצעי'!$B$7),OR('לוח בקרה טכנו-מבצעי'!$B$8="הכל",מלאי!T244='לוח בקרה טכנו-מבצעי'!$B$8),OR('לוח בקרה טכנו-מבצעי'!$B$9="הכל",מלאי!Q244='לוח בקרה טכנו-מבצעי'!$B$9),OR('לוח בקרה טכנו-מבצעי'!$E$4="הכל",מלאי!J244='לוח בקרה טכנו-מבצעי'!$E$4),OR('לוח בקרה טכנו-מבצעי'!$E$5="הכל",מלאי!L244='לוח בקרה טכנו-מבצעי'!$E$5),OR('לוח בקרה טכנו-מבצעי'!$E$6="הכל",מלאי!O244='לוח בקרה טכנו-מבצעי'!$E$6),OR('לוח בקרה טכנו-מבצעי'!$E$7="הכל",מלאי!R244='לוח בקרה טכנו-מבצעי'!$E$7),OR('לוח בקרה טכנו-מבצעי'!$E$8="הכל",'לוח בקרה טכנו-מבצעי'!$E$8="",מלאי!W244='לוח בקרה טכנו-מבצעי'!$E$8),OR('לוח בקרה טכנו-מבצעי'!$E$9="הכל",'לוח בקרה טכנו-מבצעי'!$E$9="",ISNUMBER(SEARCH('לוח בקרה טכנו-מבצעי'!$E$9,מלאי!C244))),OR('לוח בקרה טכנו-מבצעי'!$B$10="הכל",מלאי!#REF!='לוח בקרה טכנו-מבצעי'!$B$10)),1,0)</f>
        <v>#REF!</v>
      </c>
      <c r="AF244" t="str">
        <f>IF(AD244=1,COUNTIF($AD$3:$AD244,1),"")</f>
        <v/>
      </c>
      <c r="AG244" t="e">
        <f>IF(AE244=1,COUNTIF($AE$3:$AE244,1),"")</f>
        <v>#REF!</v>
      </c>
    </row>
    <row r="245" spans="1:33" ht="15" customHeight="1" x14ac:dyDescent="0.25">
      <c r="A245" s="19"/>
      <c r="B245" s="19"/>
      <c r="C245" s="19"/>
      <c r="D245" s="19"/>
      <c r="E245" s="19" t="str">
        <f>IFERROR(INDEX(הגדרות!$I$2:$I$47,MATCH(B245,הגדרות!$H$2:$H$47,0)),"")</f>
        <v/>
      </c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t="str">
        <f>IFERROR(INDEX(הגדרות!$B$2:$B$17,MATCH(H245,הגדרות!$A$2:$A$17,0)),"")</f>
        <v/>
      </c>
      <c r="AA245" t="str">
        <f>IFERROR(INDEX(הגדרות!$C$2:$C$17,MATCH(H245,הגדרות!$A$2:$A$17,0)),"")</f>
        <v/>
      </c>
      <c r="AB245" t="str">
        <f>IFERROR(INDEX(הגדרות!$B$2:$B$17,MATCH(I245,הגדרות!$A$2:$A$17,0)),"")</f>
        <v/>
      </c>
      <c r="AC245" t="str">
        <f>IFERROR(INDEX(הגדרות!$C$2:$C$17,MATCH(I245,הגדרות!$A$2:$A$17,0)),"")</f>
        <v/>
      </c>
      <c r="AD245">
        <f>IF(AND(מלאי!D245&lt;&gt;"",OR('לוח בקרה'!$B$4="הכל",מלאי!Z245='לוח בקרה'!$B$4,מלאי!AA245='לוח בקרה'!$B$4,מלאי!AB245='לוח בקרה'!$B$4,מלאי!AC245='לוח בקרה'!$B$4),OR('לוח בקרה'!$B$5="הכל",מלאי!A245='לוח בקרה'!$B$5),OR('לוח בקרה'!$B$6="הכל",מלאי!B245='לוח בקרה'!$B$6),OR('לוח בקרה'!$B$7="הכל",מלאי!F245='לוח בקרה'!$B$7,מלאי!G245='לוח בקרה'!$B$7),OR('לוח בקרה'!$B$8="הכל",מלאי!T245='לוח בקרה'!$B$8),OR('לוח בקרה'!$B$9="הכל",מלאי!Q245='לוח בקרה'!$B$9),OR('לוח בקרה'!$E$4="הכל",מלאי!J245='לוח בקרה'!$E$4),OR('לוח בקרה'!$E$5="הכל",מלאי!L245='לוח בקרה'!$E$5),OR('לוח בקרה'!$E$6="הכל",מלאי!O245='לוח בקרה'!$E$6),OR('לוח בקרה'!$E$7="הכל",מלאי!R245='לוח בקרה'!$E$7),OR('לוח בקרה'!$E$8="הכל",'לוח בקרה'!$E$8="",מלאי!W245='לוח בקרה'!$E$8),OR('לוח בקרה'!$E$9="הכל",'לוח בקרה'!$E$9="",ISNUMBER(SEARCH('לוח בקרה'!$E$9,מלאי!C245)))),1,0)</f>
        <v>0</v>
      </c>
      <c r="AE245" t="e">
        <f>IF(AND(מלאי!D245&lt;&gt;"",OR('לוח בקרה טכנו-מבצעי'!$B$4="הכל",מלאי!Z245='לוח בקרה טכנו-מבצעי'!$B$4,מלאי!AA245='לוח בקרה טכנו-מבצעי'!$B$4,מלאי!AB245='לוח בקרה טכנו-מבצעי'!$B$4,מלאי!AC245='לוח בקרה טכנו-מבצעי'!$B$4),OR('לוח בקרה טכנו-מבצעי'!$B$5="הכל",מלאי!A245='לוח בקרה טכנו-מבצעי'!$B$5),OR('לוח בקרה טכנו-מבצעי'!$B$6="הכל",מלאי!B245='לוח בקרה טכנו-מבצעי'!$B$6),OR('לוח בקרה טכנו-מבצעי'!$B$7="הכל",מלאי!F245='לוח בקרה טכנו-מבצעי'!$B$7,מלאי!G245='לוח בקרה טכנו-מבצעי'!$B$7),OR('לוח בקרה טכנו-מבצעי'!$B$8="הכל",מלאי!T245='לוח בקרה טכנו-מבצעי'!$B$8),OR('לוח בקרה טכנו-מבצעי'!$B$9="הכל",מלאי!Q245='לוח בקרה טכנו-מבצעי'!$B$9),OR('לוח בקרה טכנו-מבצעי'!$E$4="הכל",מלאי!J245='לוח בקרה טכנו-מבצעי'!$E$4),OR('לוח בקרה טכנו-מבצעי'!$E$5="הכל",מלאי!L245='לוח בקרה טכנו-מבצעי'!$E$5),OR('לוח בקרה טכנו-מבצעי'!$E$6="הכל",מלאי!O245='לוח בקרה טכנו-מבצעי'!$E$6),OR('לוח בקרה טכנו-מבצעי'!$E$7="הכל",מלאי!R245='לוח בקרה טכנו-מבצעי'!$E$7),OR('לוח בקרה טכנו-מבצעי'!$E$8="הכל",'לוח בקרה טכנו-מבצעי'!$E$8="",מלאי!W245='לוח בקרה טכנו-מבצעי'!$E$8),OR('לוח בקרה טכנו-מבצעי'!$E$9="הכל",'לוח בקרה טכנו-מבצעי'!$E$9="",ISNUMBER(SEARCH('לוח בקרה טכנו-מבצעי'!$E$9,מלאי!C245))),OR('לוח בקרה טכנו-מבצעי'!$B$10="הכל",מלאי!#REF!='לוח בקרה טכנו-מבצעי'!$B$10)),1,0)</f>
        <v>#REF!</v>
      </c>
      <c r="AF245" t="str">
        <f>IF(AD245=1,COUNTIF($AD$3:$AD245,1),"")</f>
        <v/>
      </c>
      <c r="AG245" t="e">
        <f>IF(AE245=1,COUNTIF($AE$3:$AE245,1),"")</f>
        <v>#REF!</v>
      </c>
    </row>
    <row r="246" spans="1:33" ht="15" customHeight="1" x14ac:dyDescent="0.25">
      <c r="A246" s="17"/>
      <c r="B246" s="17"/>
      <c r="C246" s="17"/>
      <c r="D246" s="17"/>
      <c r="E246" s="17" t="str">
        <f>IFERROR(INDEX(הגדרות!$I$2:$I$47,MATCH(B246,הגדרות!$H$2:$H$47,0)),"")</f>
        <v/>
      </c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t="str">
        <f>IFERROR(INDEX(הגדרות!$B$2:$B$17,MATCH(H246,הגדרות!$A$2:$A$17,0)),"")</f>
        <v/>
      </c>
      <c r="AA246" t="str">
        <f>IFERROR(INDEX(הגדרות!$C$2:$C$17,MATCH(H246,הגדרות!$A$2:$A$17,0)),"")</f>
        <v/>
      </c>
      <c r="AB246" t="str">
        <f>IFERROR(INDEX(הגדרות!$B$2:$B$17,MATCH(I246,הגדרות!$A$2:$A$17,0)),"")</f>
        <v/>
      </c>
      <c r="AC246" t="str">
        <f>IFERROR(INDEX(הגדרות!$C$2:$C$17,MATCH(I246,הגדרות!$A$2:$A$17,0)),"")</f>
        <v/>
      </c>
      <c r="AD246">
        <f>IF(AND(מלאי!D246&lt;&gt;"",OR('לוח בקרה'!$B$4="הכל",מלאי!Z246='לוח בקרה'!$B$4,מלאי!AA246='לוח בקרה'!$B$4,מלאי!AB246='לוח בקרה'!$B$4,מלאי!AC246='לוח בקרה'!$B$4),OR('לוח בקרה'!$B$5="הכל",מלאי!A246='לוח בקרה'!$B$5),OR('לוח בקרה'!$B$6="הכל",מלאי!B246='לוח בקרה'!$B$6),OR('לוח בקרה'!$B$7="הכל",מלאי!F246='לוח בקרה'!$B$7,מלאי!G246='לוח בקרה'!$B$7),OR('לוח בקרה'!$B$8="הכל",מלאי!T246='לוח בקרה'!$B$8),OR('לוח בקרה'!$B$9="הכל",מלאי!Q246='לוח בקרה'!$B$9),OR('לוח בקרה'!$E$4="הכל",מלאי!J246='לוח בקרה'!$E$4),OR('לוח בקרה'!$E$5="הכל",מלאי!L246='לוח בקרה'!$E$5),OR('לוח בקרה'!$E$6="הכל",מלאי!O246='לוח בקרה'!$E$6),OR('לוח בקרה'!$E$7="הכל",מלאי!R246='לוח בקרה'!$E$7),OR('לוח בקרה'!$E$8="הכל",'לוח בקרה'!$E$8="",מלאי!W246='לוח בקרה'!$E$8),OR('לוח בקרה'!$E$9="הכל",'לוח בקרה'!$E$9="",ISNUMBER(SEARCH('לוח בקרה'!$E$9,מלאי!C246)))),1,0)</f>
        <v>0</v>
      </c>
      <c r="AE246" t="e">
        <f>IF(AND(מלאי!D246&lt;&gt;"",OR('לוח בקרה טכנו-מבצעי'!$B$4="הכל",מלאי!Z246='לוח בקרה טכנו-מבצעי'!$B$4,מלאי!AA246='לוח בקרה טכנו-מבצעי'!$B$4,מלאי!AB246='לוח בקרה טכנו-מבצעי'!$B$4,מלאי!AC246='לוח בקרה טכנו-מבצעי'!$B$4),OR('לוח בקרה טכנו-מבצעי'!$B$5="הכל",מלאי!A246='לוח בקרה טכנו-מבצעי'!$B$5),OR('לוח בקרה טכנו-מבצעי'!$B$6="הכל",מלאי!B246='לוח בקרה טכנו-מבצעי'!$B$6),OR('לוח בקרה טכנו-מבצעי'!$B$7="הכל",מלאי!F246='לוח בקרה טכנו-מבצעי'!$B$7,מלאי!G246='לוח בקרה טכנו-מבצעי'!$B$7),OR('לוח בקרה טכנו-מבצעי'!$B$8="הכל",מלאי!T246='לוח בקרה טכנו-מבצעי'!$B$8),OR('לוח בקרה טכנו-מבצעי'!$B$9="הכל",מלאי!Q246='לוח בקרה טכנו-מבצעי'!$B$9),OR('לוח בקרה טכנו-מבצעי'!$E$4="הכל",מלאי!J246='לוח בקרה טכנו-מבצעי'!$E$4),OR('לוח בקרה טכנו-מבצעי'!$E$5="הכל",מלאי!L246='לוח בקרה טכנו-מבצעי'!$E$5),OR('לוח בקרה טכנו-מבצעי'!$E$6="הכל",מלאי!O246='לוח בקרה טכנו-מבצעי'!$E$6),OR('לוח בקרה טכנו-מבצעי'!$E$7="הכל",מלאי!R246='לוח בקרה טכנו-מבצעי'!$E$7),OR('לוח בקרה טכנו-מבצעי'!$E$8="הכל",'לוח בקרה טכנו-מבצעי'!$E$8="",מלאי!W246='לוח בקרה טכנו-מבצעי'!$E$8),OR('לוח בקרה טכנו-מבצעי'!$E$9="הכל",'לוח בקרה טכנו-מבצעי'!$E$9="",ISNUMBER(SEARCH('לוח בקרה טכנו-מבצעי'!$E$9,מלאי!C246))),OR('לוח בקרה טכנו-מבצעי'!$B$10="הכל",מלאי!#REF!='לוח בקרה טכנו-מבצעי'!$B$10)),1,0)</f>
        <v>#REF!</v>
      </c>
      <c r="AF246" t="str">
        <f>IF(AD246=1,COUNTIF($AD$3:$AD246,1),"")</f>
        <v/>
      </c>
      <c r="AG246" t="e">
        <f>IF(AE246=1,COUNTIF($AE$3:$AE246,1),"")</f>
        <v>#REF!</v>
      </c>
    </row>
    <row r="247" spans="1:33" ht="15" customHeight="1" x14ac:dyDescent="0.25">
      <c r="A247" s="19"/>
      <c r="B247" s="19"/>
      <c r="C247" s="19"/>
      <c r="D247" s="19"/>
      <c r="E247" s="19" t="str">
        <f>IFERROR(INDEX(הגדרות!$I$2:$I$47,MATCH(B247,הגדרות!$H$2:$H$47,0)),"")</f>
        <v/>
      </c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t="str">
        <f>IFERROR(INDEX(הגדרות!$B$2:$B$17,MATCH(H247,הגדרות!$A$2:$A$17,0)),"")</f>
        <v/>
      </c>
      <c r="AA247" t="str">
        <f>IFERROR(INDEX(הגדרות!$C$2:$C$17,MATCH(H247,הגדרות!$A$2:$A$17,0)),"")</f>
        <v/>
      </c>
      <c r="AB247" t="str">
        <f>IFERROR(INDEX(הגדרות!$B$2:$B$17,MATCH(I247,הגדרות!$A$2:$A$17,0)),"")</f>
        <v/>
      </c>
      <c r="AC247" t="str">
        <f>IFERROR(INDEX(הגדרות!$C$2:$C$17,MATCH(I247,הגדרות!$A$2:$A$17,0)),"")</f>
        <v/>
      </c>
      <c r="AD247">
        <f>IF(AND(מלאי!D247&lt;&gt;"",OR('לוח בקרה'!$B$4="הכל",מלאי!Z247='לוח בקרה'!$B$4,מלאי!AA247='לוח בקרה'!$B$4,מלאי!AB247='לוח בקרה'!$B$4,מלאי!AC247='לוח בקרה'!$B$4),OR('לוח בקרה'!$B$5="הכל",מלאי!A247='לוח בקרה'!$B$5),OR('לוח בקרה'!$B$6="הכל",מלאי!B247='לוח בקרה'!$B$6),OR('לוח בקרה'!$B$7="הכל",מלאי!F247='לוח בקרה'!$B$7,מלאי!G247='לוח בקרה'!$B$7),OR('לוח בקרה'!$B$8="הכל",מלאי!T247='לוח בקרה'!$B$8),OR('לוח בקרה'!$B$9="הכל",מלאי!Q247='לוח בקרה'!$B$9),OR('לוח בקרה'!$E$4="הכל",מלאי!J247='לוח בקרה'!$E$4),OR('לוח בקרה'!$E$5="הכל",מלאי!L247='לוח בקרה'!$E$5),OR('לוח בקרה'!$E$6="הכל",מלאי!O247='לוח בקרה'!$E$6),OR('לוח בקרה'!$E$7="הכל",מלאי!R247='לוח בקרה'!$E$7),OR('לוח בקרה'!$E$8="הכל",'לוח בקרה'!$E$8="",מלאי!W247='לוח בקרה'!$E$8),OR('לוח בקרה'!$E$9="הכל",'לוח בקרה'!$E$9="",ISNUMBER(SEARCH('לוח בקרה'!$E$9,מלאי!C247)))),1,0)</f>
        <v>0</v>
      </c>
      <c r="AE247" t="e">
        <f>IF(AND(מלאי!D247&lt;&gt;"",OR('לוח בקרה טכנו-מבצעי'!$B$4="הכל",מלאי!Z247='לוח בקרה טכנו-מבצעי'!$B$4,מלאי!AA247='לוח בקרה טכנו-מבצעי'!$B$4,מלאי!AB247='לוח בקרה טכנו-מבצעי'!$B$4,מלאי!AC247='לוח בקרה טכנו-מבצעי'!$B$4),OR('לוח בקרה טכנו-מבצעי'!$B$5="הכל",מלאי!A247='לוח בקרה טכנו-מבצעי'!$B$5),OR('לוח בקרה טכנו-מבצעי'!$B$6="הכל",מלאי!B247='לוח בקרה טכנו-מבצעי'!$B$6),OR('לוח בקרה טכנו-מבצעי'!$B$7="הכל",מלאי!F247='לוח בקרה טכנו-מבצעי'!$B$7,מלאי!G247='לוח בקרה טכנו-מבצעי'!$B$7),OR('לוח בקרה טכנו-מבצעי'!$B$8="הכל",מלאי!T247='לוח בקרה טכנו-מבצעי'!$B$8),OR('לוח בקרה טכנו-מבצעי'!$B$9="הכל",מלאי!Q247='לוח בקרה טכנו-מבצעי'!$B$9),OR('לוח בקרה טכנו-מבצעי'!$E$4="הכל",מלאי!J247='לוח בקרה טכנו-מבצעי'!$E$4),OR('לוח בקרה טכנו-מבצעי'!$E$5="הכל",מלאי!L247='לוח בקרה טכנו-מבצעי'!$E$5),OR('לוח בקרה טכנו-מבצעי'!$E$6="הכל",מלאי!O247='לוח בקרה טכנו-מבצעי'!$E$6),OR('לוח בקרה טכנו-מבצעי'!$E$7="הכל",מלאי!R247='לוח בקרה טכנו-מבצעי'!$E$7),OR('לוח בקרה טכנו-מבצעי'!$E$8="הכל",'לוח בקרה טכנו-מבצעי'!$E$8="",מלאי!W247='לוח בקרה טכנו-מבצעי'!$E$8),OR('לוח בקרה טכנו-מבצעי'!$E$9="הכל",'לוח בקרה טכנו-מבצעי'!$E$9="",ISNUMBER(SEARCH('לוח בקרה טכנו-מבצעי'!$E$9,מלאי!C247))),OR('לוח בקרה טכנו-מבצעי'!$B$10="הכל",מלאי!#REF!='לוח בקרה טכנו-מבצעי'!$B$10)),1,0)</f>
        <v>#REF!</v>
      </c>
      <c r="AF247" t="str">
        <f>IF(AD247=1,COUNTIF($AD$3:$AD247,1),"")</f>
        <v/>
      </c>
      <c r="AG247" t="e">
        <f>IF(AE247=1,COUNTIF($AE$3:$AE247,1),"")</f>
        <v>#REF!</v>
      </c>
    </row>
    <row r="248" spans="1:33" ht="15" customHeight="1" x14ac:dyDescent="0.25">
      <c r="A248" s="17"/>
      <c r="B248" s="17"/>
      <c r="C248" s="17"/>
      <c r="D248" s="17"/>
      <c r="E248" s="17" t="str">
        <f>IFERROR(INDEX(הגדרות!$I$2:$I$47,MATCH(B248,הגדרות!$H$2:$H$47,0)),"")</f>
        <v/>
      </c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t="str">
        <f>IFERROR(INDEX(הגדרות!$B$2:$B$17,MATCH(H248,הגדרות!$A$2:$A$17,0)),"")</f>
        <v/>
      </c>
      <c r="AA248" t="str">
        <f>IFERROR(INDEX(הגדרות!$C$2:$C$17,MATCH(H248,הגדרות!$A$2:$A$17,0)),"")</f>
        <v/>
      </c>
      <c r="AB248" t="str">
        <f>IFERROR(INDEX(הגדרות!$B$2:$B$17,MATCH(I248,הגדרות!$A$2:$A$17,0)),"")</f>
        <v/>
      </c>
      <c r="AC248" t="str">
        <f>IFERROR(INDEX(הגדרות!$C$2:$C$17,MATCH(I248,הגדרות!$A$2:$A$17,0)),"")</f>
        <v/>
      </c>
      <c r="AD248">
        <f>IF(AND(מלאי!D248&lt;&gt;"",OR('לוח בקרה'!$B$4="הכל",מלאי!Z248='לוח בקרה'!$B$4,מלאי!AA248='לוח בקרה'!$B$4,מלאי!AB248='לוח בקרה'!$B$4,מלאי!AC248='לוח בקרה'!$B$4),OR('לוח בקרה'!$B$5="הכל",מלאי!A248='לוח בקרה'!$B$5),OR('לוח בקרה'!$B$6="הכל",מלאי!B248='לוח בקרה'!$B$6),OR('לוח בקרה'!$B$7="הכל",מלאי!F248='לוח בקרה'!$B$7,מלאי!G248='לוח בקרה'!$B$7),OR('לוח בקרה'!$B$8="הכל",מלאי!T248='לוח בקרה'!$B$8),OR('לוח בקרה'!$B$9="הכל",מלאי!Q248='לוח בקרה'!$B$9),OR('לוח בקרה'!$E$4="הכל",מלאי!J248='לוח בקרה'!$E$4),OR('לוח בקרה'!$E$5="הכל",מלאי!L248='לוח בקרה'!$E$5),OR('לוח בקרה'!$E$6="הכל",מלאי!O248='לוח בקרה'!$E$6),OR('לוח בקרה'!$E$7="הכל",מלאי!R248='לוח בקרה'!$E$7),OR('לוח בקרה'!$E$8="הכל",'לוח בקרה'!$E$8="",מלאי!W248='לוח בקרה'!$E$8),OR('לוח בקרה'!$E$9="הכל",'לוח בקרה'!$E$9="",ISNUMBER(SEARCH('לוח בקרה'!$E$9,מלאי!C248)))),1,0)</f>
        <v>0</v>
      </c>
      <c r="AE248" t="e">
        <f>IF(AND(מלאי!D248&lt;&gt;"",OR('לוח בקרה טכנו-מבצעי'!$B$4="הכל",מלאי!Z248='לוח בקרה טכנו-מבצעי'!$B$4,מלאי!AA248='לוח בקרה טכנו-מבצעי'!$B$4,מלאי!AB248='לוח בקרה טכנו-מבצעי'!$B$4,מלאי!AC248='לוח בקרה טכנו-מבצעי'!$B$4),OR('לוח בקרה טכנו-מבצעי'!$B$5="הכל",מלאי!A248='לוח בקרה טכנו-מבצעי'!$B$5),OR('לוח בקרה טכנו-מבצעי'!$B$6="הכל",מלאי!B248='לוח בקרה טכנו-מבצעי'!$B$6),OR('לוח בקרה טכנו-מבצעי'!$B$7="הכל",מלאי!F248='לוח בקרה טכנו-מבצעי'!$B$7,מלאי!G248='לוח בקרה טכנו-מבצעי'!$B$7),OR('לוח בקרה טכנו-מבצעי'!$B$8="הכל",מלאי!T248='לוח בקרה טכנו-מבצעי'!$B$8),OR('לוח בקרה טכנו-מבצעי'!$B$9="הכל",מלאי!Q248='לוח בקרה טכנו-מבצעי'!$B$9),OR('לוח בקרה טכנו-מבצעי'!$E$4="הכל",מלאי!J248='לוח בקרה טכנו-מבצעי'!$E$4),OR('לוח בקרה טכנו-מבצעי'!$E$5="הכל",מלאי!L248='לוח בקרה טכנו-מבצעי'!$E$5),OR('לוח בקרה טכנו-מבצעי'!$E$6="הכל",מלאי!O248='לוח בקרה טכנו-מבצעי'!$E$6),OR('לוח בקרה טכנו-מבצעי'!$E$7="הכל",מלאי!R248='לוח בקרה טכנו-מבצעי'!$E$7),OR('לוח בקרה טכנו-מבצעי'!$E$8="הכל",'לוח בקרה טכנו-מבצעי'!$E$8="",מלאי!W248='לוח בקרה טכנו-מבצעי'!$E$8),OR('לוח בקרה טכנו-מבצעי'!$E$9="הכל",'לוח בקרה טכנו-מבצעי'!$E$9="",ISNUMBER(SEARCH('לוח בקרה טכנו-מבצעי'!$E$9,מלאי!C248))),OR('לוח בקרה טכנו-מבצעי'!$B$10="הכל",מלאי!#REF!='לוח בקרה טכנו-מבצעי'!$B$10)),1,0)</f>
        <v>#REF!</v>
      </c>
      <c r="AF248" t="str">
        <f>IF(AD248=1,COUNTIF($AD$3:$AD248,1),"")</f>
        <v/>
      </c>
      <c r="AG248" t="e">
        <f>IF(AE248=1,COUNTIF($AE$3:$AE248,1),"")</f>
        <v>#REF!</v>
      </c>
    </row>
    <row r="249" spans="1:33" ht="15" customHeight="1" x14ac:dyDescent="0.25">
      <c r="A249" s="19"/>
      <c r="B249" s="19"/>
      <c r="C249" s="19"/>
      <c r="D249" s="19"/>
      <c r="E249" s="19" t="str">
        <f>IFERROR(INDEX(הגדרות!$I$2:$I$47,MATCH(B249,הגדרות!$H$2:$H$47,0)),"")</f>
        <v/>
      </c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t="str">
        <f>IFERROR(INDEX(הגדרות!$B$2:$B$17,MATCH(H249,הגדרות!$A$2:$A$17,0)),"")</f>
        <v/>
      </c>
      <c r="AA249" t="str">
        <f>IFERROR(INDEX(הגדרות!$C$2:$C$17,MATCH(H249,הגדרות!$A$2:$A$17,0)),"")</f>
        <v/>
      </c>
      <c r="AB249" t="str">
        <f>IFERROR(INDEX(הגדרות!$B$2:$B$17,MATCH(I249,הגדרות!$A$2:$A$17,0)),"")</f>
        <v/>
      </c>
      <c r="AC249" t="str">
        <f>IFERROR(INDEX(הגדרות!$C$2:$C$17,MATCH(I249,הגדרות!$A$2:$A$17,0)),"")</f>
        <v/>
      </c>
      <c r="AD249">
        <f>IF(AND(מלאי!D249&lt;&gt;"",OR('לוח בקרה'!$B$4="הכל",מלאי!Z249='לוח בקרה'!$B$4,מלאי!AA249='לוח בקרה'!$B$4,מלאי!AB249='לוח בקרה'!$B$4,מלאי!AC249='לוח בקרה'!$B$4),OR('לוח בקרה'!$B$5="הכל",מלאי!A249='לוח בקרה'!$B$5),OR('לוח בקרה'!$B$6="הכל",מלאי!B249='לוח בקרה'!$B$6),OR('לוח בקרה'!$B$7="הכל",מלאי!F249='לוח בקרה'!$B$7,מלאי!G249='לוח בקרה'!$B$7),OR('לוח בקרה'!$B$8="הכל",מלאי!T249='לוח בקרה'!$B$8),OR('לוח בקרה'!$B$9="הכל",מלאי!Q249='לוח בקרה'!$B$9),OR('לוח בקרה'!$E$4="הכל",מלאי!J249='לוח בקרה'!$E$4),OR('לוח בקרה'!$E$5="הכל",מלאי!L249='לוח בקרה'!$E$5),OR('לוח בקרה'!$E$6="הכל",מלאי!O249='לוח בקרה'!$E$6),OR('לוח בקרה'!$E$7="הכל",מלאי!R249='לוח בקרה'!$E$7),OR('לוח בקרה'!$E$8="הכל",'לוח בקרה'!$E$8="",מלאי!W249='לוח בקרה'!$E$8),OR('לוח בקרה'!$E$9="הכל",'לוח בקרה'!$E$9="",ISNUMBER(SEARCH('לוח בקרה'!$E$9,מלאי!C249)))),1,0)</f>
        <v>0</v>
      </c>
      <c r="AE249" t="e">
        <f>IF(AND(מלאי!D249&lt;&gt;"",OR('לוח בקרה טכנו-מבצעי'!$B$4="הכל",מלאי!Z249='לוח בקרה טכנו-מבצעי'!$B$4,מלאי!AA249='לוח בקרה טכנו-מבצעי'!$B$4,מלאי!AB249='לוח בקרה טכנו-מבצעי'!$B$4,מלאי!AC249='לוח בקרה טכנו-מבצעי'!$B$4),OR('לוח בקרה טכנו-מבצעי'!$B$5="הכל",מלאי!A249='לוח בקרה טכנו-מבצעי'!$B$5),OR('לוח בקרה טכנו-מבצעי'!$B$6="הכל",מלאי!B249='לוח בקרה טכנו-מבצעי'!$B$6),OR('לוח בקרה טכנו-מבצעי'!$B$7="הכל",מלאי!F249='לוח בקרה טכנו-מבצעי'!$B$7,מלאי!G249='לוח בקרה טכנו-מבצעי'!$B$7),OR('לוח בקרה טכנו-מבצעי'!$B$8="הכל",מלאי!T249='לוח בקרה טכנו-מבצעי'!$B$8),OR('לוח בקרה טכנו-מבצעי'!$B$9="הכל",מלאי!Q249='לוח בקרה טכנו-מבצעי'!$B$9),OR('לוח בקרה טכנו-מבצעי'!$E$4="הכל",מלאי!J249='לוח בקרה טכנו-מבצעי'!$E$4),OR('לוח בקרה טכנו-מבצעי'!$E$5="הכל",מלאי!L249='לוח בקרה טכנו-מבצעי'!$E$5),OR('לוח בקרה טכנו-מבצעי'!$E$6="הכל",מלאי!O249='לוח בקרה טכנו-מבצעי'!$E$6),OR('לוח בקרה טכנו-מבצעי'!$E$7="הכל",מלאי!R249='לוח בקרה טכנו-מבצעי'!$E$7),OR('לוח בקרה טכנו-מבצעי'!$E$8="הכל",'לוח בקרה טכנו-מבצעי'!$E$8="",מלאי!W249='לוח בקרה טכנו-מבצעי'!$E$8),OR('לוח בקרה טכנו-מבצעי'!$E$9="הכל",'לוח בקרה טכנו-מבצעי'!$E$9="",ISNUMBER(SEARCH('לוח בקרה טכנו-מבצעי'!$E$9,מלאי!C249))),OR('לוח בקרה טכנו-מבצעי'!$B$10="הכל",מלאי!#REF!='לוח בקרה טכנו-מבצעי'!$B$10)),1,0)</f>
        <v>#REF!</v>
      </c>
      <c r="AF249" t="str">
        <f>IF(AD249=1,COUNTIF($AD$3:$AD249,1),"")</f>
        <v/>
      </c>
      <c r="AG249" t="e">
        <f>IF(AE249=1,COUNTIF($AE$3:$AE249,1),"")</f>
        <v>#REF!</v>
      </c>
    </row>
    <row r="250" spans="1:33" ht="15" customHeight="1" x14ac:dyDescent="0.25">
      <c r="A250" s="17"/>
      <c r="B250" s="17"/>
      <c r="C250" s="17"/>
      <c r="D250" s="17"/>
      <c r="E250" s="17" t="str">
        <f>IFERROR(INDEX(הגדרות!$I$2:$I$47,MATCH(B250,הגדרות!$H$2:$H$47,0)),"")</f>
        <v/>
      </c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t="str">
        <f>IFERROR(INDEX(הגדרות!$B$2:$B$17,MATCH(H250,הגדרות!$A$2:$A$17,0)),"")</f>
        <v/>
      </c>
      <c r="AA250" t="str">
        <f>IFERROR(INDEX(הגדרות!$C$2:$C$17,MATCH(H250,הגדרות!$A$2:$A$17,0)),"")</f>
        <v/>
      </c>
      <c r="AB250" t="str">
        <f>IFERROR(INDEX(הגדרות!$B$2:$B$17,MATCH(I250,הגדרות!$A$2:$A$17,0)),"")</f>
        <v/>
      </c>
      <c r="AC250" t="str">
        <f>IFERROR(INDEX(הגדרות!$C$2:$C$17,MATCH(I250,הגדרות!$A$2:$A$17,0)),"")</f>
        <v/>
      </c>
      <c r="AD250">
        <f>IF(AND(מלאי!D250&lt;&gt;"",OR('לוח בקרה'!$B$4="הכל",מלאי!Z250='לוח בקרה'!$B$4,מלאי!AA250='לוח בקרה'!$B$4,מלאי!AB250='לוח בקרה'!$B$4,מלאי!AC250='לוח בקרה'!$B$4),OR('לוח בקרה'!$B$5="הכל",מלאי!A250='לוח בקרה'!$B$5),OR('לוח בקרה'!$B$6="הכל",מלאי!B250='לוח בקרה'!$B$6),OR('לוח בקרה'!$B$7="הכל",מלאי!F250='לוח בקרה'!$B$7,מלאי!G250='לוח בקרה'!$B$7),OR('לוח בקרה'!$B$8="הכל",מלאי!T250='לוח בקרה'!$B$8),OR('לוח בקרה'!$B$9="הכל",מלאי!Q250='לוח בקרה'!$B$9),OR('לוח בקרה'!$E$4="הכל",מלאי!J250='לוח בקרה'!$E$4),OR('לוח בקרה'!$E$5="הכל",מלאי!L250='לוח בקרה'!$E$5),OR('לוח בקרה'!$E$6="הכל",מלאי!O250='לוח בקרה'!$E$6),OR('לוח בקרה'!$E$7="הכל",מלאי!R250='לוח בקרה'!$E$7),OR('לוח בקרה'!$E$8="הכל",'לוח בקרה'!$E$8="",מלאי!W250='לוח בקרה'!$E$8),OR('לוח בקרה'!$E$9="הכל",'לוח בקרה'!$E$9="",ISNUMBER(SEARCH('לוח בקרה'!$E$9,מלאי!C250)))),1,0)</f>
        <v>0</v>
      </c>
      <c r="AE250" t="e">
        <f>IF(AND(מלאי!D250&lt;&gt;"",OR('לוח בקרה טכנו-מבצעי'!$B$4="הכל",מלאי!Z250='לוח בקרה טכנו-מבצעי'!$B$4,מלאי!AA250='לוח בקרה טכנו-מבצעי'!$B$4,מלאי!AB250='לוח בקרה טכנו-מבצעי'!$B$4,מלאי!AC250='לוח בקרה טכנו-מבצעי'!$B$4),OR('לוח בקרה טכנו-מבצעי'!$B$5="הכל",מלאי!A250='לוח בקרה טכנו-מבצעי'!$B$5),OR('לוח בקרה טכנו-מבצעי'!$B$6="הכל",מלאי!B250='לוח בקרה טכנו-מבצעי'!$B$6),OR('לוח בקרה טכנו-מבצעי'!$B$7="הכל",מלאי!F250='לוח בקרה טכנו-מבצעי'!$B$7,מלאי!G250='לוח בקרה טכנו-מבצעי'!$B$7),OR('לוח בקרה טכנו-מבצעי'!$B$8="הכל",מלאי!T250='לוח בקרה טכנו-מבצעי'!$B$8),OR('לוח בקרה טכנו-מבצעי'!$B$9="הכל",מלאי!Q250='לוח בקרה טכנו-מבצעי'!$B$9),OR('לוח בקרה טכנו-מבצעי'!$E$4="הכל",מלאי!J250='לוח בקרה טכנו-מבצעי'!$E$4),OR('לוח בקרה טכנו-מבצעי'!$E$5="הכל",מלאי!L250='לוח בקרה טכנו-מבצעי'!$E$5),OR('לוח בקרה טכנו-מבצעי'!$E$6="הכל",מלאי!O250='לוח בקרה טכנו-מבצעי'!$E$6),OR('לוח בקרה טכנו-מבצעי'!$E$7="הכל",מלאי!R250='לוח בקרה טכנו-מבצעי'!$E$7),OR('לוח בקרה טכנו-מבצעי'!$E$8="הכל",'לוח בקרה טכנו-מבצעי'!$E$8="",מלאי!W250='לוח בקרה טכנו-מבצעי'!$E$8),OR('לוח בקרה טכנו-מבצעי'!$E$9="הכל",'לוח בקרה טכנו-מבצעי'!$E$9="",ISNUMBER(SEARCH('לוח בקרה טכנו-מבצעי'!$E$9,מלאי!C250))),OR('לוח בקרה טכנו-מבצעי'!$B$10="הכל",מלאי!#REF!='לוח בקרה טכנו-מבצעי'!$B$10)),1,0)</f>
        <v>#REF!</v>
      </c>
      <c r="AF250" t="str">
        <f>IF(AD250=1,COUNTIF($AD$3:$AD250,1),"")</f>
        <v/>
      </c>
      <c r="AG250" t="e">
        <f>IF(AE250=1,COUNTIF($AE$3:$AE250,1),"")</f>
        <v>#REF!</v>
      </c>
    </row>
    <row r="251" spans="1:33" ht="15" customHeight="1" x14ac:dyDescent="0.25">
      <c r="A251" s="19"/>
      <c r="B251" s="19"/>
      <c r="C251" s="19"/>
      <c r="D251" s="19"/>
      <c r="E251" s="19" t="str">
        <f>IFERROR(INDEX(הגדרות!$I$2:$I$47,MATCH(B251,הגדרות!$H$2:$H$47,0)),"")</f>
        <v/>
      </c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t="str">
        <f>IFERROR(INDEX(הגדרות!$B$2:$B$17,MATCH(H251,הגדרות!$A$2:$A$17,0)),"")</f>
        <v/>
      </c>
      <c r="AA251" t="str">
        <f>IFERROR(INDEX(הגדרות!$C$2:$C$17,MATCH(H251,הגדרות!$A$2:$A$17,0)),"")</f>
        <v/>
      </c>
      <c r="AB251" t="str">
        <f>IFERROR(INDEX(הגדרות!$B$2:$B$17,MATCH(I251,הגדרות!$A$2:$A$17,0)),"")</f>
        <v/>
      </c>
      <c r="AC251" t="str">
        <f>IFERROR(INDEX(הגדרות!$C$2:$C$17,MATCH(I251,הגדרות!$A$2:$A$17,0)),"")</f>
        <v/>
      </c>
      <c r="AD251">
        <f>IF(AND(מלאי!D251&lt;&gt;"",OR('לוח בקרה'!$B$4="הכל",מלאי!Z251='לוח בקרה'!$B$4,מלאי!AA251='לוח בקרה'!$B$4,מלאי!AB251='לוח בקרה'!$B$4,מלאי!AC251='לוח בקרה'!$B$4),OR('לוח בקרה'!$B$5="הכל",מלאי!A251='לוח בקרה'!$B$5),OR('לוח בקרה'!$B$6="הכל",מלאי!B251='לוח בקרה'!$B$6),OR('לוח בקרה'!$B$7="הכל",מלאי!F251='לוח בקרה'!$B$7,מלאי!G251='לוח בקרה'!$B$7),OR('לוח בקרה'!$B$8="הכל",מלאי!T251='לוח בקרה'!$B$8),OR('לוח בקרה'!$B$9="הכל",מלאי!Q251='לוח בקרה'!$B$9),OR('לוח בקרה'!$E$4="הכל",מלאי!J251='לוח בקרה'!$E$4),OR('לוח בקרה'!$E$5="הכל",מלאי!L251='לוח בקרה'!$E$5),OR('לוח בקרה'!$E$6="הכל",מלאי!O251='לוח בקרה'!$E$6),OR('לוח בקרה'!$E$7="הכל",מלאי!R251='לוח בקרה'!$E$7),OR('לוח בקרה'!$E$8="הכל",'לוח בקרה'!$E$8="",מלאי!W251='לוח בקרה'!$E$8),OR('לוח בקרה'!$E$9="הכל",'לוח בקרה'!$E$9="",ISNUMBER(SEARCH('לוח בקרה'!$E$9,מלאי!C251)))),1,0)</f>
        <v>0</v>
      </c>
      <c r="AE251" t="e">
        <f>IF(AND(מלאי!D251&lt;&gt;"",OR('לוח בקרה טכנו-מבצעי'!$B$4="הכל",מלאי!Z251='לוח בקרה טכנו-מבצעי'!$B$4,מלאי!AA251='לוח בקרה טכנו-מבצעי'!$B$4,מלאי!AB251='לוח בקרה טכנו-מבצעי'!$B$4,מלאי!AC251='לוח בקרה טכנו-מבצעי'!$B$4),OR('לוח בקרה טכנו-מבצעי'!$B$5="הכל",מלאי!A251='לוח בקרה טכנו-מבצעי'!$B$5),OR('לוח בקרה טכנו-מבצעי'!$B$6="הכל",מלאי!B251='לוח בקרה טכנו-מבצעי'!$B$6),OR('לוח בקרה טכנו-מבצעי'!$B$7="הכל",מלאי!F251='לוח בקרה טכנו-מבצעי'!$B$7,מלאי!G251='לוח בקרה טכנו-מבצעי'!$B$7),OR('לוח בקרה טכנו-מבצעי'!$B$8="הכל",מלאי!T251='לוח בקרה טכנו-מבצעי'!$B$8),OR('לוח בקרה טכנו-מבצעי'!$B$9="הכל",מלאי!Q251='לוח בקרה טכנו-מבצעי'!$B$9),OR('לוח בקרה טכנו-מבצעי'!$E$4="הכל",מלאי!J251='לוח בקרה טכנו-מבצעי'!$E$4),OR('לוח בקרה טכנו-מבצעי'!$E$5="הכל",מלאי!L251='לוח בקרה טכנו-מבצעי'!$E$5),OR('לוח בקרה טכנו-מבצעי'!$E$6="הכל",מלאי!O251='לוח בקרה טכנו-מבצעי'!$E$6),OR('לוח בקרה טכנו-מבצעי'!$E$7="הכל",מלאי!R251='לוח בקרה טכנו-מבצעי'!$E$7),OR('לוח בקרה טכנו-מבצעי'!$E$8="הכל",'לוח בקרה טכנו-מבצעי'!$E$8="",מלאי!W251='לוח בקרה טכנו-מבצעי'!$E$8),OR('לוח בקרה טכנו-מבצעי'!$E$9="הכל",'לוח בקרה טכנו-מבצעי'!$E$9="",ISNUMBER(SEARCH('לוח בקרה טכנו-מבצעי'!$E$9,מלאי!C251))),OR('לוח בקרה טכנו-מבצעי'!$B$10="הכל",מלאי!#REF!='לוח בקרה טכנו-מבצעי'!$B$10)),1,0)</f>
        <v>#REF!</v>
      </c>
      <c r="AF251" t="str">
        <f>IF(AD251=1,COUNTIF($AD$3:$AD251,1),"")</f>
        <v/>
      </c>
      <c r="AG251" t="e">
        <f>IF(AE251=1,COUNTIF($AE$3:$AE251,1),"")</f>
        <v>#REF!</v>
      </c>
    </row>
    <row r="252" spans="1:33" ht="15" customHeight="1" x14ac:dyDescent="0.25">
      <c r="A252" s="17"/>
      <c r="B252" s="17"/>
      <c r="C252" s="17"/>
      <c r="D252" s="17"/>
      <c r="E252" s="17" t="str">
        <f>IFERROR(INDEX(הגדרות!$I$2:$I$47,MATCH(B252,הגדרות!$H$2:$H$47,0)),"")</f>
        <v/>
      </c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t="str">
        <f>IFERROR(INDEX(הגדרות!$B$2:$B$17,MATCH(H252,הגדרות!$A$2:$A$17,0)),"")</f>
        <v/>
      </c>
      <c r="AA252" t="str">
        <f>IFERROR(INDEX(הגדרות!$C$2:$C$17,MATCH(H252,הגדרות!$A$2:$A$17,0)),"")</f>
        <v/>
      </c>
      <c r="AB252" t="str">
        <f>IFERROR(INDEX(הגדרות!$B$2:$B$17,MATCH(I252,הגדרות!$A$2:$A$17,0)),"")</f>
        <v/>
      </c>
      <c r="AC252" t="str">
        <f>IFERROR(INDEX(הגדרות!$C$2:$C$17,MATCH(I252,הגדרות!$A$2:$A$17,0)),"")</f>
        <v/>
      </c>
      <c r="AD252">
        <f>IF(AND(מלאי!D252&lt;&gt;"",OR('לוח בקרה'!$B$4="הכל",מלאי!Z252='לוח בקרה'!$B$4,מלאי!AA252='לוח בקרה'!$B$4,מלאי!AB252='לוח בקרה'!$B$4,מלאי!AC252='לוח בקרה'!$B$4),OR('לוח בקרה'!$B$5="הכל",מלאי!A252='לוח בקרה'!$B$5),OR('לוח בקרה'!$B$6="הכל",מלאי!B252='לוח בקרה'!$B$6),OR('לוח בקרה'!$B$7="הכל",מלאי!F252='לוח בקרה'!$B$7,מלאי!G252='לוח בקרה'!$B$7),OR('לוח בקרה'!$B$8="הכל",מלאי!T252='לוח בקרה'!$B$8),OR('לוח בקרה'!$B$9="הכל",מלאי!Q252='לוח בקרה'!$B$9),OR('לוח בקרה'!$E$4="הכל",מלאי!J252='לוח בקרה'!$E$4),OR('לוח בקרה'!$E$5="הכל",מלאי!L252='לוח בקרה'!$E$5),OR('לוח בקרה'!$E$6="הכל",מלאי!O252='לוח בקרה'!$E$6),OR('לוח בקרה'!$E$7="הכל",מלאי!R252='לוח בקרה'!$E$7),OR('לוח בקרה'!$E$8="הכל",'לוח בקרה'!$E$8="",מלאי!W252='לוח בקרה'!$E$8),OR('לוח בקרה'!$E$9="הכל",'לוח בקרה'!$E$9="",ISNUMBER(SEARCH('לוח בקרה'!$E$9,מלאי!C252)))),1,0)</f>
        <v>0</v>
      </c>
      <c r="AE252" t="e">
        <f>IF(AND(מלאי!D252&lt;&gt;"",OR('לוח בקרה טכנו-מבצעי'!$B$4="הכל",מלאי!Z252='לוח בקרה טכנו-מבצעי'!$B$4,מלאי!AA252='לוח בקרה טכנו-מבצעי'!$B$4,מלאי!AB252='לוח בקרה טכנו-מבצעי'!$B$4,מלאי!AC252='לוח בקרה טכנו-מבצעי'!$B$4),OR('לוח בקרה טכנו-מבצעי'!$B$5="הכל",מלאי!A252='לוח בקרה טכנו-מבצעי'!$B$5),OR('לוח בקרה טכנו-מבצעי'!$B$6="הכל",מלאי!B252='לוח בקרה טכנו-מבצעי'!$B$6),OR('לוח בקרה טכנו-מבצעי'!$B$7="הכל",מלאי!F252='לוח בקרה טכנו-מבצעי'!$B$7,מלאי!G252='לוח בקרה טכנו-מבצעי'!$B$7),OR('לוח בקרה טכנו-מבצעי'!$B$8="הכל",מלאי!T252='לוח בקרה טכנו-מבצעי'!$B$8),OR('לוח בקרה טכנו-מבצעי'!$B$9="הכל",מלאי!Q252='לוח בקרה טכנו-מבצעי'!$B$9),OR('לוח בקרה טכנו-מבצעי'!$E$4="הכל",מלאי!J252='לוח בקרה טכנו-מבצעי'!$E$4),OR('לוח בקרה טכנו-מבצעי'!$E$5="הכל",מלאי!L252='לוח בקרה טכנו-מבצעי'!$E$5),OR('לוח בקרה טכנו-מבצעי'!$E$6="הכל",מלאי!O252='לוח בקרה טכנו-מבצעי'!$E$6),OR('לוח בקרה טכנו-מבצעי'!$E$7="הכל",מלאי!R252='לוח בקרה טכנו-מבצעי'!$E$7),OR('לוח בקרה טכנו-מבצעי'!$E$8="הכל",'לוח בקרה טכנו-מבצעי'!$E$8="",מלאי!W252='לוח בקרה טכנו-מבצעי'!$E$8),OR('לוח בקרה טכנו-מבצעי'!$E$9="הכל",'לוח בקרה טכנו-מבצעי'!$E$9="",ISNUMBER(SEARCH('לוח בקרה טכנו-מבצעי'!$E$9,מלאי!C252))),OR('לוח בקרה טכנו-מבצעי'!$B$10="הכל",מלאי!#REF!='לוח בקרה טכנו-מבצעי'!$B$10)),1,0)</f>
        <v>#REF!</v>
      </c>
      <c r="AF252" t="str">
        <f>IF(AD252=1,COUNTIF($AD$3:$AD252,1),"")</f>
        <v/>
      </c>
      <c r="AG252" t="e">
        <f>IF(AE252=1,COUNTIF($AE$3:$AE252,1),"")</f>
        <v>#REF!</v>
      </c>
    </row>
    <row r="253" spans="1:33" ht="15" customHeight="1" x14ac:dyDescent="0.25">
      <c r="A253" s="19"/>
      <c r="B253" s="19"/>
      <c r="C253" s="19"/>
      <c r="D253" s="19"/>
      <c r="E253" s="19" t="str">
        <f>IFERROR(INDEX(הגדרות!$I$2:$I$47,MATCH(B253,הגדרות!$H$2:$H$47,0)),"")</f>
        <v/>
      </c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t="str">
        <f>IFERROR(INDEX(הגדרות!$B$2:$B$17,MATCH(H253,הגדרות!$A$2:$A$17,0)),"")</f>
        <v/>
      </c>
      <c r="AA253" t="str">
        <f>IFERROR(INDEX(הגדרות!$C$2:$C$17,MATCH(H253,הגדרות!$A$2:$A$17,0)),"")</f>
        <v/>
      </c>
      <c r="AB253" t="str">
        <f>IFERROR(INDEX(הגדרות!$B$2:$B$17,MATCH(I253,הגדרות!$A$2:$A$17,0)),"")</f>
        <v/>
      </c>
      <c r="AC253" t="str">
        <f>IFERROR(INDEX(הגדרות!$C$2:$C$17,MATCH(I253,הגדרות!$A$2:$A$17,0)),"")</f>
        <v/>
      </c>
      <c r="AD253">
        <f>IF(AND(מלאי!D253&lt;&gt;"",OR('לוח בקרה'!$B$4="הכל",מלאי!Z253='לוח בקרה'!$B$4,מלאי!AA253='לוח בקרה'!$B$4,מלאי!AB253='לוח בקרה'!$B$4,מלאי!AC253='לוח בקרה'!$B$4),OR('לוח בקרה'!$B$5="הכל",מלאי!A253='לוח בקרה'!$B$5),OR('לוח בקרה'!$B$6="הכל",מלאי!B253='לוח בקרה'!$B$6),OR('לוח בקרה'!$B$7="הכל",מלאי!F253='לוח בקרה'!$B$7,מלאי!G253='לוח בקרה'!$B$7),OR('לוח בקרה'!$B$8="הכל",מלאי!T253='לוח בקרה'!$B$8),OR('לוח בקרה'!$B$9="הכל",מלאי!Q253='לוח בקרה'!$B$9),OR('לוח בקרה'!$E$4="הכל",מלאי!J253='לוח בקרה'!$E$4),OR('לוח בקרה'!$E$5="הכל",מלאי!L253='לוח בקרה'!$E$5),OR('לוח בקרה'!$E$6="הכל",מלאי!O253='לוח בקרה'!$E$6),OR('לוח בקרה'!$E$7="הכל",מלאי!R253='לוח בקרה'!$E$7),OR('לוח בקרה'!$E$8="הכל",'לוח בקרה'!$E$8="",מלאי!W253='לוח בקרה'!$E$8),OR('לוח בקרה'!$E$9="הכל",'לוח בקרה'!$E$9="",ISNUMBER(SEARCH('לוח בקרה'!$E$9,מלאי!C253)))),1,0)</f>
        <v>0</v>
      </c>
      <c r="AE253" t="e">
        <f>IF(AND(מלאי!D253&lt;&gt;"",OR('לוח בקרה טכנו-מבצעי'!$B$4="הכל",מלאי!Z253='לוח בקרה טכנו-מבצעי'!$B$4,מלאי!AA253='לוח בקרה טכנו-מבצעי'!$B$4,מלאי!AB253='לוח בקרה טכנו-מבצעי'!$B$4,מלאי!AC253='לוח בקרה טכנו-מבצעי'!$B$4),OR('לוח בקרה טכנו-מבצעי'!$B$5="הכל",מלאי!A253='לוח בקרה טכנו-מבצעי'!$B$5),OR('לוח בקרה טכנו-מבצעי'!$B$6="הכל",מלאי!B253='לוח בקרה טכנו-מבצעי'!$B$6),OR('לוח בקרה טכנו-מבצעי'!$B$7="הכל",מלאי!F253='לוח בקרה טכנו-מבצעי'!$B$7,מלאי!G253='לוח בקרה טכנו-מבצעי'!$B$7),OR('לוח בקרה טכנו-מבצעי'!$B$8="הכל",מלאי!T253='לוח בקרה טכנו-מבצעי'!$B$8),OR('לוח בקרה טכנו-מבצעי'!$B$9="הכל",מלאי!Q253='לוח בקרה טכנו-מבצעי'!$B$9),OR('לוח בקרה טכנו-מבצעי'!$E$4="הכל",מלאי!J253='לוח בקרה טכנו-מבצעי'!$E$4),OR('לוח בקרה טכנו-מבצעי'!$E$5="הכל",מלאי!L253='לוח בקרה טכנו-מבצעי'!$E$5),OR('לוח בקרה טכנו-מבצעי'!$E$6="הכל",מלאי!O253='לוח בקרה טכנו-מבצעי'!$E$6),OR('לוח בקרה טכנו-מבצעי'!$E$7="הכל",מלאי!R253='לוח בקרה טכנו-מבצעי'!$E$7),OR('לוח בקרה טכנו-מבצעי'!$E$8="הכל",'לוח בקרה טכנו-מבצעי'!$E$8="",מלאי!W253='לוח בקרה טכנו-מבצעי'!$E$8),OR('לוח בקרה טכנו-מבצעי'!$E$9="הכל",'לוח בקרה טכנו-מבצעי'!$E$9="",ISNUMBER(SEARCH('לוח בקרה טכנו-מבצעי'!$E$9,מלאי!C253))),OR('לוח בקרה טכנו-מבצעי'!$B$10="הכל",מלאי!#REF!='לוח בקרה טכנו-מבצעי'!$B$10)),1,0)</f>
        <v>#REF!</v>
      </c>
      <c r="AF253" t="str">
        <f>IF(AD253=1,COUNTIF($AD$3:$AD253,1),"")</f>
        <v/>
      </c>
      <c r="AG253" t="e">
        <f>IF(AE253=1,COUNTIF($AE$3:$AE253,1),"")</f>
        <v>#REF!</v>
      </c>
    </row>
    <row r="254" spans="1:33" ht="15" customHeight="1" x14ac:dyDescent="0.25">
      <c r="A254" s="17"/>
      <c r="B254" s="17"/>
      <c r="C254" s="17"/>
      <c r="D254" s="17"/>
      <c r="E254" s="17" t="str">
        <f>IFERROR(INDEX(הגדרות!$I$2:$I$47,MATCH(B254,הגדרות!$H$2:$H$47,0)),"")</f>
        <v/>
      </c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t="str">
        <f>IFERROR(INDEX(הגדרות!$B$2:$B$17,MATCH(H254,הגדרות!$A$2:$A$17,0)),"")</f>
        <v/>
      </c>
      <c r="AA254" t="str">
        <f>IFERROR(INDEX(הגדרות!$C$2:$C$17,MATCH(H254,הגדרות!$A$2:$A$17,0)),"")</f>
        <v/>
      </c>
      <c r="AB254" t="str">
        <f>IFERROR(INDEX(הגדרות!$B$2:$B$17,MATCH(I254,הגדרות!$A$2:$A$17,0)),"")</f>
        <v/>
      </c>
      <c r="AC254" t="str">
        <f>IFERROR(INDEX(הגדרות!$C$2:$C$17,MATCH(I254,הגדרות!$A$2:$A$17,0)),"")</f>
        <v/>
      </c>
      <c r="AD254">
        <f>IF(AND(מלאי!D254&lt;&gt;"",OR('לוח בקרה'!$B$4="הכל",מלאי!Z254='לוח בקרה'!$B$4,מלאי!AA254='לוח בקרה'!$B$4,מלאי!AB254='לוח בקרה'!$B$4,מלאי!AC254='לוח בקרה'!$B$4),OR('לוח בקרה'!$B$5="הכל",מלאי!A254='לוח בקרה'!$B$5),OR('לוח בקרה'!$B$6="הכל",מלאי!B254='לוח בקרה'!$B$6),OR('לוח בקרה'!$B$7="הכל",מלאי!F254='לוח בקרה'!$B$7,מלאי!G254='לוח בקרה'!$B$7),OR('לוח בקרה'!$B$8="הכל",מלאי!T254='לוח בקרה'!$B$8),OR('לוח בקרה'!$B$9="הכל",מלאי!Q254='לוח בקרה'!$B$9),OR('לוח בקרה'!$E$4="הכל",מלאי!J254='לוח בקרה'!$E$4),OR('לוח בקרה'!$E$5="הכל",מלאי!L254='לוח בקרה'!$E$5),OR('לוח בקרה'!$E$6="הכל",מלאי!O254='לוח בקרה'!$E$6),OR('לוח בקרה'!$E$7="הכל",מלאי!R254='לוח בקרה'!$E$7),OR('לוח בקרה'!$E$8="הכל",'לוח בקרה'!$E$8="",מלאי!W254='לוח בקרה'!$E$8),OR('לוח בקרה'!$E$9="הכל",'לוח בקרה'!$E$9="",ISNUMBER(SEARCH('לוח בקרה'!$E$9,מלאי!C254)))),1,0)</f>
        <v>0</v>
      </c>
      <c r="AE254" t="e">
        <f>IF(AND(מלאי!D254&lt;&gt;"",OR('לוח בקרה טכנו-מבצעי'!$B$4="הכל",מלאי!Z254='לוח בקרה טכנו-מבצעי'!$B$4,מלאי!AA254='לוח בקרה טכנו-מבצעי'!$B$4,מלאי!AB254='לוח בקרה טכנו-מבצעי'!$B$4,מלאי!AC254='לוח בקרה טכנו-מבצעי'!$B$4),OR('לוח בקרה טכנו-מבצעי'!$B$5="הכל",מלאי!A254='לוח בקרה טכנו-מבצעי'!$B$5),OR('לוח בקרה טכנו-מבצעי'!$B$6="הכל",מלאי!B254='לוח בקרה טכנו-מבצעי'!$B$6),OR('לוח בקרה טכנו-מבצעי'!$B$7="הכל",מלאי!F254='לוח בקרה טכנו-מבצעי'!$B$7,מלאי!G254='לוח בקרה טכנו-מבצעי'!$B$7),OR('לוח בקרה טכנו-מבצעי'!$B$8="הכל",מלאי!T254='לוח בקרה טכנו-מבצעי'!$B$8),OR('לוח בקרה טכנו-מבצעי'!$B$9="הכל",מלאי!Q254='לוח בקרה טכנו-מבצעי'!$B$9),OR('לוח בקרה טכנו-מבצעי'!$E$4="הכל",מלאי!J254='לוח בקרה טכנו-מבצעי'!$E$4),OR('לוח בקרה טכנו-מבצעי'!$E$5="הכל",מלאי!L254='לוח בקרה טכנו-מבצעי'!$E$5),OR('לוח בקרה טכנו-מבצעי'!$E$6="הכל",מלאי!O254='לוח בקרה טכנו-מבצעי'!$E$6),OR('לוח בקרה טכנו-מבצעי'!$E$7="הכל",מלאי!R254='לוח בקרה טכנו-מבצעי'!$E$7),OR('לוח בקרה טכנו-מבצעי'!$E$8="הכל",'לוח בקרה טכנו-מבצעי'!$E$8="",מלאי!W254='לוח בקרה טכנו-מבצעי'!$E$8),OR('לוח בקרה טכנו-מבצעי'!$E$9="הכל",'לוח בקרה טכנו-מבצעי'!$E$9="",ISNUMBER(SEARCH('לוח בקרה טכנו-מבצעי'!$E$9,מלאי!C254))),OR('לוח בקרה טכנו-מבצעי'!$B$10="הכל",מלאי!#REF!='לוח בקרה טכנו-מבצעי'!$B$10)),1,0)</f>
        <v>#REF!</v>
      </c>
      <c r="AF254" t="str">
        <f>IF(AD254=1,COUNTIF($AD$3:$AD254,1),"")</f>
        <v/>
      </c>
      <c r="AG254" t="e">
        <f>IF(AE254=1,COUNTIF($AE$3:$AE254,1),"")</f>
        <v>#REF!</v>
      </c>
    </row>
    <row r="255" spans="1:33" ht="15" customHeight="1" x14ac:dyDescent="0.25">
      <c r="A255" s="19"/>
      <c r="B255" s="19"/>
      <c r="C255" s="19"/>
      <c r="D255" s="19"/>
      <c r="E255" s="19" t="str">
        <f>IFERROR(INDEX(הגדרות!$I$2:$I$47,MATCH(B255,הגדרות!$H$2:$H$47,0)),"")</f>
        <v/>
      </c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t="str">
        <f>IFERROR(INDEX(הגדרות!$B$2:$B$17,MATCH(H255,הגדרות!$A$2:$A$17,0)),"")</f>
        <v/>
      </c>
      <c r="AA255" t="str">
        <f>IFERROR(INDEX(הגדרות!$C$2:$C$17,MATCH(H255,הגדרות!$A$2:$A$17,0)),"")</f>
        <v/>
      </c>
      <c r="AB255" t="str">
        <f>IFERROR(INDEX(הגדרות!$B$2:$B$17,MATCH(I255,הגדרות!$A$2:$A$17,0)),"")</f>
        <v/>
      </c>
      <c r="AC255" t="str">
        <f>IFERROR(INDEX(הגדרות!$C$2:$C$17,MATCH(I255,הגדרות!$A$2:$A$17,0)),"")</f>
        <v/>
      </c>
      <c r="AD255">
        <f>IF(AND(מלאי!D255&lt;&gt;"",OR('לוח בקרה'!$B$4="הכל",מלאי!Z255='לוח בקרה'!$B$4,מלאי!AA255='לוח בקרה'!$B$4,מלאי!AB255='לוח בקרה'!$B$4,מלאי!AC255='לוח בקרה'!$B$4),OR('לוח בקרה'!$B$5="הכל",מלאי!A255='לוח בקרה'!$B$5),OR('לוח בקרה'!$B$6="הכל",מלאי!B255='לוח בקרה'!$B$6),OR('לוח בקרה'!$B$7="הכל",מלאי!F255='לוח בקרה'!$B$7,מלאי!G255='לוח בקרה'!$B$7),OR('לוח בקרה'!$B$8="הכל",מלאי!T255='לוח בקרה'!$B$8),OR('לוח בקרה'!$B$9="הכל",מלאי!Q255='לוח בקרה'!$B$9),OR('לוח בקרה'!$E$4="הכל",מלאי!J255='לוח בקרה'!$E$4),OR('לוח בקרה'!$E$5="הכל",מלאי!L255='לוח בקרה'!$E$5),OR('לוח בקרה'!$E$6="הכל",מלאי!O255='לוח בקרה'!$E$6),OR('לוח בקרה'!$E$7="הכל",מלאי!R255='לוח בקרה'!$E$7),OR('לוח בקרה'!$E$8="הכל",'לוח בקרה'!$E$8="",מלאי!W255='לוח בקרה'!$E$8),OR('לוח בקרה'!$E$9="הכל",'לוח בקרה'!$E$9="",ISNUMBER(SEARCH('לוח בקרה'!$E$9,מלאי!C255)))),1,0)</f>
        <v>0</v>
      </c>
      <c r="AE255" t="e">
        <f>IF(AND(מלאי!D255&lt;&gt;"",OR('לוח בקרה טכנו-מבצעי'!$B$4="הכל",מלאי!Z255='לוח בקרה טכנו-מבצעי'!$B$4,מלאי!AA255='לוח בקרה טכנו-מבצעי'!$B$4,מלאי!AB255='לוח בקרה טכנו-מבצעי'!$B$4,מלאי!AC255='לוח בקרה טכנו-מבצעי'!$B$4),OR('לוח בקרה טכנו-מבצעי'!$B$5="הכל",מלאי!A255='לוח בקרה טכנו-מבצעי'!$B$5),OR('לוח בקרה טכנו-מבצעי'!$B$6="הכל",מלאי!B255='לוח בקרה טכנו-מבצעי'!$B$6),OR('לוח בקרה טכנו-מבצעי'!$B$7="הכל",מלאי!F255='לוח בקרה טכנו-מבצעי'!$B$7,מלאי!G255='לוח בקרה טכנו-מבצעי'!$B$7),OR('לוח בקרה טכנו-מבצעי'!$B$8="הכל",מלאי!T255='לוח בקרה טכנו-מבצעי'!$B$8),OR('לוח בקרה טכנו-מבצעי'!$B$9="הכל",מלאי!Q255='לוח בקרה טכנו-מבצעי'!$B$9),OR('לוח בקרה טכנו-מבצעי'!$E$4="הכל",מלאי!J255='לוח בקרה טכנו-מבצעי'!$E$4),OR('לוח בקרה טכנו-מבצעי'!$E$5="הכל",מלאי!L255='לוח בקרה טכנו-מבצעי'!$E$5),OR('לוח בקרה טכנו-מבצעי'!$E$6="הכל",מלאי!O255='לוח בקרה טכנו-מבצעי'!$E$6),OR('לוח בקרה טכנו-מבצעי'!$E$7="הכל",מלאי!R255='לוח בקרה טכנו-מבצעי'!$E$7),OR('לוח בקרה טכנו-מבצעי'!$E$8="הכל",'לוח בקרה טכנו-מבצעי'!$E$8="",מלאי!W255='לוח בקרה טכנו-מבצעי'!$E$8),OR('לוח בקרה טכנו-מבצעי'!$E$9="הכל",'לוח בקרה טכנו-מבצעי'!$E$9="",ISNUMBER(SEARCH('לוח בקרה טכנו-מבצעי'!$E$9,מלאי!C255))),OR('לוח בקרה טכנו-מבצעי'!$B$10="הכל",מלאי!#REF!='לוח בקרה טכנו-מבצעי'!$B$10)),1,0)</f>
        <v>#REF!</v>
      </c>
      <c r="AF255" t="str">
        <f>IF(AD255=1,COUNTIF($AD$3:$AD255,1),"")</f>
        <v/>
      </c>
      <c r="AG255" t="e">
        <f>IF(AE255=1,COUNTIF($AE$3:$AE255,1),"")</f>
        <v>#REF!</v>
      </c>
    </row>
    <row r="256" spans="1:33" ht="15" customHeight="1" x14ac:dyDescent="0.25">
      <c r="A256" s="17"/>
      <c r="B256" s="17"/>
      <c r="C256" s="17"/>
      <c r="D256" s="17"/>
      <c r="E256" s="17" t="str">
        <f>IFERROR(INDEX(הגדרות!$I$2:$I$47,MATCH(B256,הגדרות!$H$2:$H$47,0)),"")</f>
        <v/>
      </c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t="str">
        <f>IFERROR(INDEX(הגדרות!$B$2:$B$17,MATCH(H256,הגדרות!$A$2:$A$17,0)),"")</f>
        <v/>
      </c>
      <c r="AA256" t="str">
        <f>IFERROR(INDEX(הגדרות!$C$2:$C$17,MATCH(H256,הגדרות!$A$2:$A$17,0)),"")</f>
        <v/>
      </c>
      <c r="AB256" t="str">
        <f>IFERROR(INDEX(הגדרות!$B$2:$B$17,MATCH(I256,הגדרות!$A$2:$A$17,0)),"")</f>
        <v/>
      </c>
      <c r="AC256" t="str">
        <f>IFERROR(INDEX(הגדרות!$C$2:$C$17,MATCH(I256,הגדרות!$A$2:$A$17,0)),"")</f>
        <v/>
      </c>
      <c r="AD256">
        <f>IF(AND(מלאי!D256&lt;&gt;"",OR('לוח בקרה'!$B$4="הכל",מלאי!Z256='לוח בקרה'!$B$4,מלאי!AA256='לוח בקרה'!$B$4,מלאי!AB256='לוח בקרה'!$B$4,מלאי!AC256='לוח בקרה'!$B$4),OR('לוח בקרה'!$B$5="הכל",מלאי!A256='לוח בקרה'!$B$5),OR('לוח בקרה'!$B$6="הכל",מלאי!B256='לוח בקרה'!$B$6),OR('לוח בקרה'!$B$7="הכל",מלאי!F256='לוח בקרה'!$B$7,מלאי!G256='לוח בקרה'!$B$7),OR('לוח בקרה'!$B$8="הכל",מלאי!T256='לוח בקרה'!$B$8),OR('לוח בקרה'!$B$9="הכל",מלאי!Q256='לוח בקרה'!$B$9),OR('לוח בקרה'!$E$4="הכל",מלאי!J256='לוח בקרה'!$E$4),OR('לוח בקרה'!$E$5="הכל",מלאי!L256='לוח בקרה'!$E$5),OR('לוח בקרה'!$E$6="הכל",מלאי!O256='לוח בקרה'!$E$6),OR('לוח בקרה'!$E$7="הכל",מלאי!R256='לוח בקרה'!$E$7),OR('לוח בקרה'!$E$8="הכל",'לוח בקרה'!$E$8="",מלאי!W256='לוח בקרה'!$E$8),OR('לוח בקרה'!$E$9="הכל",'לוח בקרה'!$E$9="",ISNUMBER(SEARCH('לוח בקרה'!$E$9,מלאי!C256)))),1,0)</f>
        <v>0</v>
      </c>
      <c r="AE256" t="e">
        <f>IF(AND(מלאי!D256&lt;&gt;"",OR('לוח בקרה טכנו-מבצעי'!$B$4="הכל",מלאי!Z256='לוח בקרה טכנו-מבצעי'!$B$4,מלאי!AA256='לוח בקרה טכנו-מבצעי'!$B$4,מלאי!AB256='לוח בקרה טכנו-מבצעי'!$B$4,מלאי!AC256='לוח בקרה טכנו-מבצעי'!$B$4),OR('לוח בקרה טכנו-מבצעי'!$B$5="הכל",מלאי!A256='לוח בקרה טכנו-מבצעי'!$B$5),OR('לוח בקרה טכנו-מבצעי'!$B$6="הכל",מלאי!B256='לוח בקרה טכנו-מבצעי'!$B$6),OR('לוח בקרה טכנו-מבצעי'!$B$7="הכל",מלאי!F256='לוח בקרה טכנו-מבצעי'!$B$7,מלאי!G256='לוח בקרה טכנו-מבצעי'!$B$7),OR('לוח בקרה טכנו-מבצעי'!$B$8="הכל",מלאי!T256='לוח בקרה טכנו-מבצעי'!$B$8),OR('לוח בקרה טכנו-מבצעי'!$B$9="הכל",מלאי!Q256='לוח בקרה טכנו-מבצעי'!$B$9),OR('לוח בקרה טכנו-מבצעי'!$E$4="הכל",מלאי!J256='לוח בקרה טכנו-מבצעי'!$E$4),OR('לוח בקרה טכנו-מבצעי'!$E$5="הכל",מלאי!L256='לוח בקרה טכנו-מבצעי'!$E$5),OR('לוח בקרה טכנו-מבצעי'!$E$6="הכל",מלאי!O256='לוח בקרה טכנו-מבצעי'!$E$6),OR('לוח בקרה טכנו-מבצעי'!$E$7="הכל",מלאי!R256='לוח בקרה טכנו-מבצעי'!$E$7),OR('לוח בקרה טכנו-מבצעי'!$E$8="הכל",'לוח בקרה טכנו-מבצעי'!$E$8="",מלאי!W256='לוח בקרה טכנו-מבצעי'!$E$8),OR('לוח בקרה טכנו-מבצעי'!$E$9="הכל",'לוח בקרה טכנו-מבצעי'!$E$9="",ISNUMBER(SEARCH('לוח בקרה טכנו-מבצעי'!$E$9,מלאי!C256))),OR('לוח בקרה טכנו-מבצעי'!$B$10="הכל",מלאי!#REF!='לוח בקרה טכנו-מבצעי'!$B$10)),1,0)</f>
        <v>#REF!</v>
      </c>
      <c r="AF256" t="str">
        <f>IF(AD256=1,COUNTIF($AD$3:$AD256,1),"")</f>
        <v/>
      </c>
      <c r="AG256" t="e">
        <f>IF(AE256=1,COUNTIF($AE$3:$AE256,1),"")</f>
        <v>#REF!</v>
      </c>
    </row>
    <row r="257" spans="1:33" ht="15" customHeight="1" x14ac:dyDescent="0.25">
      <c r="A257" s="19"/>
      <c r="B257" s="19"/>
      <c r="C257" s="19"/>
      <c r="D257" s="19"/>
      <c r="E257" s="19" t="str">
        <f>IFERROR(INDEX(הגדרות!$I$2:$I$47,MATCH(B257,הגדרות!$H$2:$H$47,0)),"")</f>
        <v/>
      </c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t="str">
        <f>IFERROR(INDEX(הגדרות!$B$2:$B$17,MATCH(H257,הגדרות!$A$2:$A$17,0)),"")</f>
        <v/>
      </c>
      <c r="AA257" t="str">
        <f>IFERROR(INDEX(הגדרות!$C$2:$C$17,MATCH(H257,הגדרות!$A$2:$A$17,0)),"")</f>
        <v/>
      </c>
      <c r="AB257" t="str">
        <f>IFERROR(INDEX(הגדרות!$B$2:$B$17,MATCH(I257,הגדרות!$A$2:$A$17,0)),"")</f>
        <v/>
      </c>
      <c r="AC257" t="str">
        <f>IFERROR(INDEX(הגדרות!$C$2:$C$17,MATCH(I257,הגדרות!$A$2:$A$17,0)),"")</f>
        <v/>
      </c>
      <c r="AD257">
        <f>IF(AND(מלאי!D257&lt;&gt;"",OR('לוח בקרה'!$B$4="הכל",מלאי!Z257='לוח בקרה'!$B$4,מלאי!AA257='לוח בקרה'!$B$4,מלאי!AB257='לוח בקרה'!$B$4,מלאי!AC257='לוח בקרה'!$B$4),OR('לוח בקרה'!$B$5="הכל",מלאי!A257='לוח בקרה'!$B$5),OR('לוח בקרה'!$B$6="הכל",מלאי!B257='לוח בקרה'!$B$6),OR('לוח בקרה'!$B$7="הכל",מלאי!F257='לוח בקרה'!$B$7,מלאי!G257='לוח בקרה'!$B$7),OR('לוח בקרה'!$B$8="הכל",מלאי!T257='לוח בקרה'!$B$8),OR('לוח בקרה'!$B$9="הכל",מלאי!Q257='לוח בקרה'!$B$9),OR('לוח בקרה'!$E$4="הכל",מלאי!J257='לוח בקרה'!$E$4),OR('לוח בקרה'!$E$5="הכל",מלאי!L257='לוח בקרה'!$E$5),OR('לוח בקרה'!$E$6="הכל",מלאי!O257='לוח בקרה'!$E$6),OR('לוח בקרה'!$E$7="הכל",מלאי!R257='לוח בקרה'!$E$7),OR('לוח בקרה'!$E$8="הכל",'לוח בקרה'!$E$8="",מלאי!W257='לוח בקרה'!$E$8),OR('לוח בקרה'!$E$9="הכל",'לוח בקרה'!$E$9="",ISNUMBER(SEARCH('לוח בקרה'!$E$9,מלאי!C257)))),1,0)</f>
        <v>0</v>
      </c>
      <c r="AE257" t="e">
        <f>IF(AND(מלאי!D257&lt;&gt;"",OR('לוח בקרה טכנו-מבצעי'!$B$4="הכל",מלאי!Z257='לוח בקרה טכנו-מבצעי'!$B$4,מלאי!AA257='לוח בקרה טכנו-מבצעי'!$B$4,מלאי!AB257='לוח בקרה טכנו-מבצעי'!$B$4,מלאי!AC257='לוח בקרה טכנו-מבצעי'!$B$4),OR('לוח בקרה טכנו-מבצעי'!$B$5="הכל",מלאי!A257='לוח בקרה טכנו-מבצעי'!$B$5),OR('לוח בקרה טכנו-מבצעי'!$B$6="הכל",מלאי!B257='לוח בקרה טכנו-מבצעי'!$B$6),OR('לוח בקרה טכנו-מבצעי'!$B$7="הכל",מלאי!F257='לוח בקרה טכנו-מבצעי'!$B$7,מלאי!G257='לוח בקרה טכנו-מבצעי'!$B$7),OR('לוח בקרה טכנו-מבצעי'!$B$8="הכל",מלאי!T257='לוח בקרה טכנו-מבצעי'!$B$8),OR('לוח בקרה טכנו-מבצעי'!$B$9="הכל",מלאי!Q257='לוח בקרה טכנו-מבצעי'!$B$9),OR('לוח בקרה טכנו-מבצעי'!$E$4="הכל",מלאי!J257='לוח בקרה טכנו-מבצעי'!$E$4),OR('לוח בקרה טכנו-מבצעי'!$E$5="הכל",מלאי!L257='לוח בקרה טכנו-מבצעי'!$E$5),OR('לוח בקרה טכנו-מבצעי'!$E$6="הכל",מלאי!O257='לוח בקרה טכנו-מבצעי'!$E$6),OR('לוח בקרה טכנו-מבצעי'!$E$7="הכל",מלאי!R257='לוח בקרה טכנו-מבצעי'!$E$7),OR('לוח בקרה טכנו-מבצעי'!$E$8="הכל",'לוח בקרה טכנו-מבצעי'!$E$8="",מלאי!W257='לוח בקרה טכנו-מבצעי'!$E$8),OR('לוח בקרה טכנו-מבצעי'!$E$9="הכל",'לוח בקרה טכנו-מבצעי'!$E$9="",ISNUMBER(SEARCH('לוח בקרה טכנו-מבצעי'!$E$9,מלאי!C257))),OR('לוח בקרה טכנו-מבצעי'!$B$10="הכל",מלאי!#REF!='לוח בקרה טכנו-מבצעי'!$B$10)),1,0)</f>
        <v>#REF!</v>
      </c>
      <c r="AF257" t="str">
        <f>IF(AD257=1,COUNTIF($AD$3:$AD257,1),"")</f>
        <v/>
      </c>
      <c r="AG257" t="e">
        <f>IF(AE257=1,COUNTIF($AE$3:$AE257,1),"")</f>
        <v>#REF!</v>
      </c>
    </row>
    <row r="258" spans="1:33" ht="15" customHeight="1" x14ac:dyDescent="0.25">
      <c r="A258" s="17"/>
      <c r="B258" s="17"/>
      <c r="C258" s="17"/>
      <c r="D258" s="17"/>
      <c r="E258" s="17" t="str">
        <f>IFERROR(INDEX(הגדרות!$I$2:$I$47,MATCH(B258,הגדרות!$H$2:$H$47,0)),"")</f>
        <v/>
      </c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t="str">
        <f>IFERROR(INDEX(הגדרות!$B$2:$B$17,MATCH(H258,הגדרות!$A$2:$A$17,0)),"")</f>
        <v/>
      </c>
      <c r="AA258" t="str">
        <f>IFERROR(INDEX(הגדרות!$C$2:$C$17,MATCH(H258,הגדרות!$A$2:$A$17,0)),"")</f>
        <v/>
      </c>
      <c r="AB258" t="str">
        <f>IFERROR(INDEX(הגדרות!$B$2:$B$17,MATCH(I258,הגדרות!$A$2:$A$17,0)),"")</f>
        <v/>
      </c>
      <c r="AC258" t="str">
        <f>IFERROR(INDEX(הגדרות!$C$2:$C$17,MATCH(I258,הגדרות!$A$2:$A$17,0)),"")</f>
        <v/>
      </c>
      <c r="AD258">
        <f>IF(AND(מלאי!D258&lt;&gt;"",OR('לוח בקרה'!$B$4="הכל",מלאי!Z258='לוח בקרה'!$B$4,מלאי!AA258='לוח בקרה'!$B$4,מלאי!AB258='לוח בקרה'!$B$4,מלאי!AC258='לוח בקרה'!$B$4),OR('לוח בקרה'!$B$5="הכל",מלאי!A258='לוח בקרה'!$B$5),OR('לוח בקרה'!$B$6="הכל",מלאי!B258='לוח בקרה'!$B$6),OR('לוח בקרה'!$B$7="הכל",מלאי!F258='לוח בקרה'!$B$7,מלאי!G258='לוח בקרה'!$B$7),OR('לוח בקרה'!$B$8="הכל",מלאי!T258='לוח בקרה'!$B$8),OR('לוח בקרה'!$B$9="הכל",מלאי!Q258='לוח בקרה'!$B$9),OR('לוח בקרה'!$E$4="הכל",מלאי!J258='לוח בקרה'!$E$4),OR('לוח בקרה'!$E$5="הכל",מלאי!L258='לוח בקרה'!$E$5),OR('לוח בקרה'!$E$6="הכל",מלאי!O258='לוח בקרה'!$E$6),OR('לוח בקרה'!$E$7="הכל",מלאי!R258='לוח בקרה'!$E$7),OR('לוח בקרה'!$E$8="הכל",'לוח בקרה'!$E$8="",מלאי!W258='לוח בקרה'!$E$8),OR('לוח בקרה'!$E$9="הכל",'לוח בקרה'!$E$9="",ISNUMBER(SEARCH('לוח בקרה'!$E$9,מלאי!C258)))),1,0)</f>
        <v>0</v>
      </c>
      <c r="AE258" t="e">
        <f>IF(AND(מלאי!D258&lt;&gt;"",OR('לוח בקרה טכנו-מבצעי'!$B$4="הכל",מלאי!Z258='לוח בקרה טכנו-מבצעי'!$B$4,מלאי!AA258='לוח בקרה טכנו-מבצעי'!$B$4,מלאי!AB258='לוח בקרה טכנו-מבצעי'!$B$4,מלאי!AC258='לוח בקרה טכנו-מבצעי'!$B$4),OR('לוח בקרה טכנו-מבצעי'!$B$5="הכל",מלאי!A258='לוח בקרה טכנו-מבצעי'!$B$5),OR('לוח בקרה טכנו-מבצעי'!$B$6="הכל",מלאי!B258='לוח בקרה טכנו-מבצעי'!$B$6),OR('לוח בקרה טכנו-מבצעי'!$B$7="הכל",מלאי!F258='לוח בקרה טכנו-מבצעי'!$B$7,מלאי!G258='לוח בקרה טכנו-מבצעי'!$B$7),OR('לוח בקרה טכנו-מבצעי'!$B$8="הכל",מלאי!T258='לוח בקרה טכנו-מבצעי'!$B$8),OR('לוח בקרה טכנו-מבצעי'!$B$9="הכל",מלאי!Q258='לוח בקרה טכנו-מבצעי'!$B$9),OR('לוח בקרה טכנו-מבצעי'!$E$4="הכל",מלאי!J258='לוח בקרה טכנו-מבצעי'!$E$4),OR('לוח בקרה טכנו-מבצעי'!$E$5="הכל",מלאי!L258='לוח בקרה טכנו-מבצעי'!$E$5),OR('לוח בקרה טכנו-מבצעי'!$E$6="הכל",מלאי!O258='לוח בקרה טכנו-מבצעי'!$E$6),OR('לוח בקרה טכנו-מבצעי'!$E$7="הכל",מלאי!R258='לוח בקרה טכנו-מבצעי'!$E$7),OR('לוח בקרה טכנו-מבצעי'!$E$8="הכל",'לוח בקרה טכנו-מבצעי'!$E$8="",מלאי!W258='לוח בקרה טכנו-מבצעי'!$E$8),OR('לוח בקרה טכנו-מבצעי'!$E$9="הכל",'לוח בקרה טכנו-מבצעי'!$E$9="",ISNUMBER(SEARCH('לוח בקרה טכנו-מבצעי'!$E$9,מלאי!C258))),OR('לוח בקרה טכנו-מבצעי'!$B$10="הכל",מלאי!#REF!='לוח בקרה טכנו-מבצעי'!$B$10)),1,0)</f>
        <v>#REF!</v>
      </c>
      <c r="AF258" t="str">
        <f>IF(AD258=1,COUNTIF($AD$3:$AD258,1),"")</f>
        <v/>
      </c>
      <c r="AG258" t="e">
        <f>IF(AE258=1,COUNTIF($AE$3:$AE258,1),"")</f>
        <v>#REF!</v>
      </c>
    </row>
    <row r="259" spans="1:33" ht="15" customHeight="1" x14ac:dyDescent="0.25">
      <c r="A259" s="19"/>
      <c r="B259" s="19"/>
      <c r="C259" s="19"/>
      <c r="D259" s="19"/>
      <c r="E259" s="19" t="str">
        <f>IFERROR(INDEX(הגדרות!$I$2:$I$47,MATCH(B259,הגדרות!$H$2:$H$47,0)),"")</f>
        <v/>
      </c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t="str">
        <f>IFERROR(INDEX(הגדרות!$B$2:$B$17,MATCH(H259,הגדרות!$A$2:$A$17,0)),"")</f>
        <v/>
      </c>
      <c r="AA259" t="str">
        <f>IFERROR(INDEX(הגדרות!$C$2:$C$17,MATCH(H259,הגדרות!$A$2:$A$17,0)),"")</f>
        <v/>
      </c>
      <c r="AB259" t="str">
        <f>IFERROR(INDEX(הגדרות!$B$2:$B$17,MATCH(I259,הגדרות!$A$2:$A$17,0)),"")</f>
        <v/>
      </c>
      <c r="AC259" t="str">
        <f>IFERROR(INDEX(הגדרות!$C$2:$C$17,MATCH(I259,הגדרות!$A$2:$A$17,0)),"")</f>
        <v/>
      </c>
      <c r="AD259">
        <f>IF(AND(מלאי!D259&lt;&gt;"",OR('לוח בקרה'!$B$4="הכל",מלאי!Z259='לוח בקרה'!$B$4,מלאי!AA259='לוח בקרה'!$B$4,מלאי!AB259='לוח בקרה'!$B$4,מלאי!AC259='לוח בקרה'!$B$4),OR('לוח בקרה'!$B$5="הכל",מלאי!A259='לוח בקרה'!$B$5),OR('לוח בקרה'!$B$6="הכל",מלאי!B259='לוח בקרה'!$B$6),OR('לוח בקרה'!$B$7="הכל",מלאי!F259='לוח בקרה'!$B$7,מלאי!G259='לוח בקרה'!$B$7),OR('לוח בקרה'!$B$8="הכל",מלאי!T259='לוח בקרה'!$B$8),OR('לוח בקרה'!$B$9="הכל",מלאי!Q259='לוח בקרה'!$B$9),OR('לוח בקרה'!$E$4="הכל",מלאי!J259='לוח בקרה'!$E$4),OR('לוח בקרה'!$E$5="הכל",מלאי!L259='לוח בקרה'!$E$5),OR('לוח בקרה'!$E$6="הכל",מלאי!O259='לוח בקרה'!$E$6),OR('לוח בקרה'!$E$7="הכל",מלאי!R259='לוח בקרה'!$E$7),OR('לוח בקרה'!$E$8="הכל",'לוח בקרה'!$E$8="",מלאי!W259='לוח בקרה'!$E$8),OR('לוח בקרה'!$E$9="הכל",'לוח בקרה'!$E$9="",ISNUMBER(SEARCH('לוח בקרה'!$E$9,מלאי!C259)))),1,0)</f>
        <v>0</v>
      </c>
      <c r="AE259" t="e">
        <f>IF(AND(מלאי!D259&lt;&gt;"",OR('לוח בקרה טכנו-מבצעי'!$B$4="הכל",מלאי!Z259='לוח בקרה טכנו-מבצעי'!$B$4,מלאי!AA259='לוח בקרה טכנו-מבצעי'!$B$4,מלאי!AB259='לוח בקרה טכנו-מבצעי'!$B$4,מלאי!AC259='לוח בקרה טכנו-מבצעי'!$B$4),OR('לוח בקרה טכנו-מבצעי'!$B$5="הכל",מלאי!A259='לוח בקרה טכנו-מבצעי'!$B$5),OR('לוח בקרה טכנו-מבצעי'!$B$6="הכל",מלאי!B259='לוח בקרה טכנו-מבצעי'!$B$6),OR('לוח בקרה טכנו-מבצעי'!$B$7="הכל",מלאי!F259='לוח בקרה טכנו-מבצעי'!$B$7,מלאי!G259='לוח בקרה טכנו-מבצעי'!$B$7),OR('לוח בקרה טכנו-מבצעי'!$B$8="הכל",מלאי!T259='לוח בקרה טכנו-מבצעי'!$B$8),OR('לוח בקרה טכנו-מבצעי'!$B$9="הכל",מלאי!Q259='לוח בקרה טכנו-מבצעי'!$B$9),OR('לוח בקרה טכנו-מבצעי'!$E$4="הכל",מלאי!J259='לוח בקרה טכנו-מבצעי'!$E$4),OR('לוח בקרה טכנו-מבצעי'!$E$5="הכל",מלאי!L259='לוח בקרה טכנו-מבצעי'!$E$5),OR('לוח בקרה טכנו-מבצעי'!$E$6="הכל",מלאי!O259='לוח בקרה טכנו-מבצעי'!$E$6),OR('לוח בקרה טכנו-מבצעי'!$E$7="הכל",מלאי!R259='לוח בקרה טכנו-מבצעי'!$E$7),OR('לוח בקרה טכנו-מבצעי'!$E$8="הכל",'לוח בקרה טכנו-מבצעי'!$E$8="",מלאי!W259='לוח בקרה טכנו-מבצעי'!$E$8),OR('לוח בקרה טכנו-מבצעי'!$E$9="הכל",'לוח בקרה טכנו-מבצעי'!$E$9="",ISNUMBER(SEARCH('לוח בקרה טכנו-מבצעי'!$E$9,מלאי!C259))),OR('לוח בקרה טכנו-מבצעי'!$B$10="הכל",מלאי!#REF!='לוח בקרה טכנו-מבצעי'!$B$10)),1,0)</f>
        <v>#REF!</v>
      </c>
      <c r="AF259" t="str">
        <f>IF(AD259=1,COUNTIF($AD$3:$AD259,1),"")</f>
        <v/>
      </c>
      <c r="AG259" t="e">
        <f>IF(AE259=1,COUNTIF($AE$3:$AE259,1),"")</f>
        <v>#REF!</v>
      </c>
    </row>
    <row r="260" spans="1:33" ht="15" customHeight="1" x14ac:dyDescent="0.25">
      <c r="A260" s="17"/>
      <c r="B260" s="17"/>
      <c r="C260" s="17"/>
      <c r="D260" s="17"/>
      <c r="E260" s="17" t="str">
        <f>IFERROR(INDEX(הגדרות!$I$2:$I$47,MATCH(B260,הגדרות!$H$2:$H$47,0)),"")</f>
        <v/>
      </c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t="str">
        <f>IFERROR(INDEX(הגדרות!$B$2:$B$17,MATCH(H260,הגדרות!$A$2:$A$17,0)),"")</f>
        <v/>
      </c>
      <c r="AA260" t="str">
        <f>IFERROR(INDEX(הגדרות!$C$2:$C$17,MATCH(H260,הגדרות!$A$2:$A$17,0)),"")</f>
        <v/>
      </c>
      <c r="AB260" t="str">
        <f>IFERROR(INDEX(הגדרות!$B$2:$B$17,MATCH(I260,הגדרות!$A$2:$A$17,0)),"")</f>
        <v/>
      </c>
      <c r="AC260" t="str">
        <f>IFERROR(INDEX(הגדרות!$C$2:$C$17,MATCH(I260,הגדרות!$A$2:$A$17,0)),"")</f>
        <v/>
      </c>
      <c r="AD260">
        <f>IF(AND(מלאי!D260&lt;&gt;"",OR('לוח בקרה'!$B$4="הכל",מלאי!Z260='לוח בקרה'!$B$4,מלאי!AA260='לוח בקרה'!$B$4,מלאי!AB260='לוח בקרה'!$B$4,מלאי!AC260='לוח בקרה'!$B$4),OR('לוח בקרה'!$B$5="הכל",מלאי!A260='לוח בקרה'!$B$5),OR('לוח בקרה'!$B$6="הכל",מלאי!B260='לוח בקרה'!$B$6),OR('לוח בקרה'!$B$7="הכל",מלאי!F260='לוח בקרה'!$B$7,מלאי!G260='לוח בקרה'!$B$7),OR('לוח בקרה'!$B$8="הכל",מלאי!T260='לוח בקרה'!$B$8),OR('לוח בקרה'!$B$9="הכל",מלאי!Q260='לוח בקרה'!$B$9),OR('לוח בקרה'!$E$4="הכל",מלאי!J260='לוח בקרה'!$E$4),OR('לוח בקרה'!$E$5="הכל",מלאי!L260='לוח בקרה'!$E$5),OR('לוח בקרה'!$E$6="הכל",מלאי!O260='לוח בקרה'!$E$6),OR('לוח בקרה'!$E$7="הכל",מלאי!R260='לוח בקרה'!$E$7),OR('לוח בקרה'!$E$8="הכל",'לוח בקרה'!$E$8="",מלאי!W260='לוח בקרה'!$E$8),OR('לוח בקרה'!$E$9="הכל",'לוח בקרה'!$E$9="",ISNUMBER(SEARCH('לוח בקרה'!$E$9,מלאי!C260)))),1,0)</f>
        <v>0</v>
      </c>
      <c r="AE260" t="e">
        <f>IF(AND(מלאי!D260&lt;&gt;"",OR('לוח בקרה טכנו-מבצעי'!$B$4="הכל",מלאי!Z260='לוח בקרה טכנו-מבצעי'!$B$4,מלאי!AA260='לוח בקרה טכנו-מבצעי'!$B$4,מלאי!AB260='לוח בקרה טכנו-מבצעי'!$B$4,מלאי!AC260='לוח בקרה טכנו-מבצעי'!$B$4),OR('לוח בקרה טכנו-מבצעי'!$B$5="הכל",מלאי!A260='לוח בקרה טכנו-מבצעי'!$B$5),OR('לוח בקרה טכנו-מבצעי'!$B$6="הכל",מלאי!B260='לוח בקרה טכנו-מבצעי'!$B$6),OR('לוח בקרה טכנו-מבצעי'!$B$7="הכל",מלאי!F260='לוח בקרה טכנו-מבצעי'!$B$7,מלאי!G260='לוח בקרה טכנו-מבצעי'!$B$7),OR('לוח בקרה טכנו-מבצעי'!$B$8="הכל",מלאי!T260='לוח בקרה טכנו-מבצעי'!$B$8),OR('לוח בקרה טכנו-מבצעי'!$B$9="הכל",מלאי!Q260='לוח בקרה טכנו-מבצעי'!$B$9),OR('לוח בקרה טכנו-מבצעי'!$E$4="הכל",מלאי!J260='לוח בקרה טכנו-מבצעי'!$E$4),OR('לוח בקרה טכנו-מבצעי'!$E$5="הכל",מלאי!L260='לוח בקרה טכנו-מבצעי'!$E$5),OR('לוח בקרה טכנו-מבצעי'!$E$6="הכל",מלאי!O260='לוח בקרה טכנו-מבצעי'!$E$6),OR('לוח בקרה טכנו-מבצעי'!$E$7="הכל",מלאי!R260='לוח בקרה טכנו-מבצעי'!$E$7),OR('לוח בקרה טכנו-מבצעי'!$E$8="הכל",'לוח בקרה טכנו-מבצעי'!$E$8="",מלאי!W260='לוח בקרה טכנו-מבצעי'!$E$8),OR('לוח בקרה טכנו-מבצעי'!$E$9="הכל",'לוח בקרה טכנו-מבצעי'!$E$9="",ISNUMBER(SEARCH('לוח בקרה טכנו-מבצעי'!$E$9,מלאי!C260))),OR('לוח בקרה טכנו-מבצעי'!$B$10="הכל",מלאי!#REF!='לוח בקרה טכנו-מבצעי'!$B$10)),1,0)</f>
        <v>#REF!</v>
      </c>
      <c r="AF260" t="str">
        <f>IF(AD260=1,COUNTIF($AD$3:$AD260,1),"")</f>
        <v/>
      </c>
      <c r="AG260" t="e">
        <f>IF(AE260=1,COUNTIF($AE$3:$AE260,1),"")</f>
        <v>#REF!</v>
      </c>
    </row>
    <row r="261" spans="1:33" ht="15" customHeight="1" x14ac:dyDescent="0.25">
      <c r="A261" s="19"/>
      <c r="B261" s="19"/>
      <c r="C261" s="19"/>
      <c r="D261" s="19"/>
      <c r="E261" s="19" t="str">
        <f>IFERROR(INDEX(הגדרות!$I$2:$I$47,MATCH(B261,הגדרות!$H$2:$H$47,0)),"")</f>
        <v/>
      </c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t="str">
        <f>IFERROR(INDEX(הגדרות!$B$2:$B$17,MATCH(H261,הגדרות!$A$2:$A$17,0)),"")</f>
        <v/>
      </c>
      <c r="AA261" t="str">
        <f>IFERROR(INDEX(הגדרות!$C$2:$C$17,MATCH(H261,הגדרות!$A$2:$A$17,0)),"")</f>
        <v/>
      </c>
      <c r="AB261" t="str">
        <f>IFERROR(INDEX(הגדרות!$B$2:$B$17,MATCH(I261,הגדרות!$A$2:$A$17,0)),"")</f>
        <v/>
      </c>
      <c r="AC261" t="str">
        <f>IFERROR(INDEX(הגדרות!$C$2:$C$17,MATCH(I261,הגדרות!$A$2:$A$17,0)),"")</f>
        <v/>
      </c>
      <c r="AD261">
        <f>IF(AND(מלאי!D261&lt;&gt;"",OR('לוח בקרה'!$B$4="הכל",מלאי!Z261='לוח בקרה'!$B$4,מלאי!AA261='לוח בקרה'!$B$4,מלאי!AB261='לוח בקרה'!$B$4,מלאי!AC261='לוח בקרה'!$B$4),OR('לוח בקרה'!$B$5="הכל",מלאי!A261='לוח בקרה'!$B$5),OR('לוח בקרה'!$B$6="הכל",מלאי!B261='לוח בקרה'!$B$6),OR('לוח בקרה'!$B$7="הכל",מלאי!F261='לוח בקרה'!$B$7,מלאי!G261='לוח בקרה'!$B$7),OR('לוח בקרה'!$B$8="הכל",מלאי!T261='לוח בקרה'!$B$8),OR('לוח בקרה'!$B$9="הכל",מלאי!Q261='לוח בקרה'!$B$9),OR('לוח בקרה'!$E$4="הכל",מלאי!J261='לוח בקרה'!$E$4),OR('לוח בקרה'!$E$5="הכל",מלאי!L261='לוח בקרה'!$E$5),OR('לוח בקרה'!$E$6="הכל",מלאי!O261='לוח בקרה'!$E$6),OR('לוח בקרה'!$E$7="הכל",מלאי!R261='לוח בקרה'!$E$7),OR('לוח בקרה'!$E$8="הכל",'לוח בקרה'!$E$8="",מלאי!W261='לוח בקרה'!$E$8),OR('לוח בקרה'!$E$9="הכל",'לוח בקרה'!$E$9="",ISNUMBER(SEARCH('לוח בקרה'!$E$9,מלאי!C261)))),1,0)</f>
        <v>0</v>
      </c>
      <c r="AE261" t="e">
        <f>IF(AND(מלאי!D261&lt;&gt;"",OR('לוח בקרה טכנו-מבצעי'!$B$4="הכל",מלאי!Z261='לוח בקרה טכנו-מבצעי'!$B$4,מלאי!AA261='לוח בקרה טכנו-מבצעי'!$B$4,מלאי!AB261='לוח בקרה טכנו-מבצעי'!$B$4,מלאי!AC261='לוח בקרה טכנו-מבצעי'!$B$4),OR('לוח בקרה טכנו-מבצעי'!$B$5="הכל",מלאי!A261='לוח בקרה טכנו-מבצעי'!$B$5),OR('לוח בקרה טכנו-מבצעי'!$B$6="הכל",מלאי!B261='לוח בקרה טכנו-מבצעי'!$B$6),OR('לוח בקרה טכנו-מבצעי'!$B$7="הכל",מלאי!F261='לוח בקרה טכנו-מבצעי'!$B$7,מלאי!G261='לוח בקרה טכנו-מבצעי'!$B$7),OR('לוח בקרה טכנו-מבצעי'!$B$8="הכל",מלאי!T261='לוח בקרה טכנו-מבצעי'!$B$8),OR('לוח בקרה טכנו-מבצעי'!$B$9="הכל",מלאי!Q261='לוח בקרה טכנו-מבצעי'!$B$9),OR('לוח בקרה טכנו-מבצעי'!$E$4="הכל",מלאי!J261='לוח בקרה טכנו-מבצעי'!$E$4),OR('לוח בקרה טכנו-מבצעי'!$E$5="הכל",מלאי!L261='לוח בקרה טכנו-מבצעי'!$E$5),OR('לוח בקרה טכנו-מבצעי'!$E$6="הכל",מלאי!O261='לוח בקרה טכנו-מבצעי'!$E$6),OR('לוח בקרה טכנו-מבצעי'!$E$7="הכל",מלאי!R261='לוח בקרה טכנו-מבצעי'!$E$7),OR('לוח בקרה טכנו-מבצעי'!$E$8="הכל",'לוח בקרה טכנו-מבצעי'!$E$8="",מלאי!W261='לוח בקרה טכנו-מבצעי'!$E$8),OR('לוח בקרה טכנו-מבצעי'!$E$9="הכל",'לוח בקרה טכנו-מבצעי'!$E$9="",ISNUMBER(SEARCH('לוח בקרה טכנו-מבצעי'!$E$9,מלאי!C261))),OR('לוח בקרה טכנו-מבצעי'!$B$10="הכל",מלאי!#REF!='לוח בקרה טכנו-מבצעי'!$B$10)),1,0)</f>
        <v>#REF!</v>
      </c>
      <c r="AF261" t="str">
        <f>IF(AD261=1,COUNTIF($AD$3:$AD261,1),"")</f>
        <v/>
      </c>
      <c r="AG261" t="e">
        <f>IF(AE261=1,COUNTIF($AE$3:$AE261,1),"")</f>
        <v>#REF!</v>
      </c>
    </row>
    <row r="262" spans="1:33" ht="15" customHeight="1" x14ac:dyDescent="0.25">
      <c r="A262" s="17"/>
      <c r="B262" s="17"/>
      <c r="C262" s="17"/>
      <c r="D262" s="17"/>
      <c r="E262" s="17" t="str">
        <f>IFERROR(INDEX(הגדרות!$I$2:$I$47,MATCH(B262,הגדרות!$H$2:$H$47,0)),"")</f>
        <v/>
      </c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t="str">
        <f>IFERROR(INDEX(הגדרות!$B$2:$B$17,MATCH(H262,הגדרות!$A$2:$A$17,0)),"")</f>
        <v/>
      </c>
      <c r="AA262" t="str">
        <f>IFERROR(INDEX(הגדרות!$C$2:$C$17,MATCH(H262,הגדרות!$A$2:$A$17,0)),"")</f>
        <v/>
      </c>
      <c r="AB262" t="str">
        <f>IFERROR(INDEX(הגדרות!$B$2:$B$17,MATCH(I262,הגדרות!$A$2:$A$17,0)),"")</f>
        <v/>
      </c>
      <c r="AC262" t="str">
        <f>IFERROR(INDEX(הגדרות!$C$2:$C$17,MATCH(I262,הגדרות!$A$2:$A$17,0)),"")</f>
        <v/>
      </c>
      <c r="AD262">
        <f>IF(AND(מלאי!D262&lt;&gt;"",OR('לוח בקרה'!$B$4="הכל",מלאי!Z262='לוח בקרה'!$B$4,מלאי!AA262='לוח בקרה'!$B$4,מלאי!AB262='לוח בקרה'!$B$4,מלאי!AC262='לוח בקרה'!$B$4),OR('לוח בקרה'!$B$5="הכל",מלאי!A262='לוח בקרה'!$B$5),OR('לוח בקרה'!$B$6="הכל",מלאי!B262='לוח בקרה'!$B$6),OR('לוח בקרה'!$B$7="הכל",מלאי!F262='לוח בקרה'!$B$7,מלאי!G262='לוח בקרה'!$B$7),OR('לוח בקרה'!$B$8="הכל",מלאי!T262='לוח בקרה'!$B$8),OR('לוח בקרה'!$B$9="הכל",מלאי!Q262='לוח בקרה'!$B$9),OR('לוח בקרה'!$E$4="הכל",מלאי!J262='לוח בקרה'!$E$4),OR('לוח בקרה'!$E$5="הכל",מלאי!L262='לוח בקרה'!$E$5),OR('לוח בקרה'!$E$6="הכל",מלאי!O262='לוח בקרה'!$E$6),OR('לוח בקרה'!$E$7="הכל",מלאי!R262='לוח בקרה'!$E$7),OR('לוח בקרה'!$E$8="הכל",'לוח בקרה'!$E$8="",מלאי!W262='לוח בקרה'!$E$8),OR('לוח בקרה'!$E$9="הכל",'לוח בקרה'!$E$9="",ISNUMBER(SEARCH('לוח בקרה'!$E$9,מלאי!C262)))),1,0)</f>
        <v>0</v>
      </c>
      <c r="AE262" t="e">
        <f>IF(AND(מלאי!D262&lt;&gt;"",OR('לוח בקרה טכנו-מבצעי'!$B$4="הכל",מלאי!Z262='לוח בקרה טכנו-מבצעי'!$B$4,מלאי!AA262='לוח בקרה טכנו-מבצעי'!$B$4,מלאי!AB262='לוח בקרה טכנו-מבצעי'!$B$4,מלאי!AC262='לוח בקרה טכנו-מבצעי'!$B$4),OR('לוח בקרה טכנו-מבצעי'!$B$5="הכל",מלאי!A262='לוח בקרה טכנו-מבצעי'!$B$5),OR('לוח בקרה טכנו-מבצעי'!$B$6="הכל",מלאי!B262='לוח בקרה טכנו-מבצעי'!$B$6),OR('לוח בקרה טכנו-מבצעי'!$B$7="הכל",מלאי!F262='לוח בקרה טכנו-מבצעי'!$B$7,מלאי!G262='לוח בקרה טכנו-מבצעי'!$B$7),OR('לוח בקרה טכנו-מבצעי'!$B$8="הכל",מלאי!T262='לוח בקרה טכנו-מבצעי'!$B$8),OR('לוח בקרה טכנו-מבצעי'!$B$9="הכל",מלאי!Q262='לוח בקרה טכנו-מבצעי'!$B$9),OR('לוח בקרה טכנו-מבצעי'!$E$4="הכל",מלאי!J262='לוח בקרה טכנו-מבצעי'!$E$4),OR('לוח בקרה טכנו-מבצעי'!$E$5="הכל",מלאי!L262='לוח בקרה טכנו-מבצעי'!$E$5),OR('לוח בקרה טכנו-מבצעי'!$E$6="הכל",מלאי!O262='לוח בקרה טכנו-מבצעי'!$E$6),OR('לוח בקרה טכנו-מבצעי'!$E$7="הכל",מלאי!R262='לוח בקרה טכנו-מבצעי'!$E$7),OR('לוח בקרה טכנו-מבצעי'!$E$8="הכל",'לוח בקרה טכנו-מבצעי'!$E$8="",מלאי!W262='לוח בקרה טכנו-מבצעי'!$E$8),OR('לוח בקרה טכנו-מבצעי'!$E$9="הכל",'לוח בקרה טכנו-מבצעי'!$E$9="",ISNUMBER(SEARCH('לוח בקרה טכנו-מבצעי'!$E$9,מלאי!C262))),OR('לוח בקרה טכנו-מבצעי'!$B$10="הכל",מלאי!#REF!='לוח בקרה טכנו-מבצעי'!$B$10)),1,0)</f>
        <v>#REF!</v>
      </c>
      <c r="AF262" t="str">
        <f>IF(AD262=1,COUNTIF($AD$3:$AD262,1),"")</f>
        <v/>
      </c>
      <c r="AG262" t="e">
        <f>IF(AE262=1,COUNTIF($AE$3:$AE262,1),"")</f>
        <v>#REF!</v>
      </c>
    </row>
    <row r="263" spans="1:33" ht="15" customHeight="1" x14ac:dyDescent="0.25">
      <c r="A263" s="19"/>
      <c r="B263" s="19"/>
      <c r="C263" s="19"/>
      <c r="D263" s="19"/>
      <c r="E263" s="19" t="str">
        <f>IFERROR(INDEX(הגדרות!$I$2:$I$47,MATCH(B263,הגדרות!$H$2:$H$47,0)),"")</f>
        <v/>
      </c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t="str">
        <f>IFERROR(INDEX(הגדרות!$B$2:$B$17,MATCH(H263,הגדרות!$A$2:$A$17,0)),"")</f>
        <v/>
      </c>
      <c r="AA263" t="str">
        <f>IFERROR(INDEX(הגדרות!$C$2:$C$17,MATCH(H263,הגדרות!$A$2:$A$17,0)),"")</f>
        <v/>
      </c>
      <c r="AB263" t="str">
        <f>IFERROR(INDEX(הגדרות!$B$2:$B$17,MATCH(I263,הגדרות!$A$2:$A$17,0)),"")</f>
        <v/>
      </c>
      <c r="AC263" t="str">
        <f>IFERROR(INDEX(הגדרות!$C$2:$C$17,MATCH(I263,הגדרות!$A$2:$A$17,0)),"")</f>
        <v/>
      </c>
      <c r="AD263">
        <f>IF(AND(מלאי!D263&lt;&gt;"",OR('לוח בקרה'!$B$4="הכל",מלאי!Z263='לוח בקרה'!$B$4,מלאי!AA263='לוח בקרה'!$B$4,מלאי!AB263='לוח בקרה'!$B$4,מלאי!AC263='לוח בקרה'!$B$4),OR('לוח בקרה'!$B$5="הכל",מלאי!A263='לוח בקרה'!$B$5),OR('לוח בקרה'!$B$6="הכל",מלאי!B263='לוח בקרה'!$B$6),OR('לוח בקרה'!$B$7="הכל",מלאי!F263='לוח בקרה'!$B$7,מלאי!G263='לוח בקרה'!$B$7),OR('לוח בקרה'!$B$8="הכל",מלאי!T263='לוח בקרה'!$B$8),OR('לוח בקרה'!$B$9="הכל",מלאי!Q263='לוח בקרה'!$B$9),OR('לוח בקרה'!$E$4="הכל",מלאי!J263='לוח בקרה'!$E$4),OR('לוח בקרה'!$E$5="הכל",מלאי!L263='לוח בקרה'!$E$5),OR('לוח בקרה'!$E$6="הכל",מלאי!O263='לוח בקרה'!$E$6),OR('לוח בקרה'!$E$7="הכל",מלאי!R263='לוח בקרה'!$E$7),OR('לוח בקרה'!$E$8="הכל",'לוח בקרה'!$E$8="",מלאי!W263='לוח בקרה'!$E$8),OR('לוח בקרה'!$E$9="הכל",'לוח בקרה'!$E$9="",ISNUMBER(SEARCH('לוח בקרה'!$E$9,מלאי!C263)))),1,0)</f>
        <v>0</v>
      </c>
      <c r="AE263" t="e">
        <f>IF(AND(מלאי!D263&lt;&gt;"",OR('לוח בקרה טכנו-מבצעי'!$B$4="הכל",מלאי!Z263='לוח בקרה טכנו-מבצעי'!$B$4,מלאי!AA263='לוח בקרה טכנו-מבצעי'!$B$4,מלאי!AB263='לוח בקרה טכנו-מבצעי'!$B$4,מלאי!AC263='לוח בקרה טכנו-מבצעי'!$B$4),OR('לוח בקרה טכנו-מבצעי'!$B$5="הכל",מלאי!A263='לוח בקרה טכנו-מבצעי'!$B$5),OR('לוח בקרה טכנו-מבצעי'!$B$6="הכל",מלאי!B263='לוח בקרה טכנו-מבצעי'!$B$6),OR('לוח בקרה טכנו-מבצעי'!$B$7="הכל",מלאי!F263='לוח בקרה טכנו-מבצעי'!$B$7,מלאי!G263='לוח בקרה טכנו-מבצעי'!$B$7),OR('לוח בקרה טכנו-מבצעי'!$B$8="הכל",מלאי!T263='לוח בקרה טכנו-מבצעי'!$B$8),OR('לוח בקרה טכנו-מבצעי'!$B$9="הכל",מלאי!Q263='לוח בקרה טכנו-מבצעי'!$B$9),OR('לוח בקרה טכנו-מבצעי'!$E$4="הכל",מלאי!J263='לוח בקרה טכנו-מבצעי'!$E$4),OR('לוח בקרה טכנו-מבצעי'!$E$5="הכל",מלאי!L263='לוח בקרה טכנו-מבצעי'!$E$5),OR('לוח בקרה טכנו-מבצעי'!$E$6="הכל",מלאי!O263='לוח בקרה טכנו-מבצעי'!$E$6),OR('לוח בקרה טכנו-מבצעי'!$E$7="הכל",מלאי!R263='לוח בקרה טכנו-מבצעי'!$E$7),OR('לוח בקרה טכנו-מבצעי'!$E$8="הכל",'לוח בקרה טכנו-מבצעי'!$E$8="",מלאי!W263='לוח בקרה טכנו-מבצעי'!$E$8),OR('לוח בקרה טכנו-מבצעי'!$E$9="הכל",'לוח בקרה טכנו-מבצעי'!$E$9="",ISNUMBER(SEARCH('לוח בקרה טכנו-מבצעי'!$E$9,מלאי!C263))),OR('לוח בקרה טכנו-מבצעי'!$B$10="הכל",מלאי!#REF!='לוח בקרה טכנו-מבצעי'!$B$10)),1,0)</f>
        <v>#REF!</v>
      </c>
      <c r="AF263" t="str">
        <f>IF(AD263=1,COUNTIF($AD$3:$AD263,1),"")</f>
        <v/>
      </c>
      <c r="AG263" t="e">
        <f>IF(AE263=1,COUNTIF($AE$3:$AE263,1),"")</f>
        <v>#REF!</v>
      </c>
    </row>
    <row r="264" spans="1:33" ht="15" customHeight="1" x14ac:dyDescent="0.25">
      <c r="A264" s="17"/>
      <c r="B264" s="17"/>
      <c r="C264" s="17"/>
      <c r="D264" s="17"/>
      <c r="E264" s="17" t="str">
        <f>IFERROR(INDEX(הגדרות!$I$2:$I$47,MATCH(B264,הגדרות!$H$2:$H$47,0)),"")</f>
        <v/>
      </c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t="str">
        <f>IFERROR(INDEX(הגדרות!$B$2:$B$17,MATCH(H264,הגדרות!$A$2:$A$17,0)),"")</f>
        <v/>
      </c>
      <c r="AA264" t="str">
        <f>IFERROR(INDEX(הגדרות!$C$2:$C$17,MATCH(H264,הגדרות!$A$2:$A$17,0)),"")</f>
        <v/>
      </c>
      <c r="AB264" t="str">
        <f>IFERROR(INDEX(הגדרות!$B$2:$B$17,MATCH(I264,הגדרות!$A$2:$A$17,0)),"")</f>
        <v/>
      </c>
      <c r="AC264" t="str">
        <f>IFERROR(INDEX(הגדרות!$C$2:$C$17,MATCH(I264,הגדרות!$A$2:$A$17,0)),"")</f>
        <v/>
      </c>
      <c r="AD264">
        <f>IF(AND(מלאי!D264&lt;&gt;"",OR('לוח בקרה'!$B$4="הכל",מלאי!Z264='לוח בקרה'!$B$4,מלאי!AA264='לוח בקרה'!$B$4,מלאי!AB264='לוח בקרה'!$B$4,מלאי!AC264='לוח בקרה'!$B$4),OR('לוח בקרה'!$B$5="הכל",מלאי!A264='לוח בקרה'!$B$5),OR('לוח בקרה'!$B$6="הכל",מלאי!B264='לוח בקרה'!$B$6),OR('לוח בקרה'!$B$7="הכל",מלאי!F264='לוח בקרה'!$B$7,מלאי!G264='לוח בקרה'!$B$7),OR('לוח בקרה'!$B$8="הכל",מלאי!T264='לוח בקרה'!$B$8),OR('לוח בקרה'!$B$9="הכל",מלאי!Q264='לוח בקרה'!$B$9),OR('לוח בקרה'!$E$4="הכל",מלאי!J264='לוח בקרה'!$E$4),OR('לוח בקרה'!$E$5="הכל",מלאי!L264='לוח בקרה'!$E$5),OR('לוח בקרה'!$E$6="הכל",מלאי!O264='לוח בקרה'!$E$6),OR('לוח בקרה'!$E$7="הכל",מלאי!R264='לוח בקרה'!$E$7),OR('לוח בקרה'!$E$8="הכל",'לוח בקרה'!$E$8="",מלאי!W264='לוח בקרה'!$E$8),OR('לוח בקרה'!$E$9="הכל",'לוח בקרה'!$E$9="",ISNUMBER(SEARCH('לוח בקרה'!$E$9,מלאי!C264)))),1,0)</f>
        <v>0</v>
      </c>
      <c r="AE264" t="e">
        <f>IF(AND(מלאי!D264&lt;&gt;"",OR('לוח בקרה טכנו-מבצעי'!$B$4="הכל",מלאי!Z264='לוח בקרה טכנו-מבצעי'!$B$4,מלאי!AA264='לוח בקרה טכנו-מבצעי'!$B$4,מלאי!AB264='לוח בקרה טכנו-מבצעי'!$B$4,מלאי!AC264='לוח בקרה טכנו-מבצעי'!$B$4),OR('לוח בקרה טכנו-מבצעי'!$B$5="הכל",מלאי!A264='לוח בקרה טכנו-מבצעי'!$B$5),OR('לוח בקרה טכנו-מבצעי'!$B$6="הכל",מלאי!B264='לוח בקרה טכנו-מבצעי'!$B$6),OR('לוח בקרה טכנו-מבצעי'!$B$7="הכל",מלאי!F264='לוח בקרה טכנו-מבצעי'!$B$7,מלאי!G264='לוח בקרה טכנו-מבצעי'!$B$7),OR('לוח בקרה טכנו-מבצעי'!$B$8="הכל",מלאי!T264='לוח בקרה טכנו-מבצעי'!$B$8),OR('לוח בקרה טכנו-מבצעי'!$B$9="הכל",מלאי!Q264='לוח בקרה טכנו-מבצעי'!$B$9),OR('לוח בקרה טכנו-מבצעי'!$E$4="הכל",מלאי!J264='לוח בקרה טכנו-מבצעי'!$E$4),OR('לוח בקרה טכנו-מבצעי'!$E$5="הכל",מלאי!L264='לוח בקרה טכנו-מבצעי'!$E$5),OR('לוח בקרה טכנו-מבצעי'!$E$6="הכל",מלאי!O264='לוח בקרה טכנו-מבצעי'!$E$6),OR('לוח בקרה טכנו-מבצעי'!$E$7="הכל",מלאי!R264='לוח בקרה טכנו-מבצעי'!$E$7),OR('לוח בקרה טכנו-מבצעי'!$E$8="הכל",'לוח בקרה טכנו-מבצעי'!$E$8="",מלאי!W264='לוח בקרה טכנו-מבצעי'!$E$8),OR('לוח בקרה טכנו-מבצעי'!$E$9="הכל",'לוח בקרה טכנו-מבצעי'!$E$9="",ISNUMBER(SEARCH('לוח בקרה טכנו-מבצעי'!$E$9,מלאי!C264))),OR('לוח בקרה טכנו-מבצעי'!$B$10="הכל",מלאי!#REF!='לוח בקרה טכנו-מבצעי'!$B$10)),1,0)</f>
        <v>#REF!</v>
      </c>
      <c r="AF264" t="str">
        <f>IF(AD264=1,COUNTIF($AD$3:$AD264,1),"")</f>
        <v/>
      </c>
      <c r="AG264" t="e">
        <f>IF(AE264=1,COUNTIF($AE$3:$AE264,1),"")</f>
        <v>#REF!</v>
      </c>
    </row>
    <row r="265" spans="1:33" ht="15" customHeight="1" x14ac:dyDescent="0.25">
      <c r="A265" s="19"/>
      <c r="B265" s="19"/>
      <c r="C265" s="19"/>
      <c r="D265" s="19"/>
      <c r="E265" s="19" t="str">
        <f>IFERROR(INDEX(הגדרות!$I$2:$I$47,MATCH(B265,הגדרות!$H$2:$H$47,0)),"")</f>
        <v/>
      </c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t="str">
        <f>IFERROR(INDEX(הגדרות!$B$2:$B$17,MATCH(H265,הגדרות!$A$2:$A$17,0)),"")</f>
        <v/>
      </c>
      <c r="AA265" t="str">
        <f>IFERROR(INDEX(הגדרות!$C$2:$C$17,MATCH(H265,הגדרות!$A$2:$A$17,0)),"")</f>
        <v/>
      </c>
      <c r="AB265" t="str">
        <f>IFERROR(INDEX(הגדרות!$B$2:$B$17,MATCH(I265,הגדרות!$A$2:$A$17,0)),"")</f>
        <v/>
      </c>
      <c r="AC265" t="str">
        <f>IFERROR(INDEX(הגדרות!$C$2:$C$17,MATCH(I265,הגדרות!$A$2:$A$17,0)),"")</f>
        <v/>
      </c>
      <c r="AD265">
        <f>IF(AND(מלאי!D265&lt;&gt;"",OR('לוח בקרה'!$B$4="הכל",מלאי!Z265='לוח בקרה'!$B$4,מלאי!AA265='לוח בקרה'!$B$4,מלאי!AB265='לוח בקרה'!$B$4,מלאי!AC265='לוח בקרה'!$B$4),OR('לוח בקרה'!$B$5="הכל",מלאי!A265='לוח בקרה'!$B$5),OR('לוח בקרה'!$B$6="הכל",מלאי!B265='לוח בקרה'!$B$6),OR('לוח בקרה'!$B$7="הכל",מלאי!F265='לוח בקרה'!$B$7,מלאי!G265='לוח בקרה'!$B$7),OR('לוח בקרה'!$B$8="הכל",מלאי!T265='לוח בקרה'!$B$8),OR('לוח בקרה'!$B$9="הכל",מלאי!Q265='לוח בקרה'!$B$9),OR('לוח בקרה'!$E$4="הכל",מלאי!J265='לוח בקרה'!$E$4),OR('לוח בקרה'!$E$5="הכל",מלאי!L265='לוח בקרה'!$E$5),OR('לוח בקרה'!$E$6="הכל",מלאי!O265='לוח בקרה'!$E$6),OR('לוח בקרה'!$E$7="הכל",מלאי!R265='לוח בקרה'!$E$7),OR('לוח בקרה'!$E$8="הכל",'לוח בקרה'!$E$8="",מלאי!W265='לוח בקרה'!$E$8),OR('לוח בקרה'!$E$9="הכל",'לוח בקרה'!$E$9="",ISNUMBER(SEARCH('לוח בקרה'!$E$9,מלאי!C265)))),1,0)</f>
        <v>0</v>
      </c>
      <c r="AE265" t="e">
        <f>IF(AND(מלאי!D265&lt;&gt;"",OR('לוח בקרה טכנו-מבצעי'!$B$4="הכל",מלאי!Z265='לוח בקרה טכנו-מבצעי'!$B$4,מלאי!AA265='לוח בקרה טכנו-מבצעי'!$B$4,מלאי!AB265='לוח בקרה טכנו-מבצעי'!$B$4,מלאי!AC265='לוח בקרה טכנו-מבצעי'!$B$4),OR('לוח בקרה טכנו-מבצעי'!$B$5="הכל",מלאי!A265='לוח בקרה טכנו-מבצעי'!$B$5),OR('לוח בקרה טכנו-מבצעי'!$B$6="הכל",מלאי!B265='לוח בקרה טכנו-מבצעי'!$B$6),OR('לוח בקרה טכנו-מבצעי'!$B$7="הכל",מלאי!F265='לוח בקרה טכנו-מבצעי'!$B$7,מלאי!G265='לוח בקרה טכנו-מבצעי'!$B$7),OR('לוח בקרה טכנו-מבצעי'!$B$8="הכל",מלאי!T265='לוח בקרה טכנו-מבצעי'!$B$8),OR('לוח בקרה טכנו-מבצעי'!$B$9="הכל",מלאי!Q265='לוח בקרה טכנו-מבצעי'!$B$9),OR('לוח בקרה טכנו-מבצעי'!$E$4="הכל",מלאי!J265='לוח בקרה טכנו-מבצעי'!$E$4),OR('לוח בקרה טכנו-מבצעי'!$E$5="הכל",מלאי!L265='לוח בקרה טכנו-מבצעי'!$E$5),OR('לוח בקרה טכנו-מבצעי'!$E$6="הכל",מלאי!O265='לוח בקרה טכנו-מבצעי'!$E$6),OR('לוח בקרה טכנו-מבצעי'!$E$7="הכל",מלאי!R265='לוח בקרה טכנו-מבצעי'!$E$7),OR('לוח בקרה טכנו-מבצעי'!$E$8="הכל",'לוח בקרה טכנו-מבצעי'!$E$8="",מלאי!W265='לוח בקרה טכנו-מבצעי'!$E$8),OR('לוח בקרה טכנו-מבצעי'!$E$9="הכל",'לוח בקרה טכנו-מבצעי'!$E$9="",ISNUMBER(SEARCH('לוח בקרה טכנו-מבצעי'!$E$9,מלאי!C265))),OR('לוח בקרה טכנו-מבצעי'!$B$10="הכל",מלאי!#REF!='לוח בקרה טכנו-מבצעי'!$B$10)),1,0)</f>
        <v>#REF!</v>
      </c>
      <c r="AF265" t="str">
        <f>IF(AD265=1,COUNTIF($AD$3:$AD265,1),"")</f>
        <v/>
      </c>
      <c r="AG265" t="e">
        <f>IF(AE265=1,COUNTIF($AE$3:$AE265,1),"")</f>
        <v>#REF!</v>
      </c>
    </row>
    <row r="266" spans="1:33" ht="15" customHeight="1" x14ac:dyDescent="0.25">
      <c r="A266" s="17"/>
      <c r="B266" s="17"/>
      <c r="C266" s="17"/>
      <c r="D266" s="17"/>
      <c r="E266" s="17" t="str">
        <f>IFERROR(INDEX(הגדרות!$I$2:$I$47,MATCH(B266,הגדרות!$H$2:$H$47,0)),"")</f>
        <v/>
      </c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t="str">
        <f>IFERROR(INDEX(הגדרות!$B$2:$B$17,MATCH(H266,הגדרות!$A$2:$A$17,0)),"")</f>
        <v/>
      </c>
      <c r="AA266" t="str">
        <f>IFERROR(INDEX(הגדרות!$C$2:$C$17,MATCH(H266,הגדרות!$A$2:$A$17,0)),"")</f>
        <v/>
      </c>
      <c r="AB266" t="str">
        <f>IFERROR(INDEX(הגדרות!$B$2:$B$17,MATCH(I266,הגדרות!$A$2:$A$17,0)),"")</f>
        <v/>
      </c>
      <c r="AC266" t="str">
        <f>IFERROR(INDEX(הגדרות!$C$2:$C$17,MATCH(I266,הגדרות!$A$2:$A$17,0)),"")</f>
        <v/>
      </c>
      <c r="AD266">
        <f>IF(AND(מלאי!D266&lt;&gt;"",OR('לוח בקרה'!$B$4="הכל",מלאי!Z266='לוח בקרה'!$B$4,מלאי!AA266='לוח בקרה'!$B$4,מלאי!AB266='לוח בקרה'!$B$4,מלאי!AC266='לוח בקרה'!$B$4),OR('לוח בקרה'!$B$5="הכל",מלאי!A266='לוח בקרה'!$B$5),OR('לוח בקרה'!$B$6="הכל",מלאי!B266='לוח בקרה'!$B$6),OR('לוח בקרה'!$B$7="הכל",מלאי!F266='לוח בקרה'!$B$7,מלאי!G266='לוח בקרה'!$B$7),OR('לוח בקרה'!$B$8="הכל",מלאי!T266='לוח בקרה'!$B$8),OR('לוח בקרה'!$B$9="הכל",מלאי!Q266='לוח בקרה'!$B$9),OR('לוח בקרה'!$E$4="הכל",מלאי!J266='לוח בקרה'!$E$4),OR('לוח בקרה'!$E$5="הכל",מלאי!L266='לוח בקרה'!$E$5),OR('לוח בקרה'!$E$6="הכל",מלאי!O266='לוח בקרה'!$E$6),OR('לוח בקרה'!$E$7="הכל",מלאי!R266='לוח בקרה'!$E$7),OR('לוח בקרה'!$E$8="הכל",'לוח בקרה'!$E$8="",מלאי!W266='לוח בקרה'!$E$8),OR('לוח בקרה'!$E$9="הכל",'לוח בקרה'!$E$9="",ISNUMBER(SEARCH('לוח בקרה'!$E$9,מלאי!C266)))),1,0)</f>
        <v>0</v>
      </c>
      <c r="AE266" t="e">
        <f>IF(AND(מלאי!D266&lt;&gt;"",OR('לוח בקרה טכנו-מבצעי'!$B$4="הכל",מלאי!Z266='לוח בקרה טכנו-מבצעי'!$B$4,מלאי!AA266='לוח בקרה טכנו-מבצעי'!$B$4,מלאי!AB266='לוח בקרה טכנו-מבצעי'!$B$4,מלאי!AC266='לוח בקרה טכנו-מבצעי'!$B$4),OR('לוח בקרה טכנו-מבצעי'!$B$5="הכל",מלאי!A266='לוח בקרה טכנו-מבצעי'!$B$5),OR('לוח בקרה טכנו-מבצעי'!$B$6="הכל",מלאי!B266='לוח בקרה טכנו-מבצעי'!$B$6),OR('לוח בקרה טכנו-מבצעי'!$B$7="הכל",מלאי!F266='לוח בקרה טכנו-מבצעי'!$B$7,מלאי!G266='לוח בקרה טכנו-מבצעי'!$B$7),OR('לוח בקרה טכנו-מבצעי'!$B$8="הכל",מלאי!T266='לוח בקרה טכנו-מבצעי'!$B$8),OR('לוח בקרה טכנו-מבצעי'!$B$9="הכל",מלאי!Q266='לוח בקרה טכנו-מבצעי'!$B$9),OR('לוח בקרה טכנו-מבצעי'!$E$4="הכל",מלאי!J266='לוח בקרה טכנו-מבצעי'!$E$4),OR('לוח בקרה טכנו-מבצעי'!$E$5="הכל",מלאי!L266='לוח בקרה טכנו-מבצעי'!$E$5),OR('לוח בקרה טכנו-מבצעי'!$E$6="הכל",מלאי!O266='לוח בקרה טכנו-מבצעי'!$E$6),OR('לוח בקרה טכנו-מבצעי'!$E$7="הכל",מלאי!R266='לוח בקרה טכנו-מבצעי'!$E$7),OR('לוח בקרה טכנו-מבצעי'!$E$8="הכל",'לוח בקרה טכנו-מבצעי'!$E$8="",מלאי!W266='לוח בקרה טכנו-מבצעי'!$E$8),OR('לוח בקרה טכנו-מבצעי'!$E$9="הכל",'לוח בקרה טכנו-מבצעי'!$E$9="",ISNUMBER(SEARCH('לוח בקרה טכנו-מבצעי'!$E$9,מלאי!C266))),OR('לוח בקרה טכנו-מבצעי'!$B$10="הכל",מלאי!#REF!='לוח בקרה טכנו-מבצעי'!$B$10)),1,0)</f>
        <v>#REF!</v>
      </c>
      <c r="AF266" t="str">
        <f>IF(AD266=1,COUNTIF($AD$3:$AD266,1),"")</f>
        <v/>
      </c>
      <c r="AG266" t="e">
        <f>IF(AE266=1,COUNTIF($AE$3:$AE266,1),"")</f>
        <v>#REF!</v>
      </c>
    </row>
    <row r="267" spans="1:33" ht="15" customHeight="1" x14ac:dyDescent="0.25">
      <c r="A267" s="19"/>
      <c r="B267" s="19"/>
      <c r="C267" s="19"/>
      <c r="D267" s="19"/>
      <c r="E267" s="19" t="str">
        <f>IFERROR(INDEX(הגדרות!$I$2:$I$47,MATCH(B267,הגדרות!$H$2:$H$47,0)),"")</f>
        <v/>
      </c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t="str">
        <f>IFERROR(INDEX(הגדרות!$B$2:$B$17,MATCH(H267,הגדרות!$A$2:$A$17,0)),"")</f>
        <v/>
      </c>
      <c r="AA267" t="str">
        <f>IFERROR(INDEX(הגדרות!$C$2:$C$17,MATCH(H267,הגדרות!$A$2:$A$17,0)),"")</f>
        <v/>
      </c>
      <c r="AB267" t="str">
        <f>IFERROR(INDEX(הגדרות!$B$2:$B$17,MATCH(I267,הגדרות!$A$2:$A$17,0)),"")</f>
        <v/>
      </c>
      <c r="AC267" t="str">
        <f>IFERROR(INDEX(הגדרות!$C$2:$C$17,MATCH(I267,הגדרות!$A$2:$A$17,0)),"")</f>
        <v/>
      </c>
      <c r="AD267">
        <f>IF(AND(מלאי!D267&lt;&gt;"",OR('לוח בקרה'!$B$4="הכל",מלאי!Z267='לוח בקרה'!$B$4,מלאי!AA267='לוח בקרה'!$B$4,מלאי!AB267='לוח בקרה'!$B$4,מלאי!AC267='לוח בקרה'!$B$4),OR('לוח בקרה'!$B$5="הכל",מלאי!A267='לוח בקרה'!$B$5),OR('לוח בקרה'!$B$6="הכל",מלאי!B267='לוח בקרה'!$B$6),OR('לוח בקרה'!$B$7="הכל",מלאי!F267='לוח בקרה'!$B$7,מלאי!G267='לוח בקרה'!$B$7),OR('לוח בקרה'!$B$8="הכל",מלאי!T267='לוח בקרה'!$B$8),OR('לוח בקרה'!$B$9="הכל",מלאי!Q267='לוח בקרה'!$B$9),OR('לוח בקרה'!$E$4="הכל",מלאי!J267='לוח בקרה'!$E$4),OR('לוח בקרה'!$E$5="הכל",מלאי!L267='לוח בקרה'!$E$5),OR('לוח בקרה'!$E$6="הכל",מלאי!O267='לוח בקרה'!$E$6),OR('לוח בקרה'!$E$7="הכל",מלאי!R267='לוח בקרה'!$E$7),OR('לוח בקרה'!$E$8="הכל",'לוח בקרה'!$E$8="",מלאי!W267='לוח בקרה'!$E$8),OR('לוח בקרה'!$E$9="הכל",'לוח בקרה'!$E$9="",ISNUMBER(SEARCH('לוח בקרה'!$E$9,מלאי!C267)))),1,0)</f>
        <v>0</v>
      </c>
      <c r="AE267" t="e">
        <f>IF(AND(מלאי!D267&lt;&gt;"",OR('לוח בקרה טכנו-מבצעי'!$B$4="הכל",מלאי!Z267='לוח בקרה טכנו-מבצעי'!$B$4,מלאי!AA267='לוח בקרה טכנו-מבצעי'!$B$4,מלאי!AB267='לוח בקרה טכנו-מבצעי'!$B$4,מלאי!AC267='לוח בקרה טכנו-מבצעי'!$B$4),OR('לוח בקרה טכנו-מבצעי'!$B$5="הכל",מלאי!A267='לוח בקרה טכנו-מבצעי'!$B$5),OR('לוח בקרה טכנו-מבצעי'!$B$6="הכל",מלאי!B267='לוח בקרה טכנו-מבצעי'!$B$6),OR('לוח בקרה טכנו-מבצעי'!$B$7="הכל",מלאי!F267='לוח בקרה טכנו-מבצעי'!$B$7,מלאי!G267='לוח בקרה טכנו-מבצעי'!$B$7),OR('לוח בקרה טכנו-מבצעי'!$B$8="הכל",מלאי!T267='לוח בקרה טכנו-מבצעי'!$B$8),OR('לוח בקרה טכנו-מבצעי'!$B$9="הכל",מלאי!Q267='לוח בקרה טכנו-מבצעי'!$B$9),OR('לוח בקרה טכנו-מבצעי'!$E$4="הכל",מלאי!J267='לוח בקרה טכנו-מבצעי'!$E$4),OR('לוח בקרה טכנו-מבצעי'!$E$5="הכל",מלאי!L267='לוח בקרה טכנו-מבצעי'!$E$5),OR('לוח בקרה טכנו-מבצעי'!$E$6="הכל",מלאי!O267='לוח בקרה טכנו-מבצעי'!$E$6),OR('לוח בקרה טכנו-מבצעי'!$E$7="הכל",מלאי!R267='לוח בקרה טכנו-מבצעי'!$E$7),OR('לוח בקרה טכנו-מבצעי'!$E$8="הכל",'לוח בקרה טכנו-מבצעי'!$E$8="",מלאי!W267='לוח בקרה טכנו-מבצעי'!$E$8),OR('לוח בקרה טכנו-מבצעי'!$E$9="הכל",'לוח בקרה טכנו-מבצעי'!$E$9="",ISNUMBER(SEARCH('לוח בקרה טכנו-מבצעי'!$E$9,מלאי!C267))),OR('לוח בקרה טכנו-מבצעי'!$B$10="הכל",מלאי!#REF!='לוח בקרה טכנו-מבצעי'!$B$10)),1,0)</f>
        <v>#REF!</v>
      </c>
      <c r="AF267" t="str">
        <f>IF(AD267=1,COUNTIF($AD$3:$AD267,1),"")</f>
        <v/>
      </c>
      <c r="AG267" t="e">
        <f>IF(AE267=1,COUNTIF($AE$3:$AE267,1),"")</f>
        <v>#REF!</v>
      </c>
    </row>
    <row r="268" spans="1:33" ht="15" customHeight="1" x14ac:dyDescent="0.25">
      <c r="A268" s="17"/>
      <c r="B268" s="17"/>
      <c r="C268" s="17"/>
      <c r="D268" s="17"/>
      <c r="E268" s="17" t="str">
        <f>IFERROR(INDEX(הגדרות!$I$2:$I$47,MATCH(B268,הגדרות!$H$2:$H$47,0)),"")</f>
        <v/>
      </c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t="str">
        <f>IFERROR(INDEX(הגדרות!$B$2:$B$17,MATCH(H268,הגדרות!$A$2:$A$17,0)),"")</f>
        <v/>
      </c>
      <c r="AA268" t="str">
        <f>IFERROR(INDEX(הגדרות!$C$2:$C$17,MATCH(H268,הגדרות!$A$2:$A$17,0)),"")</f>
        <v/>
      </c>
      <c r="AB268" t="str">
        <f>IFERROR(INDEX(הגדרות!$B$2:$B$17,MATCH(I268,הגדרות!$A$2:$A$17,0)),"")</f>
        <v/>
      </c>
      <c r="AC268" t="str">
        <f>IFERROR(INDEX(הגדרות!$C$2:$C$17,MATCH(I268,הגדרות!$A$2:$A$17,0)),"")</f>
        <v/>
      </c>
      <c r="AD268">
        <f>IF(AND(מלאי!D268&lt;&gt;"",OR('לוח בקרה'!$B$4="הכל",מלאי!Z268='לוח בקרה'!$B$4,מלאי!AA268='לוח בקרה'!$B$4,מלאי!AB268='לוח בקרה'!$B$4,מלאי!AC268='לוח בקרה'!$B$4),OR('לוח בקרה'!$B$5="הכל",מלאי!A268='לוח בקרה'!$B$5),OR('לוח בקרה'!$B$6="הכל",מלאי!B268='לוח בקרה'!$B$6),OR('לוח בקרה'!$B$7="הכל",מלאי!F268='לוח בקרה'!$B$7,מלאי!G268='לוח בקרה'!$B$7),OR('לוח בקרה'!$B$8="הכל",מלאי!T268='לוח בקרה'!$B$8),OR('לוח בקרה'!$B$9="הכל",מלאי!Q268='לוח בקרה'!$B$9),OR('לוח בקרה'!$E$4="הכל",מלאי!J268='לוח בקרה'!$E$4),OR('לוח בקרה'!$E$5="הכל",מלאי!L268='לוח בקרה'!$E$5),OR('לוח בקרה'!$E$6="הכל",מלאי!O268='לוח בקרה'!$E$6),OR('לוח בקרה'!$E$7="הכל",מלאי!R268='לוח בקרה'!$E$7),OR('לוח בקרה'!$E$8="הכל",'לוח בקרה'!$E$8="",מלאי!W268='לוח בקרה'!$E$8),OR('לוח בקרה'!$E$9="הכל",'לוח בקרה'!$E$9="",ISNUMBER(SEARCH('לוח בקרה'!$E$9,מלאי!C268)))),1,0)</f>
        <v>0</v>
      </c>
      <c r="AE268" t="e">
        <f>IF(AND(מלאי!D268&lt;&gt;"",OR('לוח בקרה טכנו-מבצעי'!$B$4="הכל",מלאי!Z268='לוח בקרה טכנו-מבצעי'!$B$4,מלאי!AA268='לוח בקרה טכנו-מבצעי'!$B$4,מלאי!AB268='לוח בקרה טכנו-מבצעי'!$B$4,מלאי!AC268='לוח בקרה טכנו-מבצעי'!$B$4),OR('לוח בקרה טכנו-מבצעי'!$B$5="הכל",מלאי!A268='לוח בקרה טכנו-מבצעי'!$B$5),OR('לוח בקרה טכנו-מבצעי'!$B$6="הכל",מלאי!B268='לוח בקרה טכנו-מבצעי'!$B$6),OR('לוח בקרה טכנו-מבצעי'!$B$7="הכל",מלאי!F268='לוח בקרה טכנו-מבצעי'!$B$7,מלאי!G268='לוח בקרה טכנו-מבצעי'!$B$7),OR('לוח בקרה טכנו-מבצעי'!$B$8="הכל",מלאי!T268='לוח בקרה טכנו-מבצעי'!$B$8),OR('לוח בקרה טכנו-מבצעי'!$B$9="הכל",מלאי!Q268='לוח בקרה טכנו-מבצעי'!$B$9),OR('לוח בקרה טכנו-מבצעי'!$E$4="הכל",מלאי!J268='לוח בקרה טכנו-מבצעי'!$E$4),OR('לוח בקרה טכנו-מבצעי'!$E$5="הכל",מלאי!L268='לוח בקרה טכנו-מבצעי'!$E$5),OR('לוח בקרה טכנו-מבצעי'!$E$6="הכל",מלאי!O268='לוח בקרה טכנו-מבצעי'!$E$6),OR('לוח בקרה טכנו-מבצעי'!$E$7="הכל",מלאי!R268='לוח בקרה טכנו-מבצעי'!$E$7),OR('לוח בקרה טכנו-מבצעי'!$E$8="הכל",'לוח בקרה טכנו-מבצעי'!$E$8="",מלאי!W268='לוח בקרה טכנו-מבצעי'!$E$8),OR('לוח בקרה טכנו-מבצעי'!$E$9="הכל",'לוח בקרה טכנו-מבצעי'!$E$9="",ISNUMBER(SEARCH('לוח בקרה טכנו-מבצעי'!$E$9,מלאי!C268))),OR('לוח בקרה טכנו-מבצעי'!$B$10="הכל",מלאי!#REF!='לוח בקרה טכנו-מבצעי'!$B$10)),1,0)</f>
        <v>#REF!</v>
      </c>
      <c r="AF268" t="str">
        <f>IF(AD268=1,COUNTIF($AD$3:$AD268,1),"")</f>
        <v/>
      </c>
      <c r="AG268" t="e">
        <f>IF(AE268=1,COUNTIF($AE$3:$AE268,1),"")</f>
        <v>#REF!</v>
      </c>
    </row>
    <row r="269" spans="1:33" ht="15" customHeight="1" x14ac:dyDescent="0.25">
      <c r="A269" s="19"/>
      <c r="B269" s="19"/>
      <c r="C269" s="19"/>
      <c r="D269" s="19"/>
      <c r="E269" s="19" t="str">
        <f>IFERROR(INDEX(הגדרות!$I$2:$I$47,MATCH(B269,הגדרות!$H$2:$H$47,0)),"")</f>
        <v/>
      </c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t="str">
        <f>IFERROR(INDEX(הגדרות!$B$2:$B$17,MATCH(H269,הגדרות!$A$2:$A$17,0)),"")</f>
        <v/>
      </c>
      <c r="AA269" t="str">
        <f>IFERROR(INDEX(הגדרות!$C$2:$C$17,MATCH(H269,הגדרות!$A$2:$A$17,0)),"")</f>
        <v/>
      </c>
      <c r="AB269" t="str">
        <f>IFERROR(INDEX(הגדרות!$B$2:$B$17,MATCH(I269,הגדרות!$A$2:$A$17,0)),"")</f>
        <v/>
      </c>
      <c r="AC269" t="str">
        <f>IFERROR(INDEX(הגדרות!$C$2:$C$17,MATCH(I269,הגדרות!$A$2:$A$17,0)),"")</f>
        <v/>
      </c>
      <c r="AD269">
        <f>IF(AND(מלאי!D269&lt;&gt;"",OR('לוח בקרה'!$B$4="הכל",מלאי!Z269='לוח בקרה'!$B$4,מלאי!AA269='לוח בקרה'!$B$4,מלאי!AB269='לוח בקרה'!$B$4,מלאי!AC269='לוח בקרה'!$B$4),OR('לוח בקרה'!$B$5="הכל",מלאי!A269='לוח בקרה'!$B$5),OR('לוח בקרה'!$B$6="הכל",מלאי!B269='לוח בקרה'!$B$6),OR('לוח בקרה'!$B$7="הכל",מלאי!F269='לוח בקרה'!$B$7,מלאי!G269='לוח בקרה'!$B$7),OR('לוח בקרה'!$B$8="הכל",מלאי!T269='לוח בקרה'!$B$8),OR('לוח בקרה'!$B$9="הכל",מלאי!Q269='לוח בקרה'!$B$9),OR('לוח בקרה'!$E$4="הכל",מלאי!J269='לוח בקרה'!$E$4),OR('לוח בקרה'!$E$5="הכל",מלאי!L269='לוח בקרה'!$E$5),OR('לוח בקרה'!$E$6="הכל",מלאי!O269='לוח בקרה'!$E$6),OR('לוח בקרה'!$E$7="הכל",מלאי!R269='לוח בקרה'!$E$7),OR('לוח בקרה'!$E$8="הכל",'לוח בקרה'!$E$8="",מלאי!W269='לוח בקרה'!$E$8),OR('לוח בקרה'!$E$9="הכל",'לוח בקרה'!$E$9="",ISNUMBER(SEARCH('לוח בקרה'!$E$9,מלאי!C269)))),1,0)</f>
        <v>0</v>
      </c>
      <c r="AE269" t="e">
        <f>IF(AND(מלאי!D269&lt;&gt;"",OR('לוח בקרה טכנו-מבצעי'!$B$4="הכל",מלאי!Z269='לוח בקרה טכנו-מבצעי'!$B$4,מלאי!AA269='לוח בקרה טכנו-מבצעי'!$B$4,מלאי!AB269='לוח בקרה טכנו-מבצעי'!$B$4,מלאי!AC269='לוח בקרה טכנו-מבצעי'!$B$4),OR('לוח בקרה טכנו-מבצעי'!$B$5="הכל",מלאי!A269='לוח בקרה טכנו-מבצעי'!$B$5),OR('לוח בקרה טכנו-מבצעי'!$B$6="הכל",מלאי!B269='לוח בקרה טכנו-מבצעי'!$B$6),OR('לוח בקרה טכנו-מבצעי'!$B$7="הכל",מלאי!F269='לוח בקרה טכנו-מבצעי'!$B$7,מלאי!G269='לוח בקרה טכנו-מבצעי'!$B$7),OR('לוח בקרה טכנו-מבצעי'!$B$8="הכל",מלאי!T269='לוח בקרה טכנו-מבצעי'!$B$8),OR('לוח בקרה טכנו-מבצעי'!$B$9="הכל",מלאי!Q269='לוח בקרה טכנו-מבצעי'!$B$9),OR('לוח בקרה טכנו-מבצעי'!$E$4="הכל",מלאי!J269='לוח בקרה טכנו-מבצעי'!$E$4),OR('לוח בקרה טכנו-מבצעי'!$E$5="הכל",מלאי!L269='לוח בקרה טכנו-מבצעי'!$E$5),OR('לוח בקרה טכנו-מבצעי'!$E$6="הכל",מלאי!O269='לוח בקרה טכנו-מבצעי'!$E$6),OR('לוח בקרה טכנו-מבצעי'!$E$7="הכל",מלאי!R269='לוח בקרה טכנו-מבצעי'!$E$7),OR('לוח בקרה טכנו-מבצעי'!$E$8="הכל",'לוח בקרה טכנו-מבצעי'!$E$8="",מלאי!W269='לוח בקרה טכנו-מבצעי'!$E$8),OR('לוח בקרה טכנו-מבצעי'!$E$9="הכל",'לוח בקרה טכנו-מבצעי'!$E$9="",ISNUMBER(SEARCH('לוח בקרה טכנו-מבצעי'!$E$9,מלאי!C269))),OR('לוח בקרה טכנו-מבצעי'!$B$10="הכל",מלאי!#REF!='לוח בקרה טכנו-מבצעי'!$B$10)),1,0)</f>
        <v>#REF!</v>
      </c>
      <c r="AF269" t="str">
        <f>IF(AD269=1,COUNTIF($AD$3:$AD269,1),"")</f>
        <v/>
      </c>
      <c r="AG269" t="e">
        <f>IF(AE269=1,COUNTIF($AE$3:$AE269,1),"")</f>
        <v>#REF!</v>
      </c>
    </row>
    <row r="270" spans="1:33" ht="15" customHeight="1" x14ac:dyDescent="0.25">
      <c r="A270" s="17"/>
      <c r="B270" s="17"/>
      <c r="C270" s="17"/>
      <c r="D270" s="17"/>
      <c r="E270" s="17" t="str">
        <f>IFERROR(INDEX(הגדרות!$I$2:$I$47,MATCH(B270,הגדרות!$H$2:$H$47,0)),"")</f>
        <v/>
      </c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t="str">
        <f>IFERROR(INDEX(הגדרות!$B$2:$B$17,MATCH(H270,הגדרות!$A$2:$A$17,0)),"")</f>
        <v/>
      </c>
      <c r="AA270" t="str">
        <f>IFERROR(INDEX(הגדרות!$C$2:$C$17,MATCH(H270,הגדרות!$A$2:$A$17,0)),"")</f>
        <v/>
      </c>
      <c r="AB270" t="str">
        <f>IFERROR(INDEX(הגדרות!$B$2:$B$17,MATCH(I270,הגדרות!$A$2:$A$17,0)),"")</f>
        <v/>
      </c>
      <c r="AC270" t="str">
        <f>IFERROR(INDEX(הגדרות!$C$2:$C$17,MATCH(I270,הגדרות!$A$2:$A$17,0)),"")</f>
        <v/>
      </c>
      <c r="AD270">
        <f>IF(AND(מלאי!D270&lt;&gt;"",OR('לוח בקרה'!$B$4="הכל",מלאי!Z270='לוח בקרה'!$B$4,מלאי!AA270='לוח בקרה'!$B$4,מלאי!AB270='לוח בקרה'!$B$4,מלאי!AC270='לוח בקרה'!$B$4),OR('לוח בקרה'!$B$5="הכל",מלאי!A270='לוח בקרה'!$B$5),OR('לוח בקרה'!$B$6="הכל",מלאי!B270='לוח בקרה'!$B$6),OR('לוח בקרה'!$B$7="הכל",מלאי!F270='לוח בקרה'!$B$7,מלאי!G270='לוח בקרה'!$B$7),OR('לוח בקרה'!$B$8="הכל",מלאי!T270='לוח בקרה'!$B$8),OR('לוח בקרה'!$B$9="הכל",מלאי!Q270='לוח בקרה'!$B$9),OR('לוח בקרה'!$E$4="הכל",מלאי!J270='לוח בקרה'!$E$4),OR('לוח בקרה'!$E$5="הכל",מלאי!L270='לוח בקרה'!$E$5),OR('לוח בקרה'!$E$6="הכל",מלאי!O270='לוח בקרה'!$E$6),OR('לוח בקרה'!$E$7="הכל",מלאי!R270='לוח בקרה'!$E$7),OR('לוח בקרה'!$E$8="הכל",'לוח בקרה'!$E$8="",מלאי!W270='לוח בקרה'!$E$8),OR('לוח בקרה'!$E$9="הכל",'לוח בקרה'!$E$9="",ISNUMBER(SEARCH('לוח בקרה'!$E$9,מלאי!C270)))),1,0)</f>
        <v>0</v>
      </c>
      <c r="AE270" t="e">
        <f>IF(AND(מלאי!D270&lt;&gt;"",OR('לוח בקרה טכנו-מבצעי'!$B$4="הכל",מלאי!Z270='לוח בקרה טכנו-מבצעי'!$B$4,מלאי!AA270='לוח בקרה טכנו-מבצעי'!$B$4,מלאי!AB270='לוח בקרה טכנו-מבצעי'!$B$4,מלאי!AC270='לוח בקרה טכנו-מבצעי'!$B$4),OR('לוח בקרה טכנו-מבצעי'!$B$5="הכל",מלאי!A270='לוח בקרה טכנו-מבצעי'!$B$5),OR('לוח בקרה טכנו-מבצעי'!$B$6="הכל",מלאי!B270='לוח בקרה טכנו-מבצעי'!$B$6),OR('לוח בקרה טכנו-מבצעי'!$B$7="הכל",מלאי!F270='לוח בקרה טכנו-מבצעי'!$B$7,מלאי!G270='לוח בקרה טכנו-מבצעי'!$B$7),OR('לוח בקרה טכנו-מבצעי'!$B$8="הכל",מלאי!T270='לוח בקרה טכנו-מבצעי'!$B$8),OR('לוח בקרה טכנו-מבצעי'!$B$9="הכל",מלאי!Q270='לוח בקרה טכנו-מבצעי'!$B$9),OR('לוח בקרה טכנו-מבצעי'!$E$4="הכל",מלאי!J270='לוח בקרה טכנו-מבצעי'!$E$4),OR('לוח בקרה טכנו-מבצעי'!$E$5="הכל",מלאי!L270='לוח בקרה טכנו-מבצעי'!$E$5),OR('לוח בקרה טכנו-מבצעי'!$E$6="הכל",מלאי!O270='לוח בקרה טכנו-מבצעי'!$E$6),OR('לוח בקרה טכנו-מבצעי'!$E$7="הכל",מלאי!R270='לוח בקרה טכנו-מבצעי'!$E$7),OR('לוח בקרה טכנו-מבצעי'!$E$8="הכל",'לוח בקרה טכנו-מבצעי'!$E$8="",מלאי!W270='לוח בקרה טכנו-מבצעי'!$E$8),OR('לוח בקרה טכנו-מבצעי'!$E$9="הכל",'לוח בקרה טכנו-מבצעי'!$E$9="",ISNUMBER(SEARCH('לוח בקרה טכנו-מבצעי'!$E$9,מלאי!C270))),OR('לוח בקרה טכנו-מבצעי'!$B$10="הכל",מלאי!#REF!='לוח בקרה טכנו-מבצעי'!$B$10)),1,0)</f>
        <v>#REF!</v>
      </c>
      <c r="AF270" t="str">
        <f>IF(AD270=1,COUNTIF($AD$3:$AD270,1),"")</f>
        <v/>
      </c>
      <c r="AG270" t="e">
        <f>IF(AE270=1,COUNTIF($AE$3:$AE270,1),"")</f>
        <v>#REF!</v>
      </c>
    </row>
    <row r="271" spans="1:33" ht="15" customHeight="1" x14ac:dyDescent="0.25">
      <c r="A271" s="19"/>
      <c r="B271" s="19"/>
      <c r="C271" s="19"/>
      <c r="D271" s="19"/>
      <c r="E271" s="19" t="str">
        <f>IFERROR(INDEX(הגדרות!$I$2:$I$47,MATCH(B271,הגדרות!$H$2:$H$47,0)),"")</f>
        <v/>
      </c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t="str">
        <f>IFERROR(INDEX(הגדרות!$B$2:$B$17,MATCH(H271,הגדרות!$A$2:$A$17,0)),"")</f>
        <v/>
      </c>
      <c r="AA271" t="str">
        <f>IFERROR(INDEX(הגדרות!$C$2:$C$17,MATCH(H271,הגדרות!$A$2:$A$17,0)),"")</f>
        <v/>
      </c>
      <c r="AB271" t="str">
        <f>IFERROR(INDEX(הגדרות!$B$2:$B$17,MATCH(I271,הגדרות!$A$2:$A$17,0)),"")</f>
        <v/>
      </c>
      <c r="AC271" t="str">
        <f>IFERROR(INDEX(הגדרות!$C$2:$C$17,MATCH(I271,הגדרות!$A$2:$A$17,0)),"")</f>
        <v/>
      </c>
      <c r="AD271">
        <f>IF(AND(מלאי!D271&lt;&gt;"",OR('לוח בקרה'!$B$4="הכל",מלאי!Z271='לוח בקרה'!$B$4,מלאי!AA271='לוח בקרה'!$B$4,מלאי!AB271='לוח בקרה'!$B$4,מלאי!AC271='לוח בקרה'!$B$4),OR('לוח בקרה'!$B$5="הכל",מלאי!A271='לוח בקרה'!$B$5),OR('לוח בקרה'!$B$6="הכל",מלאי!B271='לוח בקרה'!$B$6),OR('לוח בקרה'!$B$7="הכל",מלאי!F271='לוח בקרה'!$B$7,מלאי!G271='לוח בקרה'!$B$7),OR('לוח בקרה'!$B$8="הכל",מלאי!T271='לוח בקרה'!$B$8),OR('לוח בקרה'!$B$9="הכל",מלאי!Q271='לוח בקרה'!$B$9),OR('לוח בקרה'!$E$4="הכל",מלאי!J271='לוח בקרה'!$E$4),OR('לוח בקרה'!$E$5="הכל",מלאי!L271='לוח בקרה'!$E$5),OR('לוח בקרה'!$E$6="הכל",מלאי!O271='לוח בקרה'!$E$6),OR('לוח בקרה'!$E$7="הכל",מלאי!R271='לוח בקרה'!$E$7),OR('לוח בקרה'!$E$8="הכל",'לוח בקרה'!$E$8="",מלאי!W271='לוח בקרה'!$E$8),OR('לוח בקרה'!$E$9="הכל",'לוח בקרה'!$E$9="",ISNUMBER(SEARCH('לוח בקרה'!$E$9,מלאי!C271)))),1,0)</f>
        <v>0</v>
      </c>
      <c r="AE271" t="e">
        <f>IF(AND(מלאי!D271&lt;&gt;"",OR('לוח בקרה טכנו-מבצעי'!$B$4="הכל",מלאי!Z271='לוח בקרה טכנו-מבצעי'!$B$4,מלאי!AA271='לוח בקרה טכנו-מבצעי'!$B$4,מלאי!AB271='לוח בקרה טכנו-מבצעי'!$B$4,מלאי!AC271='לוח בקרה טכנו-מבצעי'!$B$4),OR('לוח בקרה טכנו-מבצעי'!$B$5="הכל",מלאי!A271='לוח בקרה טכנו-מבצעי'!$B$5),OR('לוח בקרה טכנו-מבצעי'!$B$6="הכל",מלאי!B271='לוח בקרה טכנו-מבצעי'!$B$6),OR('לוח בקרה טכנו-מבצעי'!$B$7="הכל",מלאי!F271='לוח בקרה טכנו-מבצעי'!$B$7,מלאי!G271='לוח בקרה טכנו-מבצעי'!$B$7),OR('לוח בקרה טכנו-מבצעי'!$B$8="הכל",מלאי!T271='לוח בקרה טכנו-מבצעי'!$B$8),OR('לוח בקרה טכנו-מבצעי'!$B$9="הכל",מלאי!Q271='לוח בקרה טכנו-מבצעי'!$B$9),OR('לוח בקרה טכנו-מבצעי'!$E$4="הכל",מלאי!J271='לוח בקרה טכנו-מבצעי'!$E$4),OR('לוח בקרה טכנו-מבצעי'!$E$5="הכל",מלאי!L271='לוח בקרה טכנו-מבצעי'!$E$5),OR('לוח בקרה טכנו-מבצעי'!$E$6="הכל",מלאי!O271='לוח בקרה טכנו-מבצעי'!$E$6),OR('לוח בקרה טכנו-מבצעי'!$E$7="הכל",מלאי!R271='לוח בקרה טכנו-מבצעי'!$E$7),OR('לוח בקרה טכנו-מבצעי'!$E$8="הכל",'לוח בקרה טכנו-מבצעי'!$E$8="",מלאי!W271='לוח בקרה טכנו-מבצעי'!$E$8),OR('לוח בקרה טכנו-מבצעי'!$E$9="הכל",'לוח בקרה טכנו-מבצעי'!$E$9="",ISNUMBER(SEARCH('לוח בקרה טכנו-מבצעי'!$E$9,מלאי!C271))),OR('לוח בקרה טכנו-מבצעי'!$B$10="הכל",מלאי!#REF!='לוח בקרה טכנו-מבצעי'!$B$10)),1,0)</f>
        <v>#REF!</v>
      </c>
      <c r="AF271" t="str">
        <f>IF(AD271=1,COUNTIF($AD$3:$AD271,1),"")</f>
        <v/>
      </c>
      <c r="AG271" t="e">
        <f>IF(AE271=1,COUNTIF($AE$3:$AE271,1),"")</f>
        <v>#REF!</v>
      </c>
    </row>
    <row r="272" spans="1:33" ht="15" customHeight="1" x14ac:dyDescent="0.25">
      <c r="A272" s="17"/>
      <c r="B272" s="17"/>
      <c r="C272" s="17"/>
      <c r="D272" s="17"/>
      <c r="E272" s="17" t="str">
        <f>IFERROR(INDEX(הגדרות!$I$2:$I$47,MATCH(B272,הגדרות!$H$2:$H$47,0)),"")</f>
        <v/>
      </c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t="str">
        <f>IFERROR(INDEX(הגדרות!$B$2:$B$17,MATCH(H272,הגדרות!$A$2:$A$17,0)),"")</f>
        <v/>
      </c>
      <c r="AA272" t="str">
        <f>IFERROR(INDEX(הגדרות!$C$2:$C$17,MATCH(H272,הגדרות!$A$2:$A$17,0)),"")</f>
        <v/>
      </c>
      <c r="AB272" t="str">
        <f>IFERROR(INDEX(הגדרות!$B$2:$B$17,MATCH(I272,הגדרות!$A$2:$A$17,0)),"")</f>
        <v/>
      </c>
      <c r="AC272" t="str">
        <f>IFERROR(INDEX(הגדרות!$C$2:$C$17,MATCH(I272,הגדרות!$A$2:$A$17,0)),"")</f>
        <v/>
      </c>
      <c r="AD272">
        <f>IF(AND(מלאי!D272&lt;&gt;"",OR('לוח בקרה'!$B$4="הכל",מלאי!Z272='לוח בקרה'!$B$4,מלאי!AA272='לוח בקרה'!$B$4,מלאי!AB272='לוח בקרה'!$B$4,מלאי!AC272='לוח בקרה'!$B$4),OR('לוח בקרה'!$B$5="הכל",מלאי!A272='לוח בקרה'!$B$5),OR('לוח בקרה'!$B$6="הכל",מלאי!B272='לוח בקרה'!$B$6),OR('לוח בקרה'!$B$7="הכל",מלאי!F272='לוח בקרה'!$B$7,מלאי!G272='לוח בקרה'!$B$7),OR('לוח בקרה'!$B$8="הכל",מלאי!T272='לוח בקרה'!$B$8),OR('לוח בקרה'!$B$9="הכל",מלאי!Q272='לוח בקרה'!$B$9),OR('לוח בקרה'!$E$4="הכל",מלאי!J272='לוח בקרה'!$E$4),OR('לוח בקרה'!$E$5="הכל",מלאי!L272='לוח בקרה'!$E$5),OR('לוח בקרה'!$E$6="הכל",מלאי!O272='לוח בקרה'!$E$6),OR('לוח בקרה'!$E$7="הכל",מלאי!R272='לוח בקרה'!$E$7),OR('לוח בקרה'!$E$8="הכל",'לוח בקרה'!$E$8="",מלאי!W272='לוח בקרה'!$E$8),OR('לוח בקרה'!$E$9="הכל",'לוח בקרה'!$E$9="",ISNUMBER(SEARCH('לוח בקרה'!$E$9,מלאי!C272)))),1,0)</f>
        <v>0</v>
      </c>
      <c r="AE272" t="e">
        <f>IF(AND(מלאי!D272&lt;&gt;"",OR('לוח בקרה טכנו-מבצעי'!$B$4="הכל",מלאי!Z272='לוח בקרה טכנו-מבצעי'!$B$4,מלאי!AA272='לוח בקרה טכנו-מבצעי'!$B$4,מלאי!AB272='לוח בקרה טכנו-מבצעי'!$B$4,מלאי!AC272='לוח בקרה טכנו-מבצעי'!$B$4),OR('לוח בקרה טכנו-מבצעי'!$B$5="הכל",מלאי!A272='לוח בקרה טכנו-מבצעי'!$B$5),OR('לוח בקרה טכנו-מבצעי'!$B$6="הכל",מלאי!B272='לוח בקרה טכנו-מבצעי'!$B$6),OR('לוח בקרה טכנו-מבצעי'!$B$7="הכל",מלאי!F272='לוח בקרה טכנו-מבצעי'!$B$7,מלאי!G272='לוח בקרה טכנו-מבצעי'!$B$7),OR('לוח בקרה טכנו-מבצעי'!$B$8="הכל",מלאי!T272='לוח בקרה טכנו-מבצעי'!$B$8),OR('לוח בקרה טכנו-מבצעי'!$B$9="הכל",מלאי!Q272='לוח בקרה טכנו-מבצעי'!$B$9),OR('לוח בקרה טכנו-מבצעי'!$E$4="הכל",מלאי!J272='לוח בקרה טכנו-מבצעי'!$E$4),OR('לוח בקרה טכנו-מבצעי'!$E$5="הכל",מלאי!L272='לוח בקרה טכנו-מבצעי'!$E$5),OR('לוח בקרה טכנו-מבצעי'!$E$6="הכל",מלאי!O272='לוח בקרה טכנו-מבצעי'!$E$6),OR('לוח בקרה טכנו-מבצעי'!$E$7="הכל",מלאי!R272='לוח בקרה טכנו-מבצעי'!$E$7),OR('לוח בקרה טכנו-מבצעי'!$E$8="הכל",'לוח בקרה טכנו-מבצעי'!$E$8="",מלאי!W272='לוח בקרה טכנו-מבצעי'!$E$8),OR('לוח בקרה טכנו-מבצעי'!$E$9="הכל",'לוח בקרה טכנו-מבצעי'!$E$9="",ISNUMBER(SEARCH('לוח בקרה טכנו-מבצעי'!$E$9,מלאי!C272))),OR('לוח בקרה טכנו-מבצעי'!$B$10="הכל",מלאי!#REF!='לוח בקרה טכנו-מבצעי'!$B$10)),1,0)</f>
        <v>#REF!</v>
      </c>
      <c r="AF272" t="str">
        <f>IF(AD272=1,COUNTIF($AD$3:$AD272,1),"")</f>
        <v/>
      </c>
      <c r="AG272" t="e">
        <f>IF(AE272=1,COUNTIF($AE$3:$AE272,1),"")</f>
        <v>#REF!</v>
      </c>
    </row>
    <row r="273" spans="1:33" ht="15" customHeight="1" x14ac:dyDescent="0.25">
      <c r="A273" s="19"/>
      <c r="B273" s="19"/>
      <c r="C273" s="19"/>
      <c r="D273" s="19"/>
      <c r="E273" s="19" t="str">
        <f>IFERROR(INDEX(הגדרות!$I$2:$I$47,MATCH(B273,הגדרות!$H$2:$H$47,0)),"")</f>
        <v/>
      </c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t="str">
        <f>IFERROR(INDEX(הגדרות!$B$2:$B$17,MATCH(H273,הגדרות!$A$2:$A$17,0)),"")</f>
        <v/>
      </c>
      <c r="AA273" t="str">
        <f>IFERROR(INDEX(הגדרות!$C$2:$C$17,MATCH(H273,הגדרות!$A$2:$A$17,0)),"")</f>
        <v/>
      </c>
      <c r="AB273" t="str">
        <f>IFERROR(INDEX(הגדרות!$B$2:$B$17,MATCH(I273,הגדרות!$A$2:$A$17,0)),"")</f>
        <v/>
      </c>
      <c r="AC273" t="str">
        <f>IFERROR(INDEX(הגדרות!$C$2:$C$17,MATCH(I273,הגדרות!$A$2:$A$17,0)),"")</f>
        <v/>
      </c>
      <c r="AD273">
        <f>IF(AND(מלאי!D273&lt;&gt;"",OR('לוח בקרה'!$B$4="הכל",מלאי!Z273='לוח בקרה'!$B$4,מלאי!AA273='לוח בקרה'!$B$4,מלאי!AB273='לוח בקרה'!$B$4,מלאי!AC273='לוח בקרה'!$B$4),OR('לוח בקרה'!$B$5="הכל",מלאי!A273='לוח בקרה'!$B$5),OR('לוח בקרה'!$B$6="הכל",מלאי!B273='לוח בקרה'!$B$6),OR('לוח בקרה'!$B$7="הכל",מלאי!F273='לוח בקרה'!$B$7,מלאי!G273='לוח בקרה'!$B$7),OR('לוח בקרה'!$B$8="הכל",מלאי!T273='לוח בקרה'!$B$8),OR('לוח בקרה'!$B$9="הכל",מלאי!Q273='לוח בקרה'!$B$9),OR('לוח בקרה'!$E$4="הכל",מלאי!J273='לוח בקרה'!$E$4),OR('לוח בקרה'!$E$5="הכל",מלאי!L273='לוח בקרה'!$E$5),OR('לוח בקרה'!$E$6="הכל",מלאי!O273='לוח בקרה'!$E$6),OR('לוח בקרה'!$E$7="הכל",מלאי!R273='לוח בקרה'!$E$7),OR('לוח בקרה'!$E$8="הכל",'לוח בקרה'!$E$8="",מלאי!W273='לוח בקרה'!$E$8),OR('לוח בקרה'!$E$9="הכל",'לוח בקרה'!$E$9="",ISNUMBER(SEARCH('לוח בקרה'!$E$9,מלאי!C273)))),1,0)</f>
        <v>0</v>
      </c>
      <c r="AE273" t="e">
        <f>IF(AND(מלאי!D273&lt;&gt;"",OR('לוח בקרה טכנו-מבצעי'!$B$4="הכל",מלאי!Z273='לוח בקרה טכנו-מבצעי'!$B$4,מלאי!AA273='לוח בקרה טכנו-מבצעי'!$B$4,מלאי!AB273='לוח בקרה טכנו-מבצעי'!$B$4,מלאי!AC273='לוח בקרה טכנו-מבצעי'!$B$4),OR('לוח בקרה טכנו-מבצעי'!$B$5="הכל",מלאי!A273='לוח בקרה טכנו-מבצעי'!$B$5),OR('לוח בקרה טכנו-מבצעי'!$B$6="הכל",מלאי!B273='לוח בקרה טכנו-מבצעי'!$B$6),OR('לוח בקרה טכנו-מבצעי'!$B$7="הכל",מלאי!F273='לוח בקרה טכנו-מבצעי'!$B$7,מלאי!G273='לוח בקרה טכנו-מבצעי'!$B$7),OR('לוח בקרה טכנו-מבצעי'!$B$8="הכל",מלאי!T273='לוח בקרה טכנו-מבצעי'!$B$8),OR('לוח בקרה טכנו-מבצעי'!$B$9="הכל",מלאי!Q273='לוח בקרה טכנו-מבצעי'!$B$9),OR('לוח בקרה טכנו-מבצעי'!$E$4="הכל",מלאי!J273='לוח בקרה טכנו-מבצעי'!$E$4),OR('לוח בקרה טכנו-מבצעי'!$E$5="הכל",מלאי!L273='לוח בקרה טכנו-מבצעי'!$E$5),OR('לוח בקרה טכנו-מבצעי'!$E$6="הכל",מלאי!O273='לוח בקרה טכנו-מבצעי'!$E$6),OR('לוח בקרה טכנו-מבצעי'!$E$7="הכל",מלאי!R273='לוח בקרה טכנו-מבצעי'!$E$7),OR('לוח בקרה טכנו-מבצעי'!$E$8="הכל",'לוח בקרה טכנו-מבצעי'!$E$8="",מלאי!W273='לוח בקרה טכנו-מבצעי'!$E$8),OR('לוח בקרה טכנו-מבצעי'!$E$9="הכל",'לוח בקרה טכנו-מבצעי'!$E$9="",ISNUMBER(SEARCH('לוח בקרה טכנו-מבצעי'!$E$9,מלאי!C273))),OR('לוח בקרה טכנו-מבצעי'!$B$10="הכל",מלאי!#REF!='לוח בקרה טכנו-מבצעי'!$B$10)),1,0)</f>
        <v>#REF!</v>
      </c>
      <c r="AF273" t="str">
        <f>IF(AD273=1,COUNTIF($AD$3:$AD273,1),"")</f>
        <v/>
      </c>
      <c r="AG273" t="e">
        <f>IF(AE273=1,COUNTIF($AE$3:$AE273,1),"")</f>
        <v>#REF!</v>
      </c>
    </row>
    <row r="274" spans="1:33" ht="15" customHeight="1" x14ac:dyDescent="0.25">
      <c r="A274" s="17"/>
      <c r="B274" s="17"/>
      <c r="C274" s="17"/>
      <c r="D274" s="17"/>
      <c r="E274" s="17" t="str">
        <f>IFERROR(INDEX(הגדרות!$I$2:$I$47,MATCH(B274,הגדרות!$H$2:$H$47,0)),"")</f>
        <v/>
      </c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t="str">
        <f>IFERROR(INDEX(הגדרות!$B$2:$B$17,MATCH(H274,הגדרות!$A$2:$A$17,0)),"")</f>
        <v/>
      </c>
      <c r="AA274" t="str">
        <f>IFERROR(INDEX(הגדרות!$C$2:$C$17,MATCH(H274,הגדרות!$A$2:$A$17,0)),"")</f>
        <v/>
      </c>
      <c r="AB274" t="str">
        <f>IFERROR(INDEX(הגדרות!$B$2:$B$17,MATCH(I274,הגדרות!$A$2:$A$17,0)),"")</f>
        <v/>
      </c>
      <c r="AC274" t="str">
        <f>IFERROR(INDEX(הגדרות!$C$2:$C$17,MATCH(I274,הגדרות!$A$2:$A$17,0)),"")</f>
        <v/>
      </c>
      <c r="AD274">
        <f>IF(AND(מלאי!D274&lt;&gt;"",OR('לוח בקרה'!$B$4="הכל",מלאי!Z274='לוח בקרה'!$B$4,מלאי!AA274='לוח בקרה'!$B$4,מלאי!AB274='לוח בקרה'!$B$4,מלאי!AC274='לוח בקרה'!$B$4),OR('לוח בקרה'!$B$5="הכל",מלאי!A274='לוח בקרה'!$B$5),OR('לוח בקרה'!$B$6="הכל",מלאי!B274='לוח בקרה'!$B$6),OR('לוח בקרה'!$B$7="הכל",מלאי!F274='לוח בקרה'!$B$7,מלאי!G274='לוח בקרה'!$B$7),OR('לוח בקרה'!$B$8="הכל",מלאי!T274='לוח בקרה'!$B$8),OR('לוח בקרה'!$B$9="הכל",מלאי!Q274='לוח בקרה'!$B$9),OR('לוח בקרה'!$E$4="הכל",מלאי!J274='לוח בקרה'!$E$4),OR('לוח בקרה'!$E$5="הכל",מלאי!L274='לוח בקרה'!$E$5),OR('לוח בקרה'!$E$6="הכל",מלאי!O274='לוח בקרה'!$E$6),OR('לוח בקרה'!$E$7="הכל",מלאי!R274='לוח בקרה'!$E$7),OR('לוח בקרה'!$E$8="הכל",'לוח בקרה'!$E$8="",מלאי!W274='לוח בקרה'!$E$8),OR('לוח בקרה'!$E$9="הכל",'לוח בקרה'!$E$9="",ISNUMBER(SEARCH('לוח בקרה'!$E$9,מלאי!C274)))),1,0)</f>
        <v>0</v>
      </c>
      <c r="AE274" t="e">
        <f>IF(AND(מלאי!D274&lt;&gt;"",OR('לוח בקרה טכנו-מבצעי'!$B$4="הכל",מלאי!Z274='לוח בקרה טכנו-מבצעי'!$B$4,מלאי!AA274='לוח בקרה טכנו-מבצעי'!$B$4,מלאי!AB274='לוח בקרה טכנו-מבצעי'!$B$4,מלאי!AC274='לוח בקרה טכנו-מבצעי'!$B$4),OR('לוח בקרה טכנו-מבצעי'!$B$5="הכל",מלאי!A274='לוח בקרה טכנו-מבצעי'!$B$5),OR('לוח בקרה טכנו-מבצעי'!$B$6="הכל",מלאי!B274='לוח בקרה טכנו-מבצעי'!$B$6),OR('לוח בקרה טכנו-מבצעי'!$B$7="הכל",מלאי!F274='לוח בקרה טכנו-מבצעי'!$B$7,מלאי!G274='לוח בקרה טכנו-מבצעי'!$B$7),OR('לוח בקרה טכנו-מבצעי'!$B$8="הכל",מלאי!T274='לוח בקרה טכנו-מבצעי'!$B$8),OR('לוח בקרה טכנו-מבצעי'!$B$9="הכל",מלאי!Q274='לוח בקרה טכנו-מבצעי'!$B$9),OR('לוח בקרה טכנו-מבצעי'!$E$4="הכל",מלאי!J274='לוח בקרה טכנו-מבצעי'!$E$4),OR('לוח בקרה טכנו-מבצעי'!$E$5="הכל",מלאי!L274='לוח בקרה טכנו-מבצעי'!$E$5),OR('לוח בקרה טכנו-מבצעי'!$E$6="הכל",מלאי!O274='לוח בקרה טכנו-מבצעי'!$E$6),OR('לוח בקרה טכנו-מבצעי'!$E$7="הכל",מלאי!R274='לוח בקרה טכנו-מבצעי'!$E$7),OR('לוח בקרה טכנו-מבצעי'!$E$8="הכל",'לוח בקרה טכנו-מבצעי'!$E$8="",מלאי!W274='לוח בקרה טכנו-מבצעי'!$E$8),OR('לוח בקרה טכנו-מבצעי'!$E$9="הכל",'לוח בקרה טכנו-מבצעי'!$E$9="",ISNUMBER(SEARCH('לוח בקרה טכנו-מבצעי'!$E$9,מלאי!C274))),OR('לוח בקרה טכנו-מבצעי'!$B$10="הכל",מלאי!#REF!='לוח בקרה טכנו-מבצעי'!$B$10)),1,0)</f>
        <v>#REF!</v>
      </c>
      <c r="AF274" t="str">
        <f>IF(AD274=1,COUNTIF($AD$3:$AD274,1),"")</f>
        <v/>
      </c>
      <c r="AG274" t="e">
        <f>IF(AE274=1,COUNTIF($AE$3:$AE274,1),"")</f>
        <v>#REF!</v>
      </c>
    </row>
    <row r="275" spans="1:33" ht="15" customHeight="1" x14ac:dyDescent="0.25">
      <c r="A275" s="19"/>
      <c r="B275" s="19"/>
      <c r="C275" s="19"/>
      <c r="D275" s="19"/>
      <c r="E275" s="19" t="str">
        <f>IFERROR(INDEX(הגדרות!$I$2:$I$47,MATCH(B275,הגדרות!$H$2:$H$47,0)),"")</f>
        <v/>
      </c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t="str">
        <f>IFERROR(INDEX(הגדרות!$B$2:$B$17,MATCH(H275,הגדרות!$A$2:$A$17,0)),"")</f>
        <v/>
      </c>
      <c r="AA275" t="str">
        <f>IFERROR(INDEX(הגדרות!$C$2:$C$17,MATCH(H275,הגדרות!$A$2:$A$17,0)),"")</f>
        <v/>
      </c>
      <c r="AB275" t="str">
        <f>IFERROR(INDEX(הגדרות!$B$2:$B$17,MATCH(I275,הגדרות!$A$2:$A$17,0)),"")</f>
        <v/>
      </c>
      <c r="AC275" t="str">
        <f>IFERROR(INDEX(הגדרות!$C$2:$C$17,MATCH(I275,הגדרות!$A$2:$A$17,0)),"")</f>
        <v/>
      </c>
      <c r="AD275">
        <f>IF(AND(מלאי!D275&lt;&gt;"",OR('לוח בקרה'!$B$4="הכל",מלאי!Z275='לוח בקרה'!$B$4,מלאי!AA275='לוח בקרה'!$B$4,מלאי!AB275='לוח בקרה'!$B$4,מלאי!AC275='לוח בקרה'!$B$4),OR('לוח בקרה'!$B$5="הכל",מלאי!A275='לוח בקרה'!$B$5),OR('לוח בקרה'!$B$6="הכל",מלאי!B275='לוח בקרה'!$B$6),OR('לוח בקרה'!$B$7="הכל",מלאי!F275='לוח בקרה'!$B$7,מלאי!G275='לוח בקרה'!$B$7),OR('לוח בקרה'!$B$8="הכל",מלאי!T275='לוח בקרה'!$B$8),OR('לוח בקרה'!$B$9="הכל",מלאי!Q275='לוח בקרה'!$B$9),OR('לוח בקרה'!$E$4="הכל",מלאי!J275='לוח בקרה'!$E$4),OR('לוח בקרה'!$E$5="הכל",מלאי!L275='לוח בקרה'!$E$5),OR('לוח בקרה'!$E$6="הכל",מלאי!O275='לוח בקרה'!$E$6),OR('לוח בקרה'!$E$7="הכל",מלאי!R275='לוח בקרה'!$E$7),OR('לוח בקרה'!$E$8="הכל",'לוח בקרה'!$E$8="",מלאי!W275='לוח בקרה'!$E$8),OR('לוח בקרה'!$E$9="הכל",'לוח בקרה'!$E$9="",ISNUMBER(SEARCH('לוח בקרה'!$E$9,מלאי!C275)))),1,0)</f>
        <v>0</v>
      </c>
      <c r="AE275" t="e">
        <f>IF(AND(מלאי!D275&lt;&gt;"",OR('לוח בקרה טכנו-מבצעי'!$B$4="הכל",מלאי!Z275='לוח בקרה טכנו-מבצעי'!$B$4,מלאי!AA275='לוח בקרה טכנו-מבצעי'!$B$4,מלאי!AB275='לוח בקרה טכנו-מבצעי'!$B$4,מלאי!AC275='לוח בקרה טכנו-מבצעי'!$B$4),OR('לוח בקרה טכנו-מבצעי'!$B$5="הכל",מלאי!A275='לוח בקרה טכנו-מבצעי'!$B$5),OR('לוח בקרה טכנו-מבצעי'!$B$6="הכל",מלאי!B275='לוח בקרה טכנו-מבצעי'!$B$6),OR('לוח בקרה טכנו-מבצעי'!$B$7="הכל",מלאי!F275='לוח בקרה טכנו-מבצעי'!$B$7,מלאי!G275='לוח בקרה טכנו-מבצעי'!$B$7),OR('לוח בקרה טכנו-מבצעי'!$B$8="הכל",מלאי!T275='לוח בקרה טכנו-מבצעי'!$B$8),OR('לוח בקרה טכנו-מבצעי'!$B$9="הכל",מלאי!Q275='לוח בקרה טכנו-מבצעי'!$B$9),OR('לוח בקרה טכנו-מבצעי'!$E$4="הכל",מלאי!J275='לוח בקרה טכנו-מבצעי'!$E$4),OR('לוח בקרה טכנו-מבצעי'!$E$5="הכל",מלאי!L275='לוח בקרה טכנו-מבצעי'!$E$5),OR('לוח בקרה טכנו-מבצעי'!$E$6="הכל",מלאי!O275='לוח בקרה טכנו-מבצעי'!$E$6),OR('לוח בקרה טכנו-מבצעי'!$E$7="הכל",מלאי!R275='לוח בקרה טכנו-מבצעי'!$E$7),OR('לוח בקרה טכנו-מבצעי'!$E$8="הכל",'לוח בקרה טכנו-מבצעי'!$E$8="",מלאי!W275='לוח בקרה טכנו-מבצעי'!$E$8),OR('לוח בקרה טכנו-מבצעי'!$E$9="הכל",'לוח בקרה טכנו-מבצעי'!$E$9="",ISNUMBER(SEARCH('לוח בקרה טכנו-מבצעי'!$E$9,מלאי!C275))),OR('לוח בקרה טכנו-מבצעי'!$B$10="הכל",מלאי!#REF!='לוח בקרה טכנו-מבצעי'!$B$10)),1,0)</f>
        <v>#REF!</v>
      </c>
      <c r="AF275" t="str">
        <f>IF(AD275=1,COUNTIF($AD$3:$AD275,1),"")</f>
        <v/>
      </c>
      <c r="AG275" t="e">
        <f>IF(AE275=1,COUNTIF($AE$3:$AE275,1),"")</f>
        <v>#REF!</v>
      </c>
    </row>
    <row r="276" spans="1:33" ht="15" customHeight="1" x14ac:dyDescent="0.25">
      <c r="A276" s="17"/>
      <c r="B276" s="17"/>
      <c r="C276" s="17"/>
      <c r="D276" s="17"/>
      <c r="E276" s="17" t="str">
        <f>IFERROR(INDEX(הגדרות!$I$2:$I$47,MATCH(B276,הגדרות!$H$2:$H$47,0)),"")</f>
        <v/>
      </c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t="str">
        <f>IFERROR(INDEX(הגדרות!$B$2:$B$17,MATCH(H276,הגדרות!$A$2:$A$17,0)),"")</f>
        <v/>
      </c>
      <c r="AA276" t="str">
        <f>IFERROR(INDEX(הגדרות!$C$2:$C$17,MATCH(H276,הגדרות!$A$2:$A$17,0)),"")</f>
        <v/>
      </c>
      <c r="AB276" t="str">
        <f>IFERROR(INDEX(הגדרות!$B$2:$B$17,MATCH(I276,הגדרות!$A$2:$A$17,0)),"")</f>
        <v/>
      </c>
      <c r="AC276" t="str">
        <f>IFERROR(INDEX(הגדרות!$C$2:$C$17,MATCH(I276,הגדרות!$A$2:$A$17,0)),"")</f>
        <v/>
      </c>
      <c r="AD276">
        <f>IF(AND(מלאי!D276&lt;&gt;"",OR('לוח בקרה'!$B$4="הכל",מלאי!Z276='לוח בקרה'!$B$4,מלאי!AA276='לוח בקרה'!$B$4,מלאי!AB276='לוח בקרה'!$B$4,מלאי!AC276='לוח בקרה'!$B$4),OR('לוח בקרה'!$B$5="הכל",מלאי!A276='לוח בקרה'!$B$5),OR('לוח בקרה'!$B$6="הכל",מלאי!B276='לוח בקרה'!$B$6),OR('לוח בקרה'!$B$7="הכל",מלאי!F276='לוח בקרה'!$B$7,מלאי!G276='לוח בקרה'!$B$7),OR('לוח בקרה'!$B$8="הכל",מלאי!T276='לוח בקרה'!$B$8),OR('לוח בקרה'!$B$9="הכל",מלאי!Q276='לוח בקרה'!$B$9),OR('לוח בקרה'!$E$4="הכל",מלאי!J276='לוח בקרה'!$E$4),OR('לוח בקרה'!$E$5="הכל",מלאי!L276='לוח בקרה'!$E$5),OR('לוח בקרה'!$E$6="הכל",מלאי!O276='לוח בקרה'!$E$6),OR('לוח בקרה'!$E$7="הכל",מלאי!R276='לוח בקרה'!$E$7),OR('לוח בקרה'!$E$8="הכל",'לוח בקרה'!$E$8="",מלאי!W276='לוח בקרה'!$E$8),OR('לוח בקרה'!$E$9="הכל",'לוח בקרה'!$E$9="",ISNUMBER(SEARCH('לוח בקרה'!$E$9,מלאי!C276)))),1,0)</f>
        <v>0</v>
      </c>
      <c r="AE276" t="e">
        <f>IF(AND(מלאי!D276&lt;&gt;"",OR('לוח בקרה טכנו-מבצעי'!$B$4="הכל",מלאי!Z276='לוח בקרה טכנו-מבצעי'!$B$4,מלאי!AA276='לוח בקרה טכנו-מבצעי'!$B$4,מלאי!AB276='לוח בקרה טכנו-מבצעי'!$B$4,מלאי!AC276='לוח בקרה טכנו-מבצעי'!$B$4),OR('לוח בקרה טכנו-מבצעי'!$B$5="הכל",מלאי!A276='לוח בקרה טכנו-מבצעי'!$B$5),OR('לוח בקרה טכנו-מבצעי'!$B$6="הכל",מלאי!B276='לוח בקרה טכנו-מבצעי'!$B$6),OR('לוח בקרה טכנו-מבצעי'!$B$7="הכל",מלאי!F276='לוח בקרה טכנו-מבצעי'!$B$7,מלאי!G276='לוח בקרה טכנו-מבצעי'!$B$7),OR('לוח בקרה טכנו-מבצעי'!$B$8="הכל",מלאי!T276='לוח בקרה טכנו-מבצעי'!$B$8),OR('לוח בקרה טכנו-מבצעי'!$B$9="הכל",מלאי!Q276='לוח בקרה טכנו-מבצעי'!$B$9),OR('לוח בקרה טכנו-מבצעי'!$E$4="הכל",מלאי!J276='לוח בקרה טכנו-מבצעי'!$E$4),OR('לוח בקרה טכנו-מבצעי'!$E$5="הכל",מלאי!L276='לוח בקרה טכנו-מבצעי'!$E$5),OR('לוח בקרה טכנו-מבצעי'!$E$6="הכל",מלאי!O276='לוח בקרה טכנו-מבצעי'!$E$6),OR('לוח בקרה טכנו-מבצעי'!$E$7="הכל",מלאי!R276='לוח בקרה טכנו-מבצעי'!$E$7),OR('לוח בקרה טכנו-מבצעי'!$E$8="הכל",'לוח בקרה טכנו-מבצעי'!$E$8="",מלאי!W276='לוח בקרה טכנו-מבצעי'!$E$8),OR('לוח בקרה טכנו-מבצעי'!$E$9="הכל",'לוח בקרה טכנו-מבצעי'!$E$9="",ISNUMBER(SEARCH('לוח בקרה טכנו-מבצעי'!$E$9,מלאי!C276))),OR('לוח בקרה טכנו-מבצעי'!$B$10="הכל",מלאי!#REF!='לוח בקרה טכנו-מבצעי'!$B$10)),1,0)</f>
        <v>#REF!</v>
      </c>
      <c r="AF276" t="str">
        <f>IF(AD276=1,COUNTIF($AD$3:$AD276,1),"")</f>
        <v/>
      </c>
      <c r="AG276" t="e">
        <f>IF(AE276=1,COUNTIF($AE$3:$AE276,1),"")</f>
        <v>#REF!</v>
      </c>
    </row>
    <row r="277" spans="1:33" ht="15" customHeight="1" x14ac:dyDescent="0.25">
      <c r="A277" s="19"/>
      <c r="B277" s="19"/>
      <c r="C277" s="19"/>
      <c r="D277" s="19"/>
      <c r="E277" s="19" t="str">
        <f>IFERROR(INDEX(הגדרות!$I$2:$I$47,MATCH(B277,הגדרות!$H$2:$H$47,0)),"")</f>
        <v/>
      </c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t="str">
        <f>IFERROR(INDEX(הגדרות!$B$2:$B$17,MATCH(H277,הגדרות!$A$2:$A$17,0)),"")</f>
        <v/>
      </c>
      <c r="AA277" t="str">
        <f>IFERROR(INDEX(הגדרות!$C$2:$C$17,MATCH(H277,הגדרות!$A$2:$A$17,0)),"")</f>
        <v/>
      </c>
      <c r="AB277" t="str">
        <f>IFERROR(INDEX(הגדרות!$B$2:$B$17,MATCH(I277,הגדרות!$A$2:$A$17,0)),"")</f>
        <v/>
      </c>
      <c r="AC277" t="str">
        <f>IFERROR(INDEX(הגדרות!$C$2:$C$17,MATCH(I277,הגדרות!$A$2:$A$17,0)),"")</f>
        <v/>
      </c>
      <c r="AD277">
        <f>IF(AND(מלאי!D277&lt;&gt;"",OR('לוח בקרה'!$B$4="הכל",מלאי!Z277='לוח בקרה'!$B$4,מלאי!AA277='לוח בקרה'!$B$4,מלאי!AB277='לוח בקרה'!$B$4,מלאי!AC277='לוח בקרה'!$B$4),OR('לוח בקרה'!$B$5="הכל",מלאי!A277='לוח בקרה'!$B$5),OR('לוח בקרה'!$B$6="הכל",מלאי!B277='לוח בקרה'!$B$6),OR('לוח בקרה'!$B$7="הכל",מלאי!F277='לוח בקרה'!$B$7,מלאי!G277='לוח בקרה'!$B$7),OR('לוח בקרה'!$B$8="הכל",מלאי!T277='לוח בקרה'!$B$8),OR('לוח בקרה'!$B$9="הכל",מלאי!Q277='לוח בקרה'!$B$9),OR('לוח בקרה'!$E$4="הכל",מלאי!J277='לוח בקרה'!$E$4),OR('לוח בקרה'!$E$5="הכל",מלאי!L277='לוח בקרה'!$E$5),OR('לוח בקרה'!$E$6="הכל",מלאי!O277='לוח בקרה'!$E$6),OR('לוח בקרה'!$E$7="הכל",מלאי!R277='לוח בקרה'!$E$7),OR('לוח בקרה'!$E$8="הכל",'לוח בקרה'!$E$8="",מלאי!W277='לוח בקרה'!$E$8),OR('לוח בקרה'!$E$9="הכל",'לוח בקרה'!$E$9="",ISNUMBER(SEARCH('לוח בקרה'!$E$9,מלאי!C277)))),1,0)</f>
        <v>0</v>
      </c>
      <c r="AE277" t="e">
        <f>IF(AND(מלאי!D277&lt;&gt;"",OR('לוח בקרה טכנו-מבצעי'!$B$4="הכל",מלאי!Z277='לוח בקרה טכנו-מבצעי'!$B$4,מלאי!AA277='לוח בקרה טכנו-מבצעי'!$B$4,מלאי!AB277='לוח בקרה טכנו-מבצעי'!$B$4,מלאי!AC277='לוח בקרה טכנו-מבצעי'!$B$4),OR('לוח בקרה טכנו-מבצעי'!$B$5="הכל",מלאי!A277='לוח בקרה טכנו-מבצעי'!$B$5),OR('לוח בקרה טכנו-מבצעי'!$B$6="הכל",מלאי!B277='לוח בקרה טכנו-מבצעי'!$B$6),OR('לוח בקרה טכנו-מבצעי'!$B$7="הכל",מלאי!F277='לוח בקרה טכנו-מבצעי'!$B$7,מלאי!G277='לוח בקרה טכנו-מבצעי'!$B$7),OR('לוח בקרה טכנו-מבצעי'!$B$8="הכל",מלאי!T277='לוח בקרה טכנו-מבצעי'!$B$8),OR('לוח בקרה טכנו-מבצעי'!$B$9="הכל",מלאי!Q277='לוח בקרה טכנו-מבצעי'!$B$9),OR('לוח בקרה טכנו-מבצעי'!$E$4="הכל",מלאי!J277='לוח בקרה טכנו-מבצעי'!$E$4),OR('לוח בקרה טכנו-מבצעי'!$E$5="הכל",מלאי!L277='לוח בקרה טכנו-מבצעי'!$E$5),OR('לוח בקרה טכנו-מבצעי'!$E$6="הכל",מלאי!O277='לוח בקרה טכנו-מבצעי'!$E$6),OR('לוח בקרה טכנו-מבצעי'!$E$7="הכל",מלאי!R277='לוח בקרה טכנו-מבצעי'!$E$7),OR('לוח בקרה טכנו-מבצעי'!$E$8="הכל",'לוח בקרה טכנו-מבצעי'!$E$8="",מלאי!W277='לוח בקרה טכנו-מבצעי'!$E$8),OR('לוח בקרה טכנו-מבצעי'!$E$9="הכל",'לוח בקרה טכנו-מבצעי'!$E$9="",ISNUMBER(SEARCH('לוח בקרה טכנו-מבצעי'!$E$9,מלאי!C277))),OR('לוח בקרה טכנו-מבצעי'!$B$10="הכל",מלאי!#REF!='לוח בקרה טכנו-מבצעי'!$B$10)),1,0)</f>
        <v>#REF!</v>
      </c>
      <c r="AF277" t="str">
        <f>IF(AD277=1,COUNTIF($AD$3:$AD277,1),"")</f>
        <v/>
      </c>
      <c r="AG277" t="e">
        <f>IF(AE277=1,COUNTIF($AE$3:$AE277,1),"")</f>
        <v>#REF!</v>
      </c>
    </row>
    <row r="278" spans="1:33" ht="15" customHeight="1" x14ac:dyDescent="0.25">
      <c r="A278" s="17"/>
      <c r="B278" s="17"/>
      <c r="C278" s="17"/>
      <c r="D278" s="17"/>
      <c r="E278" s="17" t="str">
        <f>IFERROR(INDEX(הגדרות!$I$2:$I$47,MATCH(B278,הגדרות!$H$2:$H$47,0)),"")</f>
        <v/>
      </c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t="str">
        <f>IFERROR(INDEX(הגדרות!$B$2:$B$17,MATCH(H278,הגדרות!$A$2:$A$17,0)),"")</f>
        <v/>
      </c>
      <c r="AA278" t="str">
        <f>IFERROR(INDEX(הגדרות!$C$2:$C$17,MATCH(H278,הגדרות!$A$2:$A$17,0)),"")</f>
        <v/>
      </c>
      <c r="AB278" t="str">
        <f>IFERROR(INDEX(הגדרות!$B$2:$B$17,MATCH(I278,הגדרות!$A$2:$A$17,0)),"")</f>
        <v/>
      </c>
      <c r="AC278" t="str">
        <f>IFERROR(INDEX(הגדרות!$C$2:$C$17,MATCH(I278,הגדרות!$A$2:$A$17,0)),"")</f>
        <v/>
      </c>
      <c r="AD278">
        <f>IF(AND(מלאי!D278&lt;&gt;"",OR('לוח בקרה'!$B$4="הכל",מלאי!Z278='לוח בקרה'!$B$4,מלאי!AA278='לוח בקרה'!$B$4,מלאי!AB278='לוח בקרה'!$B$4,מלאי!AC278='לוח בקרה'!$B$4),OR('לוח בקרה'!$B$5="הכל",מלאי!A278='לוח בקרה'!$B$5),OR('לוח בקרה'!$B$6="הכל",מלאי!B278='לוח בקרה'!$B$6),OR('לוח בקרה'!$B$7="הכל",מלאי!F278='לוח בקרה'!$B$7,מלאי!G278='לוח בקרה'!$B$7),OR('לוח בקרה'!$B$8="הכל",מלאי!T278='לוח בקרה'!$B$8),OR('לוח בקרה'!$B$9="הכל",מלאי!Q278='לוח בקרה'!$B$9),OR('לוח בקרה'!$E$4="הכל",מלאי!J278='לוח בקרה'!$E$4),OR('לוח בקרה'!$E$5="הכל",מלאי!L278='לוח בקרה'!$E$5),OR('לוח בקרה'!$E$6="הכל",מלאי!O278='לוח בקרה'!$E$6),OR('לוח בקרה'!$E$7="הכל",מלאי!R278='לוח בקרה'!$E$7),OR('לוח בקרה'!$E$8="הכל",'לוח בקרה'!$E$8="",מלאי!W278='לוח בקרה'!$E$8),OR('לוח בקרה'!$E$9="הכל",'לוח בקרה'!$E$9="",ISNUMBER(SEARCH('לוח בקרה'!$E$9,מלאי!C278)))),1,0)</f>
        <v>0</v>
      </c>
      <c r="AE278" t="e">
        <f>IF(AND(מלאי!D278&lt;&gt;"",OR('לוח בקרה טכנו-מבצעי'!$B$4="הכל",מלאי!Z278='לוח בקרה טכנו-מבצעי'!$B$4,מלאי!AA278='לוח בקרה טכנו-מבצעי'!$B$4,מלאי!AB278='לוח בקרה טכנו-מבצעי'!$B$4,מלאי!AC278='לוח בקרה טכנו-מבצעי'!$B$4),OR('לוח בקרה טכנו-מבצעי'!$B$5="הכל",מלאי!A278='לוח בקרה טכנו-מבצעי'!$B$5),OR('לוח בקרה טכנו-מבצעי'!$B$6="הכל",מלאי!B278='לוח בקרה טכנו-מבצעי'!$B$6),OR('לוח בקרה טכנו-מבצעי'!$B$7="הכל",מלאי!F278='לוח בקרה טכנו-מבצעי'!$B$7,מלאי!G278='לוח בקרה טכנו-מבצעי'!$B$7),OR('לוח בקרה טכנו-מבצעי'!$B$8="הכל",מלאי!T278='לוח בקרה טכנו-מבצעי'!$B$8),OR('לוח בקרה טכנו-מבצעי'!$B$9="הכל",מלאי!Q278='לוח בקרה טכנו-מבצעי'!$B$9),OR('לוח בקרה טכנו-מבצעי'!$E$4="הכל",מלאי!J278='לוח בקרה טכנו-מבצעי'!$E$4),OR('לוח בקרה טכנו-מבצעי'!$E$5="הכל",מלאי!L278='לוח בקרה טכנו-מבצעי'!$E$5),OR('לוח בקרה טכנו-מבצעי'!$E$6="הכל",מלאי!O278='לוח בקרה טכנו-מבצעי'!$E$6),OR('לוח בקרה טכנו-מבצעי'!$E$7="הכל",מלאי!R278='לוח בקרה טכנו-מבצעי'!$E$7),OR('לוח בקרה טכנו-מבצעי'!$E$8="הכל",'לוח בקרה טכנו-מבצעי'!$E$8="",מלאי!W278='לוח בקרה טכנו-מבצעי'!$E$8),OR('לוח בקרה טכנו-מבצעי'!$E$9="הכל",'לוח בקרה טכנו-מבצעי'!$E$9="",ISNUMBER(SEARCH('לוח בקרה טכנו-מבצעי'!$E$9,מלאי!C278))),OR('לוח בקרה טכנו-מבצעי'!$B$10="הכל",מלאי!#REF!='לוח בקרה טכנו-מבצעי'!$B$10)),1,0)</f>
        <v>#REF!</v>
      </c>
      <c r="AF278" t="str">
        <f>IF(AD278=1,COUNTIF($AD$3:$AD278,1),"")</f>
        <v/>
      </c>
      <c r="AG278" t="e">
        <f>IF(AE278=1,COUNTIF($AE$3:$AE278,1),"")</f>
        <v>#REF!</v>
      </c>
    </row>
    <row r="279" spans="1:33" ht="15" customHeight="1" x14ac:dyDescent="0.25">
      <c r="A279" s="19"/>
      <c r="B279" s="19"/>
      <c r="C279" s="19"/>
      <c r="D279" s="19"/>
      <c r="E279" s="19" t="str">
        <f>IFERROR(INDEX(הגדרות!$I$2:$I$47,MATCH(B279,הגדרות!$H$2:$H$47,0)),"")</f>
        <v/>
      </c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t="str">
        <f>IFERROR(INDEX(הגדרות!$B$2:$B$17,MATCH(H279,הגדרות!$A$2:$A$17,0)),"")</f>
        <v/>
      </c>
      <c r="AA279" t="str">
        <f>IFERROR(INDEX(הגדרות!$C$2:$C$17,MATCH(H279,הגדרות!$A$2:$A$17,0)),"")</f>
        <v/>
      </c>
      <c r="AB279" t="str">
        <f>IFERROR(INDEX(הגדרות!$B$2:$B$17,MATCH(I279,הגדרות!$A$2:$A$17,0)),"")</f>
        <v/>
      </c>
      <c r="AC279" t="str">
        <f>IFERROR(INDEX(הגדרות!$C$2:$C$17,MATCH(I279,הגדרות!$A$2:$A$17,0)),"")</f>
        <v/>
      </c>
      <c r="AD279">
        <f>IF(AND(מלאי!D279&lt;&gt;"",OR('לוח בקרה'!$B$4="הכל",מלאי!Z279='לוח בקרה'!$B$4,מלאי!AA279='לוח בקרה'!$B$4,מלאי!AB279='לוח בקרה'!$B$4,מלאי!AC279='לוח בקרה'!$B$4),OR('לוח בקרה'!$B$5="הכל",מלאי!A279='לוח בקרה'!$B$5),OR('לוח בקרה'!$B$6="הכל",מלאי!B279='לוח בקרה'!$B$6),OR('לוח בקרה'!$B$7="הכל",מלאי!F279='לוח בקרה'!$B$7,מלאי!G279='לוח בקרה'!$B$7),OR('לוח בקרה'!$B$8="הכל",מלאי!T279='לוח בקרה'!$B$8),OR('לוח בקרה'!$B$9="הכל",מלאי!Q279='לוח בקרה'!$B$9),OR('לוח בקרה'!$E$4="הכל",מלאי!J279='לוח בקרה'!$E$4),OR('לוח בקרה'!$E$5="הכל",מלאי!L279='לוח בקרה'!$E$5),OR('לוח בקרה'!$E$6="הכל",מלאי!O279='לוח בקרה'!$E$6),OR('לוח בקרה'!$E$7="הכל",מלאי!R279='לוח בקרה'!$E$7),OR('לוח בקרה'!$E$8="הכל",'לוח בקרה'!$E$8="",מלאי!W279='לוח בקרה'!$E$8),OR('לוח בקרה'!$E$9="הכל",'לוח בקרה'!$E$9="",ISNUMBER(SEARCH('לוח בקרה'!$E$9,מלאי!C279)))),1,0)</f>
        <v>0</v>
      </c>
      <c r="AE279" t="e">
        <f>IF(AND(מלאי!D279&lt;&gt;"",OR('לוח בקרה טכנו-מבצעי'!$B$4="הכל",מלאי!Z279='לוח בקרה טכנו-מבצעי'!$B$4,מלאי!AA279='לוח בקרה טכנו-מבצעי'!$B$4,מלאי!AB279='לוח בקרה טכנו-מבצעי'!$B$4,מלאי!AC279='לוח בקרה טכנו-מבצעי'!$B$4),OR('לוח בקרה טכנו-מבצעי'!$B$5="הכל",מלאי!A279='לוח בקרה טכנו-מבצעי'!$B$5),OR('לוח בקרה טכנו-מבצעי'!$B$6="הכל",מלאי!B279='לוח בקרה טכנו-מבצעי'!$B$6),OR('לוח בקרה טכנו-מבצעי'!$B$7="הכל",מלאי!F279='לוח בקרה טכנו-מבצעי'!$B$7,מלאי!G279='לוח בקרה טכנו-מבצעי'!$B$7),OR('לוח בקרה טכנו-מבצעי'!$B$8="הכל",מלאי!T279='לוח בקרה טכנו-מבצעי'!$B$8),OR('לוח בקרה טכנו-מבצעי'!$B$9="הכל",מלאי!Q279='לוח בקרה טכנו-מבצעי'!$B$9),OR('לוח בקרה טכנו-מבצעי'!$E$4="הכל",מלאי!J279='לוח בקרה טכנו-מבצעי'!$E$4),OR('לוח בקרה טכנו-מבצעי'!$E$5="הכל",מלאי!L279='לוח בקרה טכנו-מבצעי'!$E$5),OR('לוח בקרה טכנו-מבצעי'!$E$6="הכל",מלאי!O279='לוח בקרה טכנו-מבצעי'!$E$6),OR('לוח בקרה טכנו-מבצעי'!$E$7="הכל",מלאי!R279='לוח בקרה טכנו-מבצעי'!$E$7),OR('לוח בקרה טכנו-מבצעי'!$E$8="הכל",'לוח בקרה טכנו-מבצעי'!$E$8="",מלאי!W279='לוח בקרה טכנו-מבצעי'!$E$8),OR('לוח בקרה טכנו-מבצעי'!$E$9="הכל",'לוח בקרה טכנו-מבצעי'!$E$9="",ISNUMBER(SEARCH('לוח בקרה טכנו-מבצעי'!$E$9,מלאי!C279))),OR('לוח בקרה טכנו-מבצעי'!$B$10="הכל",מלאי!#REF!='לוח בקרה טכנו-מבצעי'!$B$10)),1,0)</f>
        <v>#REF!</v>
      </c>
      <c r="AF279" t="str">
        <f>IF(AD279=1,COUNTIF($AD$3:$AD279,1),"")</f>
        <v/>
      </c>
      <c r="AG279" t="e">
        <f>IF(AE279=1,COUNTIF($AE$3:$AE279,1),"")</f>
        <v>#REF!</v>
      </c>
    </row>
    <row r="280" spans="1:33" ht="15" customHeight="1" x14ac:dyDescent="0.25">
      <c r="A280" s="17"/>
      <c r="B280" s="17"/>
      <c r="C280" s="17"/>
      <c r="D280" s="17"/>
      <c r="E280" s="17" t="str">
        <f>IFERROR(INDEX(הגדרות!$I$2:$I$47,MATCH(B280,הגדרות!$H$2:$H$47,0)),"")</f>
        <v/>
      </c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t="str">
        <f>IFERROR(INDEX(הגדרות!$B$2:$B$17,MATCH(H280,הגדרות!$A$2:$A$17,0)),"")</f>
        <v/>
      </c>
      <c r="AA280" t="str">
        <f>IFERROR(INDEX(הגדרות!$C$2:$C$17,MATCH(H280,הגדרות!$A$2:$A$17,0)),"")</f>
        <v/>
      </c>
      <c r="AB280" t="str">
        <f>IFERROR(INDEX(הגדרות!$B$2:$B$17,MATCH(I280,הגדרות!$A$2:$A$17,0)),"")</f>
        <v/>
      </c>
      <c r="AC280" t="str">
        <f>IFERROR(INDEX(הגדרות!$C$2:$C$17,MATCH(I280,הגדרות!$A$2:$A$17,0)),"")</f>
        <v/>
      </c>
      <c r="AD280">
        <f>IF(AND(מלאי!D280&lt;&gt;"",OR('לוח בקרה'!$B$4="הכל",מלאי!Z280='לוח בקרה'!$B$4,מלאי!AA280='לוח בקרה'!$B$4,מלאי!AB280='לוח בקרה'!$B$4,מלאי!AC280='לוח בקרה'!$B$4),OR('לוח בקרה'!$B$5="הכל",מלאי!A280='לוח בקרה'!$B$5),OR('לוח בקרה'!$B$6="הכל",מלאי!B280='לוח בקרה'!$B$6),OR('לוח בקרה'!$B$7="הכל",מלאי!F280='לוח בקרה'!$B$7,מלאי!G280='לוח בקרה'!$B$7),OR('לוח בקרה'!$B$8="הכל",מלאי!T280='לוח בקרה'!$B$8),OR('לוח בקרה'!$B$9="הכל",מלאי!Q280='לוח בקרה'!$B$9),OR('לוח בקרה'!$E$4="הכל",מלאי!J280='לוח בקרה'!$E$4),OR('לוח בקרה'!$E$5="הכל",מלאי!L280='לוח בקרה'!$E$5),OR('לוח בקרה'!$E$6="הכל",מלאי!O280='לוח בקרה'!$E$6),OR('לוח בקרה'!$E$7="הכל",מלאי!R280='לוח בקרה'!$E$7),OR('לוח בקרה'!$E$8="הכל",'לוח בקרה'!$E$8="",מלאי!W280='לוח בקרה'!$E$8),OR('לוח בקרה'!$E$9="הכל",'לוח בקרה'!$E$9="",ISNUMBER(SEARCH('לוח בקרה'!$E$9,מלאי!C280)))),1,0)</f>
        <v>0</v>
      </c>
      <c r="AE280" t="e">
        <f>IF(AND(מלאי!D280&lt;&gt;"",OR('לוח בקרה טכנו-מבצעי'!$B$4="הכל",מלאי!Z280='לוח בקרה טכנו-מבצעי'!$B$4,מלאי!AA280='לוח בקרה טכנו-מבצעי'!$B$4,מלאי!AB280='לוח בקרה טכנו-מבצעי'!$B$4,מלאי!AC280='לוח בקרה טכנו-מבצעי'!$B$4),OR('לוח בקרה טכנו-מבצעי'!$B$5="הכל",מלאי!A280='לוח בקרה טכנו-מבצעי'!$B$5),OR('לוח בקרה טכנו-מבצעי'!$B$6="הכל",מלאי!B280='לוח בקרה טכנו-מבצעי'!$B$6),OR('לוח בקרה טכנו-מבצעי'!$B$7="הכל",מלאי!F280='לוח בקרה טכנו-מבצעי'!$B$7,מלאי!G280='לוח בקרה טכנו-מבצעי'!$B$7),OR('לוח בקרה טכנו-מבצעי'!$B$8="הכל",מלאי!T280='לוח בקרה טכנו-מבצעי'!$B$8),OR('לוח בקרה טכנו-מבצעי'!$B$9="הכל",מלאי!Q280='לוח בקרה טכנו-מבצעי'!$B$9),OR('לוח בקרה טכנו-מבצעי'!$E$4="הכל",מלאי!J280='לוח בקרה טכנו-מבצעי'!$E$4),OR('לוח בקרה טכנו-מבצעי'!$E$5="הכל",מלאי!L280='לוח בקרה טכנו-מבצעי'!$E$5),OR('לוח בקרה טכנו-מבצעי'!$E$6="הכל",מלאי!O280='לוח בקרה טכנו-מבצעי'!$E$6),OR('לוח בקרה טכנו-מבצעי'!$E$7="הכל",מלאי!R280='לוח בקרה טכנו-מבצעי'!$E$7),OR('לוח בקרה טכנו-מבצעי'!$E$8="הכל",'לוח בקרה טכנו-מבצעי'!$E$8="",מלאי!W280='לוח בקרה טכנו-מבצעי'!$E$8),OR('לוח בקרה טכנו-מבצעי'!$E$9="הכל",'לוח בקרה טכנו-מבצעי'!$E$9="",ISNUMBER(SEARCH('לוח בקרה טכנו-מבצעי'!$E$9,מלאי!C280))),OR('לוח בקרה טכנו-מבצעי'!$B$10="הכל",מלאי!#REF!='לוח בקרה טכנו-מבצעי'!$B$10)),1,0)</f>
        <v>#REF!</v>
      </c>
      <c r="AF280" t="str">
        <f>IF(AD280=1,COUNTIF($AD$3:$AD280,1),"")</f>
        <v/>
      </c>
      <c r="AG280" t="e">
        <f>IF(AE280=1,COUNTIF($AE$3:$AE280,1),"")</f>
        <v>#REF!</v>
      </c>
    </row>
    <row r="281" spans="1:33" ht="15" customHeight="1" x14ac:dyDescent="0.25">
      <c r="A281" s="19"/>
      <c r="B281" s="19"/>
      <c r="C281" s="19"/>
      <c r="D281" s="19"/>
      <c r="E281" s="19" t="str">
        <f>IFERROR(INDEX(הגדרות!$I$2:$I$47,MATCH(B281,הגדרות!$H$2:$H$47,0)),"")</f>
        <v/>
      </c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t="str">
        <f>IFERROR(INDEX(הגדרות!$B$2:$B$17,MATCH(H281,הגדרות!$A$2:$A$17,0)),"")</f>
        <v/>
      </c>
      <c r="AA281" t="str">
        <f>IFERROR(INDEX(הגדרות!$C$2:$C$17,MATCH(H281,הגדרות!$A$2:$A$17,0)),"")</f>
        <v/>
      </c>
      <c r="AB281" t="str">
        <f>IFERROR(INDEX(הגדרות!$B$2:$B$17,MATCH(I281,הגדרות!$A$2:$A$17,0)),"")</f>
        <v/>
      </c>
      <c r="AC281" t="str">
        <f>IFERROR(INDEX(הגדרות!$C$2:$C$17,MATCH(I281,הגדרות!$A$2:$A$17,0)),"")</f>
        <v/>
      </c>
      <c r="AD281">
        <f>IF(AND(מלאי!D281&lt;&gt;"",OR('לוח בקרה'!$B$4="הכל",מלאי!Z281='לוח בקרה'!$B$4,מלאי!AA281='לוח בקרה'!$B$4,מלאי!AB281='לוח בקרה'!$B$4,מלאי!AC281='לוח בקרה'!$B$4),OR('לוח בקרה'!$B$5="הכל",מלאי!A281='לוח בקרה'!$B$5),OR('לוח בקרה'!$B$6="הכל",מלאי!B281='לוח בקרה'!$B$6),OR('לוח בקרה'!$B$7="הכל",מלאי!F281='לוח בקרה'!$B$7,מלאי!G281='לוח בקרה'!$B$7),OR('לוח בקרה'!$B$8="הכל",מלאי!T281='לוח בקרה'!$B$8),OR('לוח בקרה'!$B$9="הכל",מלאי!Q281='לוח בקרה'!$B$9),OR('לוח בקרה'!$E$4="הכל",מלאי!J281='לוח בקרה'!$E$4),OR('לוח בקרה'!$E$5="הכל",מלאי!L281='לוח בקרה'!$E$5),OR('לוח בקרה'!$E$6="הכל",מלאי!O281='לוח בקרה'!$E$6),OR('לוח בקרה'!$E$7="הכל",מלאי!R281='לוח בקרה'!$E$7),OR('לוח בקרה'!$E$8="הכל",'לוח בקרה'!$E$8="",מלאי!W281='לוח בקרה'!$E$8),OR('לוח בקרה'!$E$9="הכל",'לוח בקרה'!$E$9="",ISNUMBER(SEARCH('לוח בקרה'!$E$9,מלאי!C281)))),1,0)</f>
        <v>0</v>
      </c>
      <c r="AE281" t="e">
        <f>IF(AND(מלאי!D281&lt;&gt;"",OR('לוח בקרה טכנו-מבצעי'!$B$4="הכל",מלאי!Z281='לוח בקרה טכנו-מבצעי'!$B$4,מלאי!AA281='לוח בקרה טכנו-מבצעי'!$B$4,מלאי!AB281='לוח בקרה טכנו-מבצעי'!$B$4,מלאי!AC281='לוח בקרה טכנו-מבצעי'!$B$4),OR('לוח בקרה טכנו-מבצעי'!$B$5="הכל",מלאי!A281='לוח בקרה טכנו-מבצעי'!$B$5),OR('לוח בקרה טכנו-מבצעי'!$B$6="הכל",מלאי!B281='לוח בקרה טכנו-מבצעי'!$B$6),OR('לוח בקרה טכנו-מבצעי'!$B$7="הכל",מלאי!F281='לוח בקרה טכנו-מבצעי'!$B$7,מלאי!G281='לוח בקרה טכנו-מבצעי'!$B$7),OR('לוח בקרה טכנו-מבצעי'!$B$8="הכל",מלאי!T281='לוח בקרה טכנו-מבצעי'!$B$8),OR('לוח בקרה טכנו-מבצעי'!$B$9="הכל",מלאי!Q281='לוח בקרה טכנו-מבצעי'!$B$9),OR('לוח בקרה טכנו-מבצעי'!$E$4="הכל",מלאי!J281='לוח בקרה טכנו-מבצעי'!$E$4),OR('לוח בקרה טכנו-מבצעי'!$E$5="הכל",מלאי!L281='לוח בקרה טכנו-מבצעי'!$E$5),OR('לוח בקרה טכנו-מבצעי'!$E$6="הכל",מלאי!O281='לוח בקרה טכנו-מבצעי'!$E$6),OR('לוח בקרה טכנו-מבצעי'!$E$7="הכל",מלאי!R281='לוח בקרה טכנו-מבצעי'!$E$7),OR('לוח בקרה טכנו-מבצעי'!$E$8="הכל",'לוח בקרה טכנו-מבצעי'!$E$8="",מלאי!W281='לוח בקרה טכנו-מבצעי'!$E$8),OR('לוח בקרה טכנו-מבצעי'!$E$9="הכל",'לוח בקרה טכנו-מבצעי'!$E$9="",ISNUMBER(SEARCH('לוח בקרה טכנו-מבצעי'!$E$9,מלאי!C281))),OR('לוח בקרה טכנו-מבצעי'!$B$10="הכל",מלאי!#REF!='לוח בקרה טכנו-מבצעי'!$B$10)),1,0)</f>
        <v>#REF!</v>
      </c>
      <c r="AF281" t="str">
        <f>IF(AD281=1,COUNTIF($AD$3:$AD281,1),"")</f>
        <v/>
      </c>
      <c r="AG281" t="e">
        <f>IF(AE281=1,COUNTIF($AE$3:$AE281,1),"")</f>
        <v>#REF!</v>
      </c>
    </row>
    <row r="282" spans="1:33" ht="15" customHeight="1" x14ac:dyDescent="0.25">
      <c r="A282" s="17"/>
      <c r="B282" s="17"/>
      <c r="C282" s="17"/>
      <c r="D282" s="17"/>
      <c r="E282" s="17" t="str">
        <f>IFERROR(INDEX(הגדרות!$I$2:$I$47,MATCH(B282,הגדרות!$H$2:$H$47,0)),"")</f>
        <v/>
      </c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t="str">
        <f>IFERROR(INDEX(הגדרות!$B$2:$B$17,MATCH(H282,הגדרות!$A$2:$A$17,0)),"")</f>
        <v/>
      </c>
      <c r="AA282" t="str">
        <f>IFERROR(INDEX(הגדרות!$C$2:$C$17,MATCH(H282,הגדרות!$A$2:$A$17,0)),"")</f>
        <v/>
      </c>
      <c r="AB282" t="str">
        <f>IFERROR(INDEX(הגדרות!$B$2:$B$17,MATCH(I282,הגדרות!$A$2:$A$17,0)),"")</f>
        <v/>
      </c>
      <c r="AC282" t="str">
        <f>IFERROR(INDEX(הגדרות!$C$2:$C$17,MATCH(I282,הגדרות!$A$2:$A$17,0)),"")</f>
        <v/>
      </c>
      <c r="AD282">
        <f>IF(AND(מלאי!D282&lt;&gt;"",OR('לוח בקרה'!$B$4="הכל",מלאי!Z282='לוח בקרה'!$B$4,מלאי!AA282='לוח בקרה'!$B$4,מלאי!AB282='לוח בקרה'!$B$4,מלאי!AC282='לוח בקרה'!$B$4),OR('לוח בקרה'!$B$5="הכל",מלאי!A282='לוח בקרה'!$B$5),OR('לוח בקרה'!$B$6="הכל",מלאי!B282='לוח בקרה'!$B$6),OR('לוח בקרה'!$B$7="הכל",מלאי!F282='לוח בקרה'!$B$7,מלאי!G282='לוח בקרה'!$B$7),OR('לוח בקרה'!$B$8="הכל",מלאי!T282='לוח בקרה'!$B$8),OR('לוח בקרה'!$B$9="הכל",מלאי!Q282='לוח בקרה'!$B$9),OR('לוח בקרה'!$E$4="הכל",מלאי!J282='לוח בקרה'!$E$4),OR('לוח בקרה'!$E$5="הכל",מלאי!L282='לוח בקרה'!$E$5),OR('לוח בקרה'!$E$6="הכל",מלאי!O282='לוח בקרה'!$E$6),OR('לוח בקרה'!$E$7="הכל",מלאי!R282='לוח בקרה'!$E$7),OR('לוח בקרה'!$E$8="הכל",'לוח בקרה'!$E$8="",מלאי!W282='לוח בקרה'!$E$8),OR('לוח בקרה'!$E$9="הכל",'לוח בקרה'!$E$9="",ISNUMBER(SEARCH('לוח בקרה'!$E$9,מלאי!C282)))),1,0)</f>
        <v>0</v>
      </c>
      <c r="AE282" t="e">
        <f>IF(AND(מלאי!D282&lt;&gt;"",OR('לוח בקרה טכנו-מבצעי'!$B$4="הכל",מלאי!Z282='לוח בקרה טכנו-מבצעי'!$B$4,מלאי!AA282='לוח בקרה טכנו-מבצעי'!$B$4,מלאי!AB282='לוח בקרה טכנו-מבצעי'!$B$4,מלאי!AC282='לוח בקרה טכנו-מבצעי'!$B$4),OR('לוח בקרה טכנו-מבצעי'!$B$5="הכל",מלאי!A282='לוח בקרה טכנו-מבצעי'!$B$5),OR('לוח בקרה טכנו-מבצעי'!$B$6="הכל",מלאי!B282='לוח בקרה טכנו-מבצעי'!$B$6),OR('לוח בקרה טכנו-מבצעי'!$B$7="הכל",מלאי!F282='לוח בקרה טכנו-מבצעי'!$B$7,מלאי!G282='לוח בקרה טכנו-מבצעי'!$B$7),OR('לוח בקרה טכנו-מבצעי'!$B$8="הכל",מלאי!T282='לוח בקרה טכנו-מבצעי'!$B$8),OR('לוח בקרה טכנו-מבצעי'!$B$9="הכל",מלאי!Q282='לוח בקרה טכנו-מבצעי'!$B$9),OR('לוח בקרה טכנו-מבצעי'!$E$4="הכל",מלאי!J282='לוח בקרה טכנו-מבצעי'!$E$4),OR('לוח בקרה טכנו-מבצעי'!$E$5="הכל",מלאי!L282='לוח בקרה טכנו-מבצעי'!$E$5),OR('לוח בקרה טכנו-מבצעי'!$E$6="הכל",מלאי!O282='לוח בקרה טכנו-מבצעי'!$E$6),OR('לוח בקרה טכנו-מבצעי'!$E$7="הכל",מלאי!R282='לוח בקרה טכנו-מבצעי'!$E$7),OR('לוח בקרה טכנו-מבצעי'!$E$8="הכל",'לוח בקרה טכנו-מבצעי'!$E$8="",מלאי!W282='לוח בקרה טכנו-מבצעי'!$E$8),OR('לוח בקרה טכנו-מבצעי'!$E$9="הכל",'לוח בקרה טכנו-מבצעי'!$E$9="",ISNUMBER(SEARCH('לוח בקרה טכנו-מבצעי'!$E$9,מלאי!C282))),OR('לוח בקרה טכנו-מבצעי'!$B$10="הכל",מלאי!#REF!='לוח בקרה טכנו-מבצעי'!$B$10)),1,0)</f>
        <v>#REF!</v>
      </c>
      <c r="AF282" t="str">
        <f>IF(AD282=1,COUNTIF($AD$3:$AD282,1),"")</f>
        <v/>
      </c>
      <c r="AG282" t="e">
        <f>IF(AE282=1,COUNTIF($AE$3:$AE282,1),"")</f>
        <v>#REF!</v>
      </c>
    </row>
    <row r="283" spans="1:33" ht="15" customHeight="1" x14ac:dyDescent="0.25">
      <c r="A283" s="19"/>
      <c r="B283" s="19"/>
      <c r="C283" s="19"/>
      <c r="D283" s="19"/>
      <c r="E283" s="19" t="str">
        <f>IFERROR(INDEX(הגדרות!$I$2:$I$47,MATCH(B283,הגדרות!$H$2:$H$47,0)),"")</f>
        <v/>
      </c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t="str">
        <f>IFERROR(INDEX(הגדרות!$B$2:$B$17,MATCH(H283,הגדרות!$A$2:$A$17,0)),"")</f>
        <v/>
      </c>
      <c r="AA283" t="str">
        <f>IFERROR(INDEX(הגדרות!$C$2:$C$17,MATCH(H283,הגדרות!$A$2:$A$17,0)),"")</f>
        <v/>
      </c>
      <c r="AB283" t="str">
        <f>IFERROR(INDEX(הגדרות!$B$2:$B$17,MATCH(I283,הגדרות!$A$2:$A$17,0)),"")</f>
        <v/>
      </c>
      <c r="AC283" t="str">
        <f>IFERROR(INDEX(הגדרות!$C$2:$C$17,MATCH(I283,הגדרות!$A$2:$A$17,0)),"")</f>
        <v/>
      </c>
      <c r="AD283">
        <f>IF(AND(מלאי!D283&lt;&gt;"",OR('לוח בקרה'!$B$4="הכל",מלאי!Z283='לוח בקרה'!$B$4,מלאי!AA283='לוח בקרה'!$B$4,מלאי!AB283='לוח בקרה'!$B$4,מלאי!AC283='לוח בקרה'!$B$4),OR('לוח בקרה'!$B$5="הכל",מלאי!A283='לוח בקרה'!$B$5),OR('לוח בקרה'!$B$6="הכל",מלאי!B283='לוח בקרה'!$B$6),OR('לוח בקרה'!$B$7="הכל",מלאי!F283='לוח בקרה'!$B$7,מלאי!G283='לוח בקרה'!$B$7),OR('לוח בקרה'!$B$8="הכל",מלאי!T283='לוח בקרה'!$B$8),OR('לוח בקרה'!$B$9="הכל",מלאי!Q283='לוח בקרה'!$B$9),OR('לוח בקרה'!$E$4="הכל",מלאי!J283='לוח בקרה'!$E$4),OR('לוח בקרה'!$E$5="הכל",מלאי!L283='לוח בקרה'!$E$5),OR('לוח בקרה'!$E$6="הכל",מלאי!O283='לוח בקרה'!$E$6),OR('לוח בקרה'!$E$7="הכל",מלאי!R283='לוח בקרה'!$E$7),OR('לוח בקרה'!$E$8="הכל",'לוח בקרה'!$E$8="",מלאי!W283='לוח בקרה'!$E$8),OR('לוח בקרה'!$E$9="הכל",'לוח בקרה'!$E$9="",ISNUMBER(SEARCH('לוח בקרה'!$E$9,מלאי!C283)))),1,0)</f>
        <v>0</v>
      </c>
      <c r="AE283" t="e">
        <f>IF(AND(מלאי!D283&lt;&gt;"",OR('לוח בקרה טכנו-מבצעי'!$B$4="הכל",מלאי!Z283='לוח בקרה טכנו-מבצעי'!$B$4,מלאי!AA283='לוח בקרה טכנו-מבצעי'!$B$4,מלאי!AB283='לוח בקרה טכנו-מבצעי'!$B$4,מלאי!AC283='לוח בקרה טכנו-מבצעי'!$B$4),OR('לוח בקרה טכנו-מבצעי'!$B$5="הכל",מלאי!A283='לוח בקרה טכנו-מבצעי'!$B$5),OR('לוח בקרה טכנו-מבצעי'!$B$6="הכל",מלאי!B283='לוח בקרה טכנו-מבצעי'!$B$6),OR('לוח בקרה טכנו-מבצעי'!$B$7="הכל",מלאי!F283='לוח בקרה טכנו-מבצעי'!$B$7,מלאי!G283='לוח בקרה טכנו-מבצעי'!$B$7),OR('לוח בקרה טכנו-מבצעי'!$B$8="הכל",מלאי!T283='לוח בקרה טכנו-מבצעי'!$B$8),OR('לוח בקרה טכנו-מבצעי'!$B$9="הכל",מלאי!Q283='לוח בקרה טכנו-מבצעי'!$B$9),OR('לוח בקרה טכנו-מבצעי'!$E$4="הכל",מלאי!J283='לוח בקרה טכנו-מבצעי'!$E$4),OR('לוח בקרה טכנו-מבצעי'!$E$5="הכל",מלאי!L283='לוח בקרה טכנו-מבצעי'!$E$5),OR('לוח בקרה טכנו-מבצעי'!$E$6="הכל",מלאי!O283='לוח בקרה טכנו-מבצעי'!$E$6),OR('לוח בקרה טכנו-מבצעי'!$E$7="הכל",מלאי!R283='לוח בקרה טכנו-מבצעי'!$E$7),OR('לוח בקרה טכנו-מבצעי'!$E$8="הכל",'לוח בקרה טכנו-מבצעי'!$E$8="",מלאי!W283='לוח בקרה טכנו-מבצעי'!$E$8),OR('לוח בקרה טכנו-מבצעי'!$E$9="הכל",'לוח בקרה טכנו-מבצעי'!$E$9="",ISNUMBER(SEARCH('לוח בקרה טכנו-מבצעי'!$E$9,מלאי!C283))),OR('לוח בקרה טכנו-מבצעי'!$B$10="הכל",מלאי!#REF!='לוח בקרה טכנו-מבצעי'!$B$10)),1,0)</f>
        <v>#REF!</v>
      </c>
      <c r="AF283" t="str">
        <f>IF(AD283=1,COUNTIF($AD$3:$AD283,1),"")</f>
        <v/>
      </c>
      <c r="AG283" t="e">
        <f>IF(AE283=1,COUNTIF($AE$3:$AE283,1),"")</f>
        <v>#REF!</v>
      </c>
    </row>
    <row r="284" spans="1:33" ht="15" customHeight="1" x14ac:dyDescent="0.25">
      <c r="A284" s="17"/>
      <c r="B284" s="17"/>
      <c r="C284" s="17"/>
      <c r="D284" s="17"/>
      <c r="E284" s="17" t="str">
        <f>IFERROR(INDEX(הגדרות!$I$2:$I$47,MATCH(B284,הגדרות!$H$2:$H$47,0)),"")</f>
        <v/>
      </c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t="str">
        <f>IFERROR(INDEX(הגדרות!$B$2:$B$17,MATCH(H284,הגדרות!$A$2:$A$17,0)),"")</f>
        <v/>
      </c>
      <c r="AA284" t="str">
        <f>IFERROR(INDEX(הגדרות!$C$2:$C$17,MATCH(H284,הגדרות!$A$2:$A$17,0)),"")</f>
        <v/>
      </c>
      <c r="AB284" t="str">
        <f>IFERROR(INDEX(הגדרות!$B$2:$B$17,MATCH(I284,הגדרות!$A$2:$A$17,0)),"")</f>
        <v/>
      </c>
      <c r="AC284" t="str">
        <f>IFERROR(INDEX(הגדרות!$C$2:$C$17,MATCH(I284,הגדרות!$A$2:$A$17,0)),"")</f>
        <v/>
      </c>
      <c r="AD284">
        <f>IF(AND(מלאי!D284&lt;&gt;"",OR('לוח בקרה'!$B$4="הכל",מלאי!Z284='לוח בקרה'!$B$4,מלאי!AA284='לוח בקרה'!$B$4,מלאי!AB284='לוח בקרה'!$B$4,מלאי!AC284='לוח בקרה'!$B$4),OR('לוח בקרה'!$B$5="הכל",מלאי!A284='לוח בקרה'!$B$5),OR('לוח בקרה'!$B$6="הכל",מלאי!B284='לוח בקרה'!$B$6),OR('לוח בקרה'!$B$7="הכל",מלאי!F284='לוח בקרה'!$B$7,מלאי!G284='לוח בקרה'!$B$7),OR('לוח בקרה'!$B$8="הכל",מלאי!T284='לוח בקרה'!$B$8),OR('לוח בקרה'!$B$9="הכל",מלאי!Q284='לוח בקרה'!$B$9),OR('לוח בקרה'!$E$4="הכל",מלאי!J284='לוח בקרה'!$E$4),OR('לוח בקרה'!$E$5="הכל",מלאי!L284='לוח בקרה'!$E$5),OR('לוח בקרה'!$E$6="הכל",מלאי!O284='לוח בקרה'!$E$6),OR('לוח בקרה'!$E$7="הכל",מלאי!R284='לוח בקרה'!$E$7),OR('לוח בקרה'!$E$8="הכל",'לוח בקרה'!$E$8="",מלאי!W284='לוח בקרה'!$E$8),OR('לוח בקרה'!$E$9="הכל",'לוח בקרה'!$E$9="",ISNUMBER(SEARCH('לוח בקרה'!$E$9,מלאי!C284)))),1,0)</f>
        <v>0</v>
      </c>
      <c r="AE284" t="e">
        <f>IF(AND(מלאי!D284&lt;&gt;"",OR('לוח בקרה טכנו-מבצעי'!$B$4="הכל",מלאי!Z284='לוח בקרה טכנו-מבצעי'!$B$4,מלאי!AA284='לוח בקרה טכנו-מבצעי'!$B$4,מלאי!AB284='לוח בקרה טכנו-מבצעי'!$B$4,מלאי!AC284='לוח בקרה טכנו-מבצעי'!$B$4),OR('לוח בקרה טכנו-מבצעי'!$B$5="הכל",מלאי!A284='לוח בקרה טכנו-מבצעי'!$B$5),OR('לוח בקרה טכנו-מבצעי'!$B$6="הכל",מלאי!B284='לוח בקרה טכנו-מבצעי'!$B$6),OR('לוח בקרה טכנו-מבצעי'!$B$7="הכל",מלאי!F284='לוח בקרה טכנו-מבצעי'!$B$7,מלאי!G284='לוח בקרה טכנו-מבצעי'!$B$7),OR('לוח בקרה טכנו-מבצעי'!$B$8="הכל",מלאי!T284='לוח בקרה טכנו-מבצעי'!$B$8),OR('לוח בקרה טכנו-מבצעי'!$B$9="הכל",מלאי!Q284='לוח בקרה טכנו-מבצעי'!$B$9),OR('לוח בקרה טכנו-מבצעי'!$E$4="הכל",מלאי!J284='לוח בקרה טכנו-מבצעי'!$E$4),OR('לוח בקרה טכנו-מבצעי'!$E$5="הכל",מלאי!L284='לוח בקרה טכנו-מבצעי'!$E$5),OR('לוח בקרה טכנו-מבצעי'!$E$6="הכל",מלאי!O284='לוח בקרה טכנו-מבצעי'!$E$6),OR('לוח בקרה טכנו-מבצעי'!$E$7="הכל",מלאי!R284='לוח בקרה טכנו-מבצעי'!$E$7),OR('לוח בקרה טכנו-מבצעי'!$E$8="הכל",'לוח בקרה טכנו-מבצעי'!$E$8="",מלאי!W284='לוח בקרה טכנו-מבצעי'!$E$8),OR('לוח בקרה טכנו-מבצעי'!$E$9="הכל",'לוח בקרה טכנו-מבצעי'!$E$9="",ISNUMBER(SEARCH('לוח בקרה טכנו-מבצעי'!$E$9,מלאי!C284))),OR('לוח בקרה טכנו-מבצעי'!$B$10="הכל",מלאי!#REF!='לוח בקרה טכנו-מבצעי'!$B$10)),1,0)</f>
        <v>#REF!</v>
      </c>
      <c r="AF284" t="str">
        <f>IF(AD284=1,COUNTIF($AD$3:$AD284,1),"")</f>
        <v/>
      </c>
      <c r="AG284" t="e">
        <f>IF(AE284=1,COUNTIF($AE$3:$AE284,1),"")</f>
        <v>#REF!</v>
      </c>
    </row>
    <row r="285" spans="1:33" ht="15" customHeight="1" x14ac:dyDescent="0.25">
      <c r="A285" s="19"/>
      <c r="B285" s="19"/>
      <c r="C285" s="19"/>
      <c r="D285" s="19"/>
      <c r="E285" s="19" t="str">
        <f>IFERROR(INDEX(הגדרות!$I$2:$I$47,MATCH(B285,הגדרות!$H$2:$H$47,0)),"")</f>
        <v/>
      </c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t="str">
        <f>IFERROR(INDEX(הגדרות!$B$2:$B$17,MATCH(H285,הגדרות!$A$2:$A$17,0)),"")</f>
        <v/>
      </c>
      <c r="AA285" t="str">
        <f>IFERROR(INDEX(הגדרות!$C$2:$C$17,MATCH(H285,הגדרות!$A$2:$A$17,0)),"")</f>
        <v/>
      </c>
      <c r="AB285" t="str">
        <f>IFERROR(INDEX(הגדרות!$B$2:$B$17,MATCH(I285,הגדרות!$A$2:$A$17,0)),"")</f>
        <v/>
      </c>
      <c r="AC285" t="str">
        <f>IFERROR(INDEX(הגדרות!$C$2:$C$17,MATCH(I285,הגדרות!$A$2:$A$17,0)),"")</f>
        <v/>
      </c>
      <c r="AD285">
        <f>IF(AND(מלאי!D285&lt;&gt;"",OR('לוח בקרה'!$B$4="הכל",מלאי!Z285='לוח בקרה'!$B$4,מלאי!AA285='לוח בקרה'!$B$4,מלאי!AB285='לוח בקרה'!$B$4,מלאי!AC285='לוח בקרה'!$B$4),OR('לוח בקרה'!$B$5="הכל",מלאי!A285='לוח בקרה'!$B$5),OR('לוח בקרה'!$B$6="הכל",מלאי!B285='לוח בקרה'!$B$6),OR('לוח בקרה'!$B$7="הכל",מלאי!F285='לוח בקרה'!$B$7,מלאי!G285='לוח בקרה'!$B$7),OR('לוח בקרה'!$B$8="הכל",מלאי!T285='לוח בקרה'!$B$8),OR('לוח בקרה'!$B$9="הכל",מלאי!Q285='לוח בקרה'!$B$9),OR('לוח בקרה'!$E$4="הכל",מלאי!J285='לוח בקרה'!$E$4),OR('לוח בקרה'!$E$5="הכל",מלאי!L285='לוח בקרה'!$E$5),OR('לוח בקרה'!$E$6="הכל",מלאי!O285='לוח בקרה'!$E$6),OR('לוח בקרה'!$E$7="הכל",מלאי!R285='לוח בקרה'!$E$7),OR('לוח בקרה'!$E$8="הכל",'לוח בקרה'!$E$8="",מלאי!W285='לוח בקרה'!$E$8),OR('לוח בקרה'!$E$9="הכל",'לוח בקרה'!$E$9="",ISNUMBER(SEARCH('לוח בקרה'!$E$9,מלאי!C285)))),1,0)</f>
        <v>0</v>
      </c>
      <c r="AE285" t="e">
        <f>IF(AND(מלאי!D285&lt;&gt;"",OR('לוח בקרה טכנו-מבצעי'!$B$4="הכל",מלאי!Z285='לוח בקרה טכנו-מבצעי'!$B$4,מלאי!AA285='לוח בקרה טכנו-מבצעי'!$B$4,מלאי!AB285='לוח בקרה טכנו-מבצעי'!$B$4,מלאי!AC285='לוח בקרה טכנו-מבצעי'!$B$4),OR('לוח בקרה טכנו-מבצעי'!$B$5="הכל",מלאי!A285='לוח בקרה טכנו-מבצעי'!$B$5),OR('לוח בקרה טכנו-מבצעי'!$B$6="הכל",מלאי!B285='לוח בקרה טכנו-מבצעי'!$B$6),OR('לוח בקרה טכנו-מבצעי'!$B$7="הכל",מלאי!F285='לוח בקרה טכנו-מבצעי'!$B$7,מלאי!G285='לוח בקרה טכנו-מבצעי'!$B$7),OR('לוח בקרה טכנו-מבצעי'!$B$8="הכל",מלאי!T285='לוח בקרה טכנו-מבצעי'!$B$8),OR('לוח בקרה טכנו-מבצעי'!$B$9="הכל",מלאי!Q285='לוח בקרה טכנו-מבצעי'!$B$9),OR('לוח בקרה טכנו-מבצעי'!$E$4="הכל",מלאי!J285='לוח בקרה טכנו-מבצעי'!$E$4),OR('לוח בקרה טכנו-מבצעי'!$E$5="הכל",מלאי!L285='לוח בקרה טכנו-מבצעי'!$E$5),OR('לוח בקרה טכנו-מבצעי'!$E$6="הכל",מלאי!O285='לוח בקרה טכנו-מבצעי'!$E$6),OR('לוח בקרה טכנו-מבצעי'!$E$7="הכל",מלאי!R285='לוח בקרה טכנו-מבצעי'!$E$7),OR('לוח בקרה טכנו-מבצעי'!$E$8="הכל",'לוח בקרה טכנו-מבצעי'!$E$8="",מלאי!W285='לוח בקרה טכנו-מבצעי'!$E$8),OR('לוח בקרה טכנו-מבצעי'!$E$9="הכל",'לוח בקרה טכנו-מבצעי'!$E$9="",ISNUMBER(SEARCH('לוח בקרה טכנו-מבצעי'!$E$9,מלאי!C285))),OR('לוח בקרה טכנו-מבצעי'!$B$10="הכל",מלאי!#REF!='לוח בקרה טכנו-מבצעי'!$B$10)),1,0)</f>
        <v>#REF!</v>
      </c>
      <c r="AF285" t="str">
        <f>IF(AD285=1,COUNTIF($AD$3:$AD285,1),"")</f>
        <v/>
      </c>
      <c r="AG285" t="e">
        <f>IF(AE285=1,COUNTIF($AE$3:$AE285,1),"")</f>
        <v>#REF!</v>
      </c>
    </row>
    <row r="286" spans="1:33" ht="15" customHeight="1" x14ac:dyDescent="0.25">
      <c r="A286" s="17"/>
      <c r="B286" s="17"/>
      <c r="C286" s="17"/>
      <c r="D286" s="17"/>
      <c r="E286" s="17" t="str">
        <f>IFERROR(INDEX(הגדרות!$I$2:$I$47,MATCH(B286,הגדרות!$H$2:$H$47,0)),"")</f>
        <v/>
      </c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t="str">
        <f>IFERROR(INDEX(הגדרות!$B$2:$B$17,MATCH(H286,הגדרות!$A$2:$A$17,0)),"")</f>
        <v/>
      </c>
      <c r="AA286" t="str">
        <f>IFERROR(INDEX(הגדרות!$C$2:$C$17,MATCH(H286,הגדרות!$A$2:$A$17,0)),"")</f>
        <v/>
      </c>
      <c r="AB286" t="str">
        <f>IFERROR(INDEX(הגדרות!$B$2:$B$17,MATCH(I286,הגדרות!$A$2:$A$17,0)),"")</f>
        <v/>
      </c>
      <c r="AC286" t="str">
        <f>IFERROR(INDEX(הגדרות!$C$2:$C$17,MATCH(I286,הגדרות!$A$2:$A$17,0)),"")</f>
        <v/>
      </c>
      <c r="AD286">
        <f>IF(AND(מלאי!D286&lt;&gt;"",OR('לוח בקרה'!$B$4="הכל",מלאי!Z286='לוח בקרה'!$B$4,מלאי!AA286='לוח בקרה'!$B$4,מלאי!AB286='לוח בקרה'!$B$4,מלאי!AC286='לוח בקרה'!$B$4),OR('לוח בקרה'!$B$5="הכל",מלאי!A286='לוח בקרה'!$B$5),OR('לוח בקרה'!$B$6="הכל",מלאי!B286='לוח בקרה'!$B$6),OR('לוח בקרה'!$B$7="הכל",מלאי!F286='לוח בקרה'!$B$7,מלאי!G286='לוח בקרה'!$B$7),OR('לוח בקרה'!$B$8="הכל",מלאי!T286='לוח בקרה'!$B$8),OR('לוח בקרה'!$B$9="הכל",מלאי!Q286='לוח בקרה'!$B$9),OR('לוח בקרה'!$E$4="הכל",מלאי!J286='לוח בקרה'!$E$4),OR('לוח בקרה'!$E$5="הכל",מלאי!L286='לוח בקרה'!$E$5),OR('לוח בקרה'!$E$6="הכל",מלאי!O286='לוח בקרה'!$E$6),OR('לוח בקרה'!$E$7="הכל",מלאי!R286='לוח בקרה'!$E$7),OR('לוח בקרה'!$E$8="הכל",'לוח בקרה'!$E$8="",מלאי!W286='לוח בקרה'!$E$8),OR('לוח בקרה'!$E$9="הכל",'לוח בקרה'!$E$9="",ISNUMBER(SEARCH('לוח בקרה'!$E$9,מלאי!C286)))),1,0)</f>
        <v>0</v>
      </c>
      <c r="AE286" t="e">
        <f>IF(AND(מלאי!D286&lt;&gt;"",OR('לוח בקרה טכנו-מבצעי'!$B$4="הכל",מלאי!Z286='לוח בקרה טכנו-מבצעי'!$B$4,מלאי!AA286='לוח בקרה טכנו-מבצעי'!$B$4,מלאי!AB286='לוח בקרה טכנו-מבצעי'!$B$4,מלאי!AC286='לוח בקרה טכנו-מבצעי'!$B$4),OR('לוח בקרה טכנו-מבצעי'!$B$5="הכל",מלאי!A286='לוח בקרה טכנו-מבצעי'!$B$5),OR('לוח בקרה טכנו-מבצעי'!$B$6="הכל",מלאי!B286='לוח בקרה טכנו-מבצעי'!$B$6),OR('לוח בקרה טכנו-מבצעי'!$B$7="הכל",מלאי!F286='לוח בקרה טכנו-מבצעי'!$B$7,מלאי!G286='לוח בקרה טכנו-מבצעי'!$B$7),OR('לוח בקרה טכנו-מבצעי'!$B$8="הכל",מלאי!T286='לוח בקרה טכנו-מבצעי'!$B$8),OR('לוח בקרה טכנו-מבצעי'!$B$9="הכל",מלאי!Q286='לוח בקרה טכנו-מבצעי'!$B$9),OR('לוח בקרה טכנו-מבצעי'!$E$4="הכל",מלאי!J286='לוח בקרה טכנו-מבצעי'!$E$4),OR('לוח בקרה טכנו-מבצעי'!$E$5="הכל",מלאי!L286='לוח בקרה טכנו-מבצעי'!$E$5),OR('לוח בקרה טכנו-מבצעי'!$E$6="הכל",מלאי!O286='לוח בקרה טכנו-מבצעי'!$E$6),OR('לוח בקרה טכנו-מבצעי'!$E$7="הכל",מלאי!R286='לוח בקרה טכנו-מבצעי'!$E$7),OR('לוח בקרה טכנו-מבצעי'!$E$8="הכל",'לוח בקרה טכנו-מבצעי'!$E$8="",מלאי!W286='לוח בקרה טכנו-מבצעי'!$E$8),OR('לוח בקרה טכנו-מבצעי'!$E$9="הכל",'לוח בקרה טכנו-מבצעי'!$E$9="",ISNUMBER(SEARCH('לוח בקרה טכנו-מבצעי'!$E$9,מלאי!C286))),OR('לוח בקרה טכנו-מבצעי'!$B$10="הכל",מלאי!#REF!='לוח בקרה טכנו-מבצעי'!$B$10)),1,0)</f>
        <v>#REF!</v>
      </c>
      <c r="AF286" t="str">
        <f>IF(AD286=1,COUNTIF($AD$3:$AD286,1),"")</f>
        <v/>
      </c>
      <c r="AG286" t="e">
        <f>IF(AE286=1,COUNTIF($AE$3:$AE286,1),"")</f>
        <v>#REF!</v>
      </c>
    </row>
    <row r="287" spans="1:33" ht="15" customHeight="1" x14ac:dyDescent="0.25">
      <c r="A287" s="19"/>
      <c r="B287" s="19"/>
      <c r="C287" s="19"/>
      <c r="D287" s="19"/>
      <c r="E287" s="19" t="str">
        <f>IFERROR(INDEX(הגדרות!$I$2:$I$47,MATCH(B287,הגדרות!$H$2:$H$47,0)),"")</f>
        <v/>
      </c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t="str">
        <f>IFERROR(INDEX(הגדרות!$B$2:$B$17,MATCH(H287,הגדרות!$A$2:$A$17,0)),"")</f>
        <v/>
      </c>
      <c r="AA287" t="str">
        <f>IFERROR(INDEX(הגדרות!$C$2:$C$17,MATCH(H287,הגדרות!$A$2:$A$17,0)),"")</f>
        <v/>
      </c>
      <c r="AB287" t="str">
        <f>IFERROR(INDEX(הגדרות!$B$2:$B$17,MATCH(I287,הגדרות!$A$2:$A$17,0)),"")</f>
        <v/>
      </c>
      <c r="AC287" t="str">
        <f>IFERROR(INDEX(הגדרות!$C$2:$C$17,MATCH(I287,הגדרות!$A$2:$A$17,0)),"")</f>
        <v/>
      </c>
      <c r="AD287">
        <f>IF(AND(מלאי!D287&lt;&gt;"",OR('לוח בקרה'!$B$4="הכל",מלאי!Z287='לוח בקרה'!$B$4,מלאי!AA287='לוח בקרה'!$B$4,מלאי!AB287='לוח בקרה'!$B$4,מלאי!AC287='לוח בקרה'!$B$4),OR('לוח בקרה'!$B$5="הכל",מלאי!A287='לוח בקרה'!$B$5),OR('לוח בקרה'!$B$6="הכל",מלאי!B287='לוח בקרה'!$B$6),OR('לוח בקרה'!$B$7="הכל",מלאי!F287='לוח בקרה'!$B$7,מלאי!G287='לוח בקרה'!$B$7),OR('לוח בקרה'!$B$8="הכל",מלאי!T287='לוח בקרה'!$B$8),OR('לוח בקרה'!$B$9="הכל",מלאי!Q287='לוח בקרה'!$B$9),OR('לוח בקרה'!$E$4="הכל",מלאי!J287='לוח בקרה'!$E$4),OR('לוח בקרה'!$E$5="הכל",מלאי!L287='לוח בקרה'!$E$5),OR('לוח בקרה'!$E$6="הכל",מלאי!O287='לוח בקרה'!$E$6),OR('לוח בקרה'!$E$7="הכל",מלאי!R287='לוח בקרה'!$E$7),OR('לוח בקרה'!$E$8="הכל",'לוח בקרה'!$E$8="",מלאי!W287='לוח בקרה'!$E$8),OR('לוח בקרה'!$E$9="הכל",'לוח בקרה'!$E$9="",ISNUMBER(SEARCH('לוח בקרה'!$E$9,מלאי!C287)))),1,0)</f>
        <v>0</v>
      </c>
      <c r="AE287" t="e">
        <f>IF(AND(מלאי!D287&lt;&gt;"",OR('לוח בקרה טכנו-מבצעי'!$B$4="הכל",מלאי!Z287='לוח בקרה טכנו-מבצעי'!$B$4,מלאי!AA287='לוח בקרה טכנו-מבצעי'!$B$4,מלאי!AB287='לוח בקרה טכנו-מבצעי'!$B$4,מלאי!AC287='לוח בקרה טכנו-מבצעי'!$B$4),OR('לוח בקרה טכנו-מבצעי'!$B$5="הכל",מלאי!A287='לוח בקרה טכנו-מבצעי'!$B$5),OR('לוח בקרה טכנו-מבצעי'!$B$6="הכל",מלאי!B287='לוח בקרה טכנו-מבצעי'!$B$6),OR('לוח בקרה טכנו-מבצעי'!$B$7="הכל",מלאי!F287='לוח בקרה טכנו-מבצעי'!$B$7,מלאי!G287='לוח בקרה טכנו-מבצעי'!$B$7),OR('לוח בקרה טכנו-מבצעי'!$B$8="הכל",מלאי!T287='לוח בקרה טכנו-מבצעי'!$B$8),OR('לוח בקרה טכנו-מבצעי'!$B$9="הכל",מלאי!Q287='לוח בקרה טכנו-מבצעי'!$B$9),OR('לוח בקרה טכנו-מבצעי'!$E$4="הכל",מלאי!J287='לוח בקרה טכנו-מבצעי'!$E$4),OR('לוח בקרה טכנו-מבצעי'!$E$5="הכל",מלאי!L287='לוח בקרה טכנו-מבצעי'!$E$5),OR('לוח בקרה טכנו-מבצעי'!$E$6="הכל",מלאי!O287='לוח בקרה טכנו-מבצעי'!$E$6),OR('לוח בקרה טכנו-מבצעי'!$E$7="הכל",מלאי!R287='לוח בקרה טכנו-מבצעי'!$E$7),OR('לוח בקרה טכנו-מבצעי'!$E$8="הכל",'לוח בקרה טכנו-מבצעי'!$E$8="",מלאי!W287='לוח בקרה טכנו-מבצעי'!$E$8),OR('לוח בקרה טכנו-מבצעי'!$E$9="הכל",'לוח בקרה טכנו-מבצעי'!$E$9="",ISNUMBER(SEARCH('לוח בקרה טכנו-מבצעי'!$E$9,מלאי!C287))),OR('לוח בקרה טכנו-מבצעי'!$B$10="הכל",מלאי!#REF!='לוח בקרה טכנו-מבצעי'!$B$10)),1,0)</f>
        <v>#REF!</v>
      </c>
      <c r="AF287" t="str">
        <f>IF(AD287=1,COUNTIF($AD$3:$AD287,1),"")</f>
        <v/>
      </c>
      <c r="AG287" t="e">
        <f>IF(AE287=1,COUNTIF($AE$3:$AE287,1),"")</f>
        <v>#REF!</v>
      </c>
    </row>
    <row r="288" spans="1:33" ht="15" customHeight="1" x14ac:dyDescent="0.25">
      <c r="A288" s="17"/>
      <c r="B288" s="17"/>
      <c r="C288" s="17"/>
      <c r="D288" s="17"/>
      <c r="E288" s="17" t="str">
        <f>IFERROR(INDEX(הגדרות!$I$2:$I$47,MATCH(B288,הגדרות!$H$2:$H$47,0)),"")</f>
        <v/>
      </c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t="str">
        <f>IFERROR(INDEX(הגדרות!$B$2:$B$17,MATCH(H288,הגדרות!$A$2:$A$17,0)),"")</f>
        <v/>
      </c>
      <c r="AA288" t="str">
        <f>IFERROR(INDEX(הגדרות!$C$2:$C$17,MATCH(H288,הגדרות!$A$2:$A$17,0)),"")</f>
        <v/>
      </c>
      <c r="AB288" t="str">
        <f>IFERROR(INDEX(הגדרות!$B$2:$B$17,MATCH(I288,הגדרות!$A$2:$A$17,0)),"")</f>
        <v/>
      </c>
      <c r="AC288" t="str">
        <f>IFERROR(INDEX(הגדרות!$C$2:$C$17,MATCH(I288,הגדרות!$A$2:$A$17,0)),"")</f>
        <v/>
      </c>
      <c r="AD288">
        <f>IF(AND(מלאי!D288&lt;&gt;"",OR('לוח בקרה'!$B$4="הכל",מלאי!Z288='לוח בקרה'!$B$4,מלאי!AA288='לוח בקרה'!$B$4,מלאי!AB288='לוח בקרה'!$B$4,מלאי!AC288='לוח בקרה'!$B$4),OR('לוח בקרה'!$B$5="הכל",מלאי!A288='לוח בקרה'!$B$5),OR('לוח בקרה'!$B$6="הכל",מלאי!B288='לוח בקרה'!$B$6),OR('לוח בקרה'!$B$7="הכל",מלאי!F288='לוח בקרה'!$B$7,מלאי!G288='לוח בקרה'!$B$7),OR('לוח בקרה'!$B$8="הכל",מלאי!T288='לוח בקרה'!$B$8),OR('לוח בקרה'!$B$9="הכל",מלאי!Q288='לוח בקרה'!$B$9),OR('לוח בקרה'!$E$4="הכל",מלאי!J288='לוח בקרה'!$E$4),OR('לוח בקרה'!$E$5="הכל",מלאי!L288='לוח בקרה'!$E$5),OR('לוח בקרה'!$E$6="הכל",מלאי!O288='לוח בקרה'!$E$6),OR('לוח בקרה'!$E$7="הכל",מלאי!R288='לוח בקרה'!$E$7),OR('לוח בקרה'!$E$8="הכל",'לוח בקרה'!$E$8="",מלאי!W288='לוח בקרה'!$E$8),OR('לוח בקרה'!$E$9="הכל",'לוח בקרה'!$E$9="",ISNUMBER(SEARCH('לוח בקרה'!$E$9,מלאי!C288)))),1,0)</f>
        <v>0</v>
      </c>
      <c r="AE288" t="e">
        <f>IF(AND(מלאי!D288&lt;&gt;"",OR('לוח בקרה טכנו-מבצעי'!$B$4="הכל",מלאי!Z288='לוח בקרה טכנו-מבצעי'!$B$4,מלאי!AA288='לוח בקרה טכנו-מבצעי'!$B$4,מלאי!AB288='לוח בקרה טכנו-מבצעי'!$B$4,מלאי!AC288='לוח בקרה טכנו-מבצעי'!$B$4),OR('לוח בקרה טכנו-מבצעי'!$B$5="הכל",מלאי!A288='לוח בקרה טכנו-מבצעי'!$B$5),OR('לוח בקרה טכנו-מבצעי'!$B$6="הכל",מלאי!B288='לוח בקרה טכנו-מבצעי'!$B$6),OR('לוח בקרה טכנו-מבצעי'!$B$7="הכל",מלאי!F288='לוח בקרה טכנו-מבצעי'!$B$7,מלאי!G288='לוח בקרה טכנו-מבצעי'!$B$7),OR('לוח בקרה טכנו-מבצעי'!$B$8="הכל",מלאי!T288='לוח בקרה טכנו-מבצעי'!$B$8),OR('לוח בקרה טכנו-מבצעי'!$B$9="הכל",מלאי!Q288='לוח בקרה טכנו-מבצעי'!$B$9),OR('לוח בקרה טכנו-מבצעי'!$E$4="הכל",מלאי!J288='לוח בקרה טכנו-מבצעי'!$E$4),OR('לוח בקרה טכנו-מבצעי'!$E$5="הכל",מלאי!L288='לוח בקרה טכנו-מבצעי'!$E$5),OR('לוח בקרה טכנו-מבצעי'!$E$6="הכל",מלאי!O288='לוח בקרה טכנו-מבצעי'!$E$6),OR('לוח בקרה טכנו-מבצעי'!$E$7="הכל",מלאי!R288='לוח בקרה טכנו-מבצעי'!$E$7),OR('לוח בקרה טכנו-מבצעי'!$E$8="הכל",'לוח בקרה טכנו-מבצעי'!$E$8="",מלאי!W288='לוח בקרה טכנו-מבצעי'!$E$8),OR('לוח בקרה טכנו-מבצעי'!$E$9="הכל",'לוח בקרה טכנו-מבצעי'!$E$9="",ISNUMBER(SEARCH('לוח בקרה טכנו-מבצעי'!$E$9,מלאי!C288))),OR('לוח בקרה טכנו-מבצעי'!$B$10="הכל",מלאי!#REF!='לוח בקרה טכנו-מבצעי'!$B$10)),1,0)</f>
        <v>#REF!</v>
      </c>
      <c r="AF288" t="str">
        <f>IF(AD288=1,COUNTIF($AD$3:$AD288,1),"")</f>
        <v/>
      </c>
      <c r="AG288" t="e">
        <f>IF(AE288=1,COUNTIF($AE$3:$AE288,1),"")</f>
        <v>#REF!</v>
      </c>
    </row>
    <row r="289" spans="1:33" ht="15" customHeight="1" x14ac:dyDescent="0.25">
      <c r="A289" s="19"/>
      <c r="B289" s="19"/>
      <c r="C289" s="19"/>
      <c r="D289" s="19"/>
      <c r="E289" s="19" t="str">
        <f>IFERROR(INDEX(הגדרות!$I$2:$I$47,MATCH(B289,הגדרות!$H$2:$H$47,0)),"")</f>
        <v/>
      </c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t="str">
        <f>IFERROR(INDEX(הגדרות!$B$2:$B$17,MATCH(H289,הגדרות!$A$2:$A$17,0)),"")</f>
        <v/>
      </c>
      <c r="AA289" t="str">
        <f>IFERROR(INDEX(הגדרות!$C$2:$C$17,MATCH(H289,הגדרות!$A$2:$A$17,0)),"")</f>
        <v/>
      </c>
      <c r="AB289" t="str">
        <f>IFERROR(INDEX(הגדרות!$B$2:$B$17,MATCH(I289,הגדרות!$A$2:$A$17,0)),"")</f>
        <v/>
      </c>
      <c r="AC289" t="str">
        <f>IFERROR(INDEX(הגדרות!$C$2:$C$17,MATCH(I289,הגדרות!$A$2:$A$17,0)),"")</f>
        <v/>
      </c>
      <c r="AD289">
        <f>IF(AND(מלאי!D289&lt;&gt;"",OR('לוח בקרה'!$B$4="הכל",מלאי!Z289='לוח בקרה'!$B$4,מלאי!AA289='לוח בקרה'!$B$4,מלאי!AB289='לוח בקרה'!$B$4,מלאי!AC289='לוח בקרה'!$B$4),OR('לוח בקרה'!$B$5="הכל",מלאי!A289='לוח בקרה'!$B$5),OR('לוח בקרה'!$B$6="הכל",מלאי!B289='לוח בקרה'!$B$6),OR('לוח בקרה'!$B$7="הכל",מלאי!F289='לוח בקרה'!$B$7,מלאי!G289='לוח בקרה'!$B$7),OR('לוח בקרה'!$B$8="הכל",מלאי!T289='לוח בקרה'!$B$8),OR('לוח בקרה'!$B$9="הכל",מלאי!Q289='לוח בקרה'!$B$9),OR('לוח בקרה'!$E$4="הכל",מלאי!J289='לוח בקרה'!$E$4),OR('לוח בקרה'!$E$5="הכל",מלאי!L289='לוח בקרה'!$E$5),OR('לוח בקרה'!$E$6="הכל",מלאי!O289='לוח בקרה'!$E$6),OR('לוח בקרה'!$E$7="הכל",מלאי!R289='לוח בקרה'!$E$7),OR('לוח בקרה'!$E$8="הכל",'לוח בקרה'!$E$8="",מלאי!W289='לוח בקרה'!$E$8),OR('לוח בקרה'!$E$9="הכל",'לוח בקרה'!$E$9="",ISNUMBER(SEARCH('לוח בקרה'!$E$9,מלאי!C289)))),1,0)</f>
        <v>0</v>
      </c>
      <c r="AE289" t="e">
        <f>IF(AND(מלאי!D289&lt;&gt;"",OR('לוח בקרה טכנו-מבצעי'!$B$4="הכל",מלאי!Z289='לוח בקרה טכנו-מבצעי'!$B$4,מלאי!AA289='לוח בקרה טכנו-מבצעי'!$B$4,מלאי!AB289='לוח בקרה טכנו-מבצעי'!$B$4,מלאי!AC289='לוח בקרה טכנו-מבצעי'!$B$4),OR('לוח בקרה טכנו-מבצעי'!$B$5="הכל",מלאי!A289='לוח בקרה טכנו-מבצעי'!$B$5),OR('לוח בקרה טכנו-מבצעי'!$B$6="הכל",מלאי!B289='לוח בקרה טכנו-מבצעי'!$B$6),OR('לוח בקרה טכנו-מבצעי'!$B$7="הכל",מלאי!F289='לוח בקרה טכנו-מבצעי'!$B$7,מלאי!G289='לוח בקרה טכנו-מבצעי'!$B$7),OR('לוח בקרה טכנו-מבצעי'!$B$8="הכל",מלאי!T289='לוח בקרה טכנו-מבצעי'!$B$8),OR('לוח בקרה טכנו-מבצעי'!$B$9="הכל",מלאי!Q289='לוח בקרה טכנו-מבצעי'!$B$9),OR('לוח בקרה טכנו-מבצעי'!$E$4="הכל",מלאי!J289='לוח בקרה טכנו-מבצעי'!$E$4),OR('לוח בקרה טכנו-מבצעי'!$E$5="הכל",מלאי!L289='לוח בקרה טכנו-מבצעי'!$E$5),OR('לוח בקרה טכנו-מבצעי'!$E$6="הכל",מלאי!O289='לוח בקרה טכנו-מבצעי'!$E$6),OR('לוח בקרה טכנו-מבצעי'!$E$7="הכל",מלאי!R289='לוח בקרה טכנו-מבצעי'!$E$7),OR('לוח בקרה טכנו-מבצעי'!$E$8="הכל",'לוח בקרה טכנו-מבצעי'!$E$8="",מלאי!W289='לוח בקרה טכנו-מבצעי'!$E$8),OR('לוח בקרה טכנו-מבצעי'!$E$9="הכל",'לוח בקרה טכנו-מבצעי'!$E$9="",ISNUMBER(SEARCH('לוח בקרה טכנו-מבצעי'!$E$9,מלאי!C289))),OR('לוח בקרה טכנו-מבצעי'!$B$10="הכל",מלאי!#REF!='לוח בקרה טכנו-מבצעי'!$B$10)),1,0)</f>
        <v>#REF!</v>
      </c>
      <c r="AF289" t="str">
        <f>IF(AD289=1,COUNTIF($AD$3:$AD289,1),"")</f>
        <v/>
      </c>
      <c r="AG289" t="e">
        <f>IF(AE289=1,COUNTIF($AE$3:$AE289,1),"")</f>
        <v>#REF!</v>
      </c>
    </row>
    <row r="290" spans="1:33" ht="15" customHeight="1" x14ac:dyDescent="0.25">
      <c r="A290" s="17"/>
      <c r="B290" s="17"/>
      <c r="C290" s="17"/>
      <c r="D290" s="17"/>
      <c r="E290" s="17" t="str">
        <f>IFERROR(INDEX(הגדרות!$I$2:$I$47,MATCH(B290,הגדרות!$H$2:$H$47,0)),"")</f>
        <v/>
      </c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t="str">
        <f>IFERROR(INDEX(הגדרות!$B$2:$B$17,MATCH(H290,הגדרות!$A$2:$A$17,0)),"")</f>
        <v/>
      </c>
      <c r="AA290" t="str">
        <f>IFERROR(INDEX(הגדרות!$C$2:$C$17,MATCH(H290,הגדרות!$A$2:$A$17,0)),"")</f>
        <v/>
      </c>
      <c r="AB290" t="str">
        <f>IFERROR(INDEX(הגדרות!$B$2:$B$17,MATCH(I290,הגדרות!$A$2:$A$17,0)),"")</f>
        <v/>
      </c>
      <c r="AC290" t="str">
        <f>IFERROR(INDEX(הגדרות!$C$2:$C$17,MATCH(I290,הגדרות!$A$2:$A$17,0)),"")</f>
        <v/>
      </c>
      <c r="AD290">
        <f>IF(AND(מלאי!D290&lt;&gt;"",OR('לוח בקרה'!$B$4="הכל",מלאי!Z290='לוח בקרה'!$B$4,מלאי!AA290='לוח בקרה'!$B$4,מלאי!AB290='לוח בקרה'!$B$4,מלאי!AC290='לוח בקרה'!$B$4),OR('לוח בקרה'!$B$5="הכל",מלאי!A290='לוח בקרה'!$B$5),OR('לוח בקרה'!$B$6="הכל",מלאי!B290='לוח בקרה'!$B$6),OR('לוח בקרה'!$B$7="הכל",מלאי!F290='לוח בקרה'!$B$7,מלאי!G290='לוח בקרה'!$B$7),OR('לוח בקרה'!$B$8="הכל",מלאי!T290='לוח בקרה'!$B$8),OR('לוח בקרה'!$B$9="הכל",מלאי!Q290='לוח בקרה'!$B$9),OR('לוח בקרה'!$E$4="הכל",מלאי!J290='לוח בקרה'!$E$4),OR('לוח בקרה'!$E$5="הכל",מלאי!L290='לוח בקרה'!$E$5),OR('לוח בקרה'!$E$6="הכל",מלאי!O290='לוח בקרה'!$E$6),OR('לוח בקרה'!$E$7="הכל",מלאי!R290='לוח בקרה'!$E$7),OR('לוח בקרה'!$E$8="הכל",'לוח בקרה'!$E$8="",מלאי!W290='לוח בקרה'!$E$8),OR('לוח בקרה'!$E$9="הכל",'לוח בקרה'!$E$9="",ISNUMBER(SEARCH('לוח בקרה'!$E$9,מלאי!C290)))),1,0)</f>
        <v>0</v>
      </c>
      <c r="AE290" t="e">
        <f>IF(AND(מלאי!D290&lt;&gt;"",OR('לוח בקרה טכנו-מבצעי'!$B$4="הכל",מלאי!Z290='לוח בקרה טכנו-מבצעי'!$B$4,מלאי!AA290='לוח בקרה טכנו-מבצעי'!$B$4,מלאי!AB290='לוח בקרה טכנו-מבצעי'!$B$4,מלאי!AC290='לוח בקרה טכנו-מבצעי'!$B$4),OR('לוח בקרה טכנו-מבצעי'!$B$5="הכל",מלאי!A290='לוח בקרה טכנו-מבצעי'!$B$5),OR('לוח בקרה טכנו-מבצעי'!$B$6="הכל",מלאי!B290='לוח בקרה טכנו-מבצעי'!$B$6),OR('לוח בקרה טכנו-מבצעי'!$B$7="הכל",מלאי!F290='לוח בקרה טכנו-מבצעי'!$B$7,מלאי!G290='לוח בקרה טכנו-מבצעי'!$B$7),OR('לוח בקרה טכנו-מבצעי'!$B$8="הכל",מלאי!T290='לוח בקרה טכנו-מבצעי'!$B$8),OR('לוח בקרה טכנו-מבצעי'!$B$9="הכל",מלאי!Q290='לוח בקרה טכנו-מבצעי'!$B$9),OR('לוח בקרה טכנו-מבצעי'!$E$4="הכל",מלאי!J290='לוח בקרה טכנו-מבצעי'!$E$4),OR('לוח בקרה טכנו-מבצעי'!$E$5="הכל",מלאי!L290='לוח בקרה טכנו-מבצעי'!$E$5),OR('לוח בקרה טכנו-מבצעי'!$E$6="הכל",מלאי!O290='לוח בקרה טכנו-מבצעי'!$E$6),OR('לוח בקרה טכנו-מבצעי'!$E$7="הכל",מלאי!R290='לוח בקרה טכנו-מבצעי'!$E$7),OR('לוח בקרה טכנו-מבצעי'!$E$8="הכל",'לוח בקרה טכנו-מבצעי'!$E$8="",מלאי!W290='לוח בקרה טכנו-מבצעי'!$E$8),OR('לוח בקרה טכנו-מבצעי'!$E$9="הכל",'לוח בקרה טכנו-מבצעי'!$E$9="",ISNUMBER(SEARCH('לוח בקרה טכנו-מבצעי'!$E$9,מלאי!C290))),OR('לוח בקרה טכנו-מבצעי'!$B$10="הכל",מלאי!#REF!='לוח בקרה טכנו-מבצעי'!$B$10)),1,0)</f>
        <v>#REF!</v>
      </c>
      <c r="AF290" t="str">
        <f>IF(AD290=1,COUNTIF($AD$3:$AD290,1),"")</f>
        <v/>
      </c>
      <c r="AG290" t="e">
        <f>IF(AE290=1,COUNTIF($AE$3:$AE290,1),"")</f>
        <v>#REF!</v>
      </c>
    </row>
    <row r="291" spans="1:33" ht="15" customHeight="1" x14ac:dyDescent="0.25">
      <c r="A291" s="19"/>
      <c r="B291" s="19"/>
      <c r="C291" s="19"/>
      <c r="D291" s="19"/>
      <c r="E291" s="19" t="str">
        <f>IFERROR(INDEX(הגדרות!$I$2:$I$47,MATCH(B291,הגדרות!$H$2:$H$47,0)),"")</f>
        <v/>
      </c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t="str">
        <f>IFERROR(INDEX(הגדרות!$B$2:$B$17,MATCH(H291,הגדרות!$A$2:$A$17,0)),"")</f>
        <v/>
      </c>
      <c r="AA291" t="str">
        <f>IFERROR(INDEX(הגדרות!$C$2:$C$17,MATCH(H291,הגדרות!$A$2:$A$17,0)),"")</f>
        <v/>
      </c>
      <c r="AB291" t="str">
        <f>IFERROR(INDEX(הגדרות!$B$2:$B$17,MATCH(I291,הגדרות!$A$2:$A$17,0)),"")</f>
        <v/>
      </c>
      <c r="AC291" t="str">
        <f>IFERROR(INDEX(הגדרות!$C$2:$C$17,MATCH(I291,הגדרות!$A$2:$A$17,0)),"")</f>
        <v/>
      </c>
      <c r="AD291">
        <f>IF(AND(מלאי!D291&lt;&gt;"",OR('לוח בקרה'!$B$4="הכל",מלאי!Z291='לוח בקרה'!$B$4,מלאי!AA291='לוח בקרה'!$B$4,מלאי!AB291='לוח בקרה'!$B$4,מלאי!AC291='לוח בקרה'!$B$4),OR('לוח בקרה'!$B$5="הכל",מלאי!A291='לוח בקרה'!$B$5),OR('לוח בקרה'!$B$6="הכל",מלאי!B291='לוח בקרה'!$B$6),OR('לוח בקרה'!$B$7="הכל",מלאי!F291='לוח בקרה'!$B$7,מלאי!G291='לוח בקרה'!$B$7),OR('לוח בקרה'!$B$8="הכל",מלאי!T291='לוח בקרה'!$B$8),OR('לוח בקרה'!$B$9="הכל",מלאי!Q291='לוח בקרה'!$B$9),OR('לוח בקרה'!$E$4="הכל",מלאי!J291='לוח בקרה'!$E$4),OR('לוח בקרה'!$E$5="הכל",מלאי!L291='לוח בקרה'!$E$5),OR('לוח בקרה'!$E$6="הכל",מלאי!O291='לוח בקרה'!$E$6),OR('לוח בקרה'!$E$7="הכל",מלאי!R291='לוח בקרה'!$E$7),OR('לוח בקרה'!$E$8="הכל",'לוח בקרה'!$E$8="",מלאי!W291='לוח בקרה'!$E$8),OR('לוח בקרה'!$E$9="הכל",'לוח בקרה'!$E$9="",ISNUMBER(SEARCH('לוח בקרה'!$E$9,מלאי!C291)))),1,0)</f>
        <v>0</v>
      </c>
      <c r="AE291" t="e">
        <f>IF(AND(מלאי!D291&lt;&gt;"",OR('לוח בקרה טכנו-מבצעי'!$B$4="הכל",מלאי!Z291='לוח בקרה טכנו-מבצעי'!$B$4,מלאי!AA291='לוח בקרה טכנו-מבצעי'!$B$4,מלאי!AB291='לוח בקרה טכנו-מבצעי'!$B$4,מלאי!AC291='לוח בקרה טכנו-מבצעי'!$B$4),OR('לוח בקרה טכנו-מבצעי'!$B$5="הכל",מלאי!A291='לוח בקרה טכנו-מבצעי'!$B$5),OR('לוח בקרה טכנו-מבצעי'!$B$6="הכל",מלאי!B291='לוח בקרה טכנו-מבצעי'!$B$6),OR('לוח בקרה טכנו-מבצעי'!$B$7="הכל",מלאי!F291='לוח בקרה טכנו-מבצעי'!$B$7,מלאי!G291='לוח בקרה טכנו-מבצעי'!$B$7),OR('לוח בקרה טכנו-מבצעי'!$B$8="הכל",מלאי!T291='לוח בקרה טכנו-מבצעי'!$B$8),OR('לוח בקרה טכנו-מבצעי'!$B$9="הכל",מלאי!Q291='לוח בקרה טכנו-מבצעי'!$B$9),OR('לוח בקרה טכנו-מבצעי'!$E$4="הכל",מלאי!J291='לוח בקרה טכנו-מבצעי'!$E$4),OR('לוח בקרה טכנו-מבצעי'!$E$5="הכל",מלאי!L291='לוח בקרה טכנו-מבצעי'!$E$5),OR('לוח בקרה טכנו-מבצעי'!$E$6="הכל",מלאי!O291='לוח בקרה טכנו-מבצעי'!$E$6),OR('לוח בקרה טכנו-מבצעי'!$E$7="הכל",מלאי!R291='לוח בקרה טכנו-מבצעי'!$E$7),OR('לוח בקרה טכנו-מבצעי'!$E$8="הכל",'לוח בקרה טכנו-מבצעי'!$E$8="",מלאי!W291='לוח בקרה טכנו-מבצעי'!$E$8),OR('לוח בקרה טכנו-מבצעי'!$E$9="הכל",'לוח בקרה טכנו-מבצעי'!$E$9="",ISNUMBER(SEARCH('לוח בקרה טכנו-מבצעי'!$E$9,מלאי!C291))),OR('לוח בקרה טכנו-מבצעי'!$B$10="הכל",מלאי!#REF!='לוח בקרה טכנו-מבצעי'!$B$10)),1,0)</f>
        <v>#REF!</v>
      </c>
      <c r="AF291" t="str">
        <f>IF(AD291=1,COUNTIF($AD$3:$AD291,1),"")</f>
        <v/>
      </c>
      <c r="AG291" t="e">
        <f>IF(AE291=1,COUNTIF($AE$3:$AE291,1),"")</f>
        <v>#REF!</v>
      </c>
    </row>
    <row r="292" spans="1:33" ht="15" customHeight="1" x14ac:dyDescent="0.25">
      <c r="A292" s="17"/>
      <c r="B292" s="17"/>
      <c r="C292" s="17"/>
      <c r="D292" s="17"/>
      <c r="E292" s="17" t="str">
        <f>IFERROR(INDEX(הגדרות!$I$2:$I$47,MATCH(B292,הגדרות!$H$2:$H$47,0)),"")</f>
        <v/>
      </c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t="str">
        <f>IFERROR(INDEX(הגדרות!$B$2:$B$17,MATCH(H292,הגדרות!$A$2:$A$17,0)),"")</f>
        <v/>
      </c>
      <c r="AA292" t="str">
        <f>IFERROR(INDEX(הגדרות!$C$2:$C$17,MATCH(H292,הגדרות!$A$2:$A$17,0)),"")</f>
        <v/>
      </c>
      <c r="AB292" t="str">
        <f>IFERROR(INDEX(הגדרות!$B$2:$B$17,MATCH(I292,הגדרות!$A$2:$A$17,0)),"")</f>
        <v/>
      </c>
      <c r="AC292" t="str">
        <f>IFERROR(INDEX(הגדרות!$C$2:$C$17,MATCH(I292,הגדרות!$A$2:$A$17,0)),"")</f>
        <v/>
      </c>
      <c r="AD292">
        <f>IF(AND(מלאי!D292&lt;&gt;"",OR('לוח בקרה'!$B$4="הכל",מלאי!Z292='לוח בקרה'!$B$4,מלאי!AA292='לוח בקרה'!$B$4,מלאי!AB292='לוח בקרה'!$B$4,מלאי!AC292='לוח בקרה'!$B$4),OR('לוח בקרה'!$B$5="הכל",מלאי!A292='לוח בקרה'!$B$5),OR('לוח בקרה'!$B$6="הכל",מלאי!B292='לוח בקרה'!$B$6),OR('לוח בקרה'!$B$7="הכל",מלאי!F292='לוח בקרה'!$B$7,מלאי!G292='לוח בקרה'!$B$7),OR('לוח בקרה'!$B$8="הכל",מלאי!T292='לוח בקרה'!$B$8),OR('לוח בקרה'!$B$9="הכל",מלאי!Q292='לוח בקרה'!$B$9),OR('לוח בקרה'!$E$4="הכל",מלאי!J292='לוח בקרה'!$E$4),OR('לוח בקרה'!$E$5="הכל",מלאי!L292='לוח בקרה'!$E$5),OR('לוח בקרה'!$E$6="הכל",מלאי!O292='לוח בקרה'!$E$6),OR('לוח בקרה'!$E$7="הכל",מלאי!R292='לוח בקרה'!$E$7),OR('לוח בקרה'!$E$8="הכל",'לוח בקרה'!$E$8="",מלאי!W292='לוח בקרה'!$E$8),OR('לוח בקרה'!$E$9="הכל",'לוח בקרה'!$E$9="",ISNUMBER(SEARCH('לוח בקרה'!$E$9,מלאי!C292)))),1,0)</f>
        <v>0</v>
      </c>
      <c r="AE292" t="e">
        <f>IF(AND(מלאי!D292&lt;&gt;"",OR('לוח בקרה טכנו-מבצעי'!$B$4="הכל",מלאי!Z292='לוח בקרה טכנו-מבצעי'!$B$4,מלאי!AA292='לוח בקרה טכנו-מבצעי'!$B$4,מלאי!AB292='לוח בקרה טכנו-מבצעי'!$B$4,מלאי!AC292='לוח בקרה טכנו-מבצעי'!$B$4),OR('לוח בקרה טכנו-מבצעי'!$B$5="הכל",מלאי!A292='לוח בקרה טכנו-מבצעי'!$B$5),OR('לוח בקרה טכנו-מבצעי'!$B$6="הכל",מלאי!B292='לוח בקרה טכנו-מבצעי'!$B$6),OR('לוח בקרה טכנו-מבצעי'!$B$7="הכל",מלאי!F292='לוח בקרה טכנו-מבצעי'!$B$7,מלאי!G292='לוח בקרה טכנו-מבצעי'!$B$7),OR('לוח בקרה טכנו-מבצעי'!$B$8="הכל",מלאי!T292='לוח בקרה טכנו-מבצעי'!$B$8),OR('לוח בקרה טכנו-מבצעי'!$B$9="הכל",מלאי!Q292='לוח בקרה טכנו-מבצעי'!$B$9),OR('לוח בקרה טכנו-מבצעי'!$E$4="הכל",מלאי!J292='לוח בקרה טכנו-מבצעי'!$E$4),OR('לוח בקרה טכנו-מבצעי'!$E$5="הכל",מלאי!L292='לוח בקרה טכנו-מבצעי'!$E$5),OR('לוח בקרה טכנו-מבצעי'!$E$6="הכל",מלאי!O292='לוח בקרה טכנו-מבצעי'!$E$6),OR('לוח בקרה טכנו-מבצעי'!$E$7="הכל",מלאי!R292='לוח בקרה טכנו-מבצעי'!$E$7),OR('לוח בקרה טכנו-מבצעי'!$E$8="הכל",'לוח בקרה טכנו-מבצעי'!$E$8="",מלאי!W292='לוח בקרה טכנו-מבצעי'!$E$8),OR('לוח בקרה טכנו-מבצעי'!$E$9="הכל",'לוח בקרה טכנו-מבצעי'!$E$9="",ISNUMBER(SEARCH('לוח בקרה טכנו-מבצעי'!$E$9,מלאי!C292))),OR('לוח בקרה טכנו-מבצעי'!$B$10="הכל",מלאי!#REF!='לוח בקרה טכנו-מבצעי'!$B$10)),1,0)</f>
        <v>#REF!</v>
      </c>
      <c r="AF292" t="str">
        <f>IF(AD292=1,COUNTIF($AD$3:$AD292,1),"")</f>
        <v/>
      </c>
      <c r="AG292" t="e">
        <f>IF(AE292=1,COUNTIF($AE$3:$AE292,1),"")</f>
        <v>#REF!</v>
      </c>
    </row>
    <row r="293" spans="1:33" ht="15" customHeight="1" x14ac:dyDescent="0.25">
      <c r="A293" s="19"/>
      <c r="B293" s="19"/>
      <c r="C293" s="19"/>
      <c r="D293" s="19"/>
      <c r="E293" s="19" t="str">
        <f>IFERROR(INDEX(הגדרות!$I$2:$I$47,MATCH(B293,הגדרות!$H$2:$H$47,0)),"")</f>
        <v/>
      </c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t="str">
        <f>IFERROR(INDEX(הגדרות!$B$2:$B$17,MATCH(H293,הגדרות!$A$2:$A$17,0)),"")</f>
        <v/>
      </c>
      <c r="AA293" t="str">
        <f>IFERROR(INDEX(הגדרות!$C$2:$C$17,MATCH(H293,הגדרות!$A$2:$A$17,0)),"")</f>
        <v/>
      </c>
      <c r="AB293" t="str">
        <f>IFERROR(INDEX(הגדרות!$B$2:$B$17,MATCH(I293,הגדרות!$A$2:$A$17,0)),"")</f>
        <v/>
      </c>
      <c r="AC293" t="str">
        <f>IFERROR(INDEX(הגדרות!$C$2:$C$17,MATCH(I293,הגדרות!$A$2:$A$17,0)),"")</f>
        <v/>
      </c>
      <c r="AD293">
        <f>IF(AND(מלאי!D293&lt;&gt;"",OR('לוח בקרה'!$B$4="הכל",מלאי!Z293='לוח בקרה'!$B$4,מלאי!AA293='לוח בקרה'!$B$4,מלאי!AB293='לוח בקרה'!$B$4,מלאי!AC293='לוח בקרה'!$B$4),OR('לוח בקרה'!$B$5="הכל",מלאי!A293='לוח בקרה'!$B$5),OR('לוח בקרה'!$B$6="הכל",מלאי!B293='לוח בקרה'!$B$6),OR('לוח בקרה'!$B$7="הכל",מלאי!F293='לוח בקרה'!$B$7,מלאי!G293='לוח בקרה'!$B$7),OR('לוח בקרה'!$B$8="הכל",מלאי!T293='לוח בקרה'!$B$8),OR('לוח בקרה'!$B$9="הכל",מלאי!Q293='לוח בקרה'!$B$9),OR('לוח בקרה'!$E$4="הכל",מלאי!J293='לוח בקרה'!$E$4),OR('לוח בקרה'!$E$5="הכל",מלאי!L293='לוח בקרה'!$E$5),OR('לוח בקרה'!$E$6="הכל",מלאי!O293='לוח בקרה'!$E$6),OR('לוח בקרה'!$E$7="הכל",מלאי!R293='לוח בקרה'!$E$7),OR('לוח בקרה'!$E$8="הכל",'לוח בקרה'!$E$8="",מלאי!W293='לוח בקרה'!$E$8),OR('לוח בקרה'!$E$9="הכל",'לוח בקרה'!$E$9="",ISNUMBER(SEARCH('לוח בקרה'!$E$9,מלאי!C293)))),1,0)</f>
        <v>0</v>
      </c>
      <c r="AE293" t="e">
        <f>IF(AND(מלאי!D293&lt;&gt;"",OR('לוח בקרה טכנו-מבצעי'!$B$4="הכל",מלאי!Z293='לוח בקרה טכנו-מבצעי'!$B$4,מלאי!AA293='לוח בקרה טכנו-מבצעי'!$B$4,מלאי!AB293='לוח בקרה טכנו-מבצעי'!$B$4,מלאי!AC293='לוח בקרה טכנו-מבצעי'!$B$4),OR('לוח בקרה טכנו-מבצעי'!$B$5="הכל",מלאי!A293='לוח בקרה טכנו-מבצעי'!$B$5),OR('לוח בקרה טכנו-מבצעי'!$B$6="הכל",מלאי!B293='לוח בקרה טכנו-מבצעי'!$B$6),OR('לוח בקרה טכנו-מבצעי'!$B$7="הכל",מלאי!F293='לוח בקרה טכנו-מבצעי'!$B$7,מלאי!G293='לוח בקרה טכנו-מבצעי'!$B$7),OR('לוח בקרה טכנו-מבצעי'!$B$8="הכל",מלאי!T293='לוח בקרה טכנו-מבצעי'!$B$8),OR('לוח בקרה טכנו-מבצעי'!$B$9="הכל",מלאי!Q293='לוח בקרה טכנו-מבצעי'!$B$9),OR('לוח בקרה טכנו-מבצעי'!$E$4="הכל",מלאי!J293='לוח בקרה טכנו-מבצעי'!$E$4),OR('לוח בקרה טכנו-מבצעי'!$E$5="הכל",מלאי!L293='לוח בקרה טכנו-מבצעי'!$E$5),OR('לוח בקרה טכנו-מבצעי'!$E$6="הכל",מלאי!O293='לוח בקרה טכנו-מבצעי'!$E$6),OR('לוח בקרה טכנו-מבצעי'!$E$7="הכל",מלאי!R293='לוח בקרה טכנו-מבצעי'!$E$7),OR('לוח בקרה טכנו-מבצעי'!$E$8="הכל",'לוח בקרה טכנו-מבצעי'!$E$8="",מלאי!W293='לוח בקרה טכנו-מבצעי'!$E$8),OR('לוח בקרה טכנו-מבצעי'!$E$9="הכל",'לוח בקרה טכנו-מבצעי'!$E$9="",ISNUMBER(SEARCH('לוח בקרה טכנו-מבצעי'!$E$9,מלאי!C293))),OR('לוח בקרה טכנו-מבצעי'!$B$10="הכל",מלאי!#REF!='לוח בקרה טכנו-מבצעי'!$B$10)),1,0)</f>
        <v>#REF!</v>
      </c>
      <c r="AF293" t="str">
        <f>IF(AD293=1,COUNTIF($AD$3:$AD293,1),"")</f>
        <v/>
      </c>
      <c r="AG293" t="e">
        <f>IF(AE293=1,COUNTIF($AE$3:$AE293,1),"")</f>
        <v>#REF!</v>
      </c>
    </row>
    <row r="294" spans="1:33" ht="15" customHeight="1" x14ac:dyDescent="0.25">
      <c r="A294" s="17"/>
      <c r="B294" s="17"/>
      <c r="C294" s="17"/>
      <c r="D294" s="17"/>
      <c r="E294" s="17" t="str">
        <f>IFERROR(INDEX(הגדרות!$I$2:$I$47,MATCH(B294,הגדרות!$H$2:$H$47,0)),"")</f>
        <v/>
      </c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t="str">
        <f>IFERROR(INDEX(הגדרות!$B$2:$B$17,MATCH(H294,הגדרות!$A$2:$A$17,0)),"")</f>
        <v/>
      </c>
      <c r="AA294" t="str">
        <f>IFERROR(INDEX(הגדרות!$C$2:$C$17,MATCH(H294,הגדרות!$A$2:$A$17,0)),"")</f>
        <v/>
      </c>
      <c r="AB294" t="str">
        <f>IFERROR(INDEX(הגדרות!$B$2:$B$17,MATCH(I294,הגדרות!$A$2:$A$17,0)),"")</f>
        <v/>
      </c>
      <c r="AC294" t="str">
        <f>IFERROR(INDEX(הגדרות!$C$2:$C$17,MATCH(I294,הגדרות!$A$2:$A$17,0)),"")</f>
        <v/>
      </c>
      <c r="AD294">
        <f>IF(AND(מלאי!D294&lt;&gt;"",OR('לוח בקרה'!$B$4="הכל",מלאי!Z294='לוח בקרה'!$B$4,מלאי!AA294='לוח בקרה'!$B$4,מלאי!AB294='לוח בקרה'!$B$4,מלאי!AC294='לוח בקרה'!$B$4),OR('לוח בקרה'!$B$5="הכל",מלאי!A294='לוח בקרה'!$B$5),OR('לוח בקרה'!$B$6="הכל",מלאי!B294='לוח בקרה'!$B$6),OR('לוח בקרה'!$B$7="הכל",מלאי!F294='לוח בקרה'!$B$7,מלאי!G294='לוח בקרה'!$B$7),OR('לוח בקרה'!$B$8="הכל",מלאי!T294='לוח בקרה'!$B$8),OR('לוח בקרה'!$B$9="הכל",מלאי!Q294='לוח בקרה'!$B$9),OR('לוח בקרה'!$E$4="הכל",מלאי!J294='לוח בקרה'!$E$4),OR('לוח בקרה'!$E$5="הכל",מלאי!L294='לוח בקרה'!$E$5),OR('לוח בקרה'!$E$6="הכל",מלאי!O294='לוח בקרה'!$E$6),OR('לוח בקרה'!$E$7="הכל",מלאי!R294='לוח בקרה'!$E$7),OR('לוח בקרה'!$E$8="הכל",'לוח בקרה'!$E$8="",מלאי!W294='לוח בקרה'!$E$8),OR('לוח בקרה'!$E$9="הכל",'לוח בקרה'!$E$9="",ISNUMBER(SEARCH('לוח בקרה'!$E$9,מלאי!C294)))),1,0)</f>
        <v>0</v>
      </c>
      <c r="AE294" t="e">
        <f>IF(AND(מלאי!D294&lt;&gt;"",OR('לוח בקרה טכנו-מבצעי'!$B$4="הכל",מלאי!Z294='לוח בקרה טכנו-מבצעי'!$B$4,מלאי!AA294='לוח בקרה טכנו-מבצעי'!$B$4,מלאי!AB294='לוח בקרה טכנו-מבצעי'!$B$4,מלאי!AC294='לוח בקרה טכנו-מבצעי'!$B$4),OR('לוח בקרה טכנו-מבצעי'!$B$5="הכל",מלאי!A294='לוח בקרה טכנו-מבצעי'!$B$5),OR('לוח בקרה טכנו-מבצעי'!$B$6="הכל",מלאי!B294='לוח בקרה טכנו-מבצעי'!$B$6),OR('לוח בקרה טכנו-מבצעי'!$B$7="הכל",מלאי!F294='לוח בקרה טכנו-מבצעי'!$B$7,מלאי!G294='לוח בקרה טכנו-מבצעי'!$B$7),OR('לוח בקרה טכנו-מבצעי'!$B$8="הכל",מלאי!T294='לוח בקרה טכנו-מבצעי'!$B$8),OR('לוח בקרה טכנו-מבצעי'!$B$9="הכל",מלאי!Q294='לוח בקרה טכנו-מבצעי'!$B$9),OR('לוח בקרה טכנו-מבצעי'!$E$4="הכל",מלאי!J294='לוח בקרה טכנו-מבצעי'!$E$4),OR('לוח בקרה טכנו-מבצעי'!$E$5="הכל",מלאי!L294='לוח בקרה טכנו-מבצעי'!$E$5),OR('לוח בקרה טכנו-מבצעי'!$E$6="הכל",מלאי!O294='לוח בקרה טכנו-מבצעי'!$E$6),OR('לוח בקרה טכנו-מבצעי'!$E$7="הכל",מלאי!R294='לוח בקרה טכנו-מבצעי'!$E$7),OR('לוח בקרה טכנו-מבצעי'!$E$8="הכל",'לוח בקרה טכנו-מבצעי'!$E$8="",מלאי!W294='לוח בקרה טכנו-מבצעי'!$E$8),OR('לוח בקרה טכנו-מבצעי'!$E$9="הכל",'לוח בקרה טכנו-מבצעי'!$E$9="",ISNUMBER(SEARCH('לוח בקרה טכנו-מבצעי'!$E$9,מלאי!C294))),OR('לוח בקרה טכנו-מבצעי'!$B$10="הכל",מלאי!#REF!='לוח בקרה טכנו-מבצעי'!$B$10)),1,0)</f>
        <v>#REF!</v>
      </c>
      <c r="AF294" t="str">
        <f>IF(AD294=1,COUNTIF($AD$3:$AD294,1),"")</f>
        <v/>
      </c>
      <c r="AG294" t="e">
        <f>IF(AE294=1,COUNTIF($AE$3:$AE294,1),"")</f>
        <v>#REF!</v>
      </c>
    </row>
    <row r="295" spans="1:33" ht="15" customHeight="1" x14ac:dyDescent="0.25">
      <c r="A295" s="19"/>
      <c r="B295" s="19"/>
      <c r="C295" s="19"/>
      <c r="D295" s="19"/>
      <c r="E295" s="19" t="str">
        <f>IFERROR(INDEX(הגדרות!$I$2:$I$47,MATCH(B295,הגדרות!$H$2:$H$47,0)),"")</f>
        <v/>
      </c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t="str">
        <f>IFERROR(INDEX(הגדרות!$B$2:$B$17,MATCH(H295,הגדרות!$A$2:$A$17,0)),"")</f>
        <v/>
      </c>
      <c r="AA295" t="str">
        <f>IFERROR(INDEX(הגדרות!$C$2:$C$17,MATCH(H295,הגדרות!$A$2:$A$17,0)),"")</f>
        <v/>
      </c>
      <c r="AB295" t="str">
        <f>IFERROR(INDEX(הגדרות!$B$2:$B$17,MATCH(I295,הגדרות!$A$2:$A$17,0)),"")</f>
        <v/>
      </c>
      <c r="AC295" t="str">
        <f>IFERROR(INDEX(הגדרות!$C$2:$C$17,MATCH(I295,הגדרות!$A$2:$A$17,0)),"")</f>
        <v/>
      </c>
      <c r="AD295">
        <f>IF(AND(מלאי!D295&lt;&gt;"",OR('לוח בקרה'!$B$4="הכל",מלאי!Z295='לוח בקרה'!$B$4,מלאי!AA295='לוח בקרה'!$B$4,מלאי!AB295='לוח בקרה'!$B$4,מלאי!AC295='לוח בקרה'!$B$4),OR('לוח בקרה'!$B$5="הכל",מלאי!A295='לוח בקרה'!$B$5),OR('לוח בקרה'!$B$6="הכל",מלאי!B295='לוח בקרה'!$B$6),OR('לוח בקרה'!$B$7="הכל",מלאי!F295='לוח בקרה'!$B$7,מלאי!G295='לוח בקרה'!$B$7),OR('לוח בקרה'!$B$8="הכל",מלאי!T295='לוח בקרה'!$B$8),OR('לוח בקרה'!$B$9="הכל",מלאי!Q295='לוח בקרה'!$B$9),OR('לוח בקרה'!$E$4="הכל",מלאי!J295='לוח בקרה'!$E$4),OR('לוח בקרה'!$E$5="הכל",מלאי!L295='לוח בקרה'!$E$5),OR('לוח בקרה'!$E$6="הכל",מלאי!O295='לוח בקרה'!$E$6),OR('לוח בקרה'!$E$7="הכל",מלאי!R295='לוח בקרה'!$E$7),OR('לוח בקרה'!$E$8="הכל",'לוח בקרה'!$E$8="",מלאי!W295='לוח בקרה'!$E$8),OR('לוח בקרה'!$E$9="הכל",'לוח בקרה'!$E$9="",ISNUMBER(SEARCH('לוח בקרה'!$E$9,מלאי!C295)))),1,0)</f>
        <v>0</v>
      </c>
      <c r="AE295" t="e">
        <f>IF(AND(מלאי!D295&lt;&gt;"",OR('לוח בקרה טכנו-מבצעי'!$B$4="הכל",מלאי!Z295='לוח בקרה טכנו-מבצעי'!$B$4,מלאי!AA295='לוח בקרה טכנו-מבצעי'!$B$4,מלאי!AB295='לוח בקרה טכנו-מבצעי'!$B$4,מלאי!AC295='לוח בקרה טכנו-מבצעי'!$B$4),OR('לוח בקרה טכנו-מבצעי'!$B$5="הכל",מלאי!A295='לוח בקרה טכנו-מבצעי'!$B$5),OR('לוח בקרה טכנו-מבצעי'!$B$6="הכל",מלאי!B295='לוח בקרה טכנו-מבצעי'!$B$6),OR('לוח בקרה טכנו-מבצעי'!$B$7="הכל",מלאי!F295='לוח בקרה טכנו-מבצעי'!$B$7,מלאי!G295='לוח בקרה טכנו-מבצעי'!$B$7),OR('לוח בקרה טכנו-מבצעי'!$B$8="הכל",מלאי!T295='לוח בקרה טכנו-מבצעי'!$B$8),OR('לוח בקרה טכנו-מבצעי'!$B$9="הכל",מלאי!Q295='לוח בקרה טכנו-מבצעי'!$B$9),OR('לוח בקרה טכנו-מבצעי'!$E$4="הכל",מלאי!J295='לוח בקרה טכנו-מבצעי'!$E$4),OR('לוח בקרה טכנו-מבצעי'!$E$5="הכל",מלאי!L295='לוח בקרה טכנו-מבצעי'!$E$5),OR('לוח בקרה טכנו-מבצעי'!$E$6="הכל",מלאי!O295='לוח בקרה טכנו-מבצעי'!$E$6),OR('לוח בקרה טכנו-מבצעי'!$E$7="הכל",מלאי!R295='לוח בקרה טכנו-מבצעי'!$E$7),OR('לוח בקרה טכנו-מבצעי'!$E$8="הכל",'לוח בקרה טכנו-מבצעי'!$E$8="",מלאי!W295='לוח בקרה טכנו-מבצעי'!$E$8),OR('לוח בקרה טכנו-מבצעי'!$E$9="הכל",'לוח בקרה טכנו-מבצעי'!$E$9="",ISNUMBER(SEARCH('לוח בקרה טכנו-מבצעי'!$E$9,מלאי!C295))),OR('לוח בקרה טכנו-מבצעי'!$B$10="הכל",מלאי!#REF!='לוח בקרה טכנו-מבצעי'!$B$10)),1,0)</f>
        <v>#REF!</v>
      </c>
      <c r="AF295" t="str">
        <f>IF(AD295=1,COUNTIF($AD$3:$AD295,1),"")</f>
        <v/>
      </c>
      <c r="AG295" t="e">
        <f>IF(AE295=1,COUNTIF($AE$3:$AE295,1),"")</f>
        <v>#REF!</v>
      </c>
    </row>
    <row r="296" spans="1:33" ht="15" customHeight="1" x14ac:dyDescent="0.25">
      <c r="A296" s="17"/>
      <c r="B296" s="17"/>
      <c r="C296" s="17"/>
      <c r="D296" s="17"/>
      <c r="E296" s="17" t="str">
        <f>IFERROR(INDEX(הגדרות!$I$2:$I$47,MATCH(B296,הגדרות!$H$2:$H$47,0)),"")</f>
        <v/>
      </c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t="str">
        <f>IFERROR(INDEX(הגדרות!$B$2:$B$17,MATCH(H296,הגדרות!$A$2:$A$17,0)),"")</f>
        <v/>
      </c>
      <c r="AA296" t="str">
        <f>IFERROR(INDEX(הגדרות!$C$2:$C$17,MATCH(H296,הגדרות!$A$2:$A$17,0)),"")</f>
        <v/>
      </c>
      <c r="AB296" t="str">
        <f>IFERROR(INDEX(הגדרות!$B$2:$B$17,MATCH(I296,הגדרות!$A$2:$A$17,0)),"")</f>
        <v/>
      </c>
      <c r="AC296" t="str">
        <f>IFERROR(INDEX(הגדרות!$C$2:$C$17,MATCH(I296,הגדרות!$A$2:$A$17,0)),"")</f>
        <v/>
      </c>
      <c r="AD296">
        <f>IF(AND(מלאי!D296&lt;&gt;"",OR('לוח בקרה'!$B$4="הכל",מלאי!Z296='לוח בקרה'!$B$4,מלאי!AA296='לוח בקרה'!$B$4,מלאי!AB296='לוח בקרה'!$B$4,מלאי!AC296='לוח בקרה'!$B$4),OR('לוח בקרה'!$B$5="הכל",מלאי!A296='לוח בקרה'!$B$5),OR('לוח בקרה'!$B$6="הכל",מלאי!B296='לוח בקרה'!$B$6),OR('לוח בקרה'!$B$7="הכל",מלאי!F296='לוח בקרה'!$B$7,מלאי!G296='לוח בקרה'!$B$7),OR('לוח בקרה'!$B$8="הכל",מלאי!T296='לוח בקרה'!$B$8),OR('לוח בקרה'!$B$9="הכל",מלאי!Q296='לוח בקרה'!$B$9),OR('לוח בקרה'!$E$4="הכל",מלאי!J296='לוח בקרה'!$E$4),OR('לוח בקרה'!$E$5="הכל",מלאי!L296='לוח בקרה'!$E$5),OR('לוח בקרה'!$E$6="הכל",מלאי!O296='לוח בקרה'!$E$6),OR('לוח בקרה'!$E$7="הכל",מלאי!R296='לוח בקרה'!$E$7),OR('לוח בקרה'!$E$8="הכל",'לוח בקרה'!$E$8="",מלאי!W296='לוח בקרה'!$E$8),OR('לוח בקרה'!$E$9="הכל",'לוח בקרה'!$E$9="",ISNUMBER(SEARCH('לוח בקרה'!$E$9,מלאי!C296)))),1,0)</f>
        <v>0</v>
      </c>
      <c r="AE296" t="e">
        <f>IF(AND(מלאי!D296&lt;&gt;"",OR('לוח בקרה טכנו-מבצעי'!$B$4="הכל",מלאי!Z296='לוח בקרה טכנו-מבצעי'!$B$4,מלאי!AA296='לוח בקרה טכנו-מבצעי'!$B$4,מלאי!AB296='לוח בקרה טכנו-מבצעי'!$B$4,מלאי!AC296='לוח בקרה טכנו-מבצעי'!$B$4),OR('לוח בקרה טכנו-מבצעי'!$B$5="הכל",מלאי!A296='לוח בקרה טכנו-מבצעי'!$B$5),OR('לוח בקרה טכנו-מבצעי'!$B$6="הכל",מלאי!B296='לוח בקרה טכנו-מבצעי'!$B$6),OR('לוח בקרה טכנו-מבצעי'!$B$7="הכל",מלאי!F296='לוח בקרה טכנו-מבצעי'!$B$7,מלאי!G296='לוח בקרה טכנו-מבצעי'!$B$7),OR('לוח בקרה טכנו-מבצעי'!$B$8="הכל",מלאי!T296='לוח בקרה טכנו-מבצעי'!$B$8),OR('לוח בקרה טכנו-מבצעי'!$B$9="הכל",מלאי!Q296='לוח בקרה טכנו-מבצעי'!$B$9),OR('לוח בקרה טכנו-מבצעי'!$E$4="הכל",מלאי!J296='לוח בקרה טכנו-מבצעי'!$E$4),OR('לוח בקרה טכנו-מבצעי'!$E$5="הכל",מלאי!L296='לוח בקרה טכנו-מבצעי'!$E$5),OR('לוח בקרה טכנו-מבצעי'!$E$6="הכל",מלאי!O296='לוח בקרה טכנו-מבצעי'!$E$6),OR('לוח בקרה טכנו-מבצעי'!$E$7="הכל",מלאי!R296='לוח בקרה טכנו-מבצעי'!$E$7),OR('לוח בקרה טכנו-מבצעי'!$E$8="הכל",'לוח בקרה טכנו-מבצעי'!$E$8="",מלאי!W296='לוח בקרה טכנו-מבצעי'!$E$8),OR('לוח בקרה טכנו-מבצעי'!$E$9="הכל",'לוח בקרה טכנו-מבצעי'!$E$9="",ISNUMBER(SEARCH('לוח בקרה טכנו-מבצעי'!$E$9,מלאי!C296))),OR('לוח בקרה טכנו-מבצעי'!$B$10="הכל",מלאי!#REF!='לוח בקרה טכנו-מבצעי'!$B$10)),1,0)</f>
        <v>#REF!</v>
      </c>
      <c r="AF296" t="str">
        <f>IF(AD296=1,COUNTIF($AD$3:$AD296,1),"")</f>
        <v/>
      </c>
      <c r="AG296" t="e">
        <f>IF(AE296=1,COUNTIF($AE$3:$AE296,1),"")</f>
        <v>#REF!</v>
      </c>
    </row>
    <row r="297" spans="1:33" ht="15" customHeight="1" x14ac:dyDescent="0.25">
      <c r="A297" s="19"/>
      <c r="B297" s="19"/>
      <c r="C297" s="19"/>
      <c r="D297" s="19"/>
      <c r="E297" s="19" t="str">
        <f>IFERROR(INDEX(הגדרות!$I$2:$I$47,MATCH(B297,הגדרות!$H$2:$H$47,0)),"")</f>
        <v/>
      </c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t="str">
        <f>IFERROR(INDEX(הגדרות!$B$2:$B$17,MATCH(H297,הגדרות!$A$2:$A$17,0)),"")</f>
        <v/>
      </c>
      <c r="AA297" t="str">
        <f>IFERROR(INDEX(הגדרות!$C$2:$C$17,MATCH(H297,הגדרות!$A$2:$A$17,0)),"")</f>
        <v/>
      </c>
      <c r="AB297" t="str">
        <f>IFERROR(INDEX(הגדרות!$B$2:$B$17,MATCH(I297,הגדרות!$A$2:$A$17,0)),"")</f>
        <v/>
      </c>
      <c r="AC297" t="str">
        <f>IFERROR(INDEX(הגדרות!$C$2:$C$17,MATCH(I297,הגדרות!$A$2:$A$17,0)),"")</f>
        <v/>
      </c>
      <c r="AD297">
        <f>IF(AND(מלאי!D297&lt;&gt;"",OR('לוח בקרה'!$B$4="הכל",מלאי!Z297='לוח בקרה'!$B$4,מלאי!AA297='לוח בקרה'!$B$4,מלאי!AB297='לוח בקרה'!$B$4,מלאי!AC297='לוח בקרה'!$B$4),OR('לוח בקרה'!$B$5="הכל",מלאי!A297='לוח בקרה'!$B$5),OR('לוח בקרה'!$B$6="הכל",מלאי!B297='לוח בקרה'!$B$6),OR('לוח בקרה'!$B$7="הכל",מלאי!F297='לוח בקרה'!$B$7,מלאי!G297='לוח בקרה'!$B$7),OR('לוח בקרה'!$B$8="הכל",מלאי!T297='לוח בקרה'!$B$8),OR('לוח בקרה'!$B$9="הכל",מלאי!Q297='לוח בקרה'!$B$9),OR('לוח בקרה'!$E$4="הכל",מלאי!J297='לוח בקרה'!$E$4),OR('לוח בקרה'!$E$5="הכל",מלאי!L297='לוח בקרה'!$E$5),OR('לוח בקרה'!$E$6="הכל",מלאי!O297='לוח בקרה'!$E$6),OR('לוח בקרה'!$E$7="הכל",מלאי!R297='לוח בקרה'!$E$7),OR('לוח בקרה'!$E$8="הכל",'לוח בקרה'!$E$8="",מלאי!W297='לוח בקרה'!$E$8),OR('לוח בקרה'!$E$9="הכל",'לוח בקרה'!$E$9="",ISNUMBER(SEARCH('לוח בקרה'!$E$9,מלאי!C297)))),1,0)</f>
        <v>0</v>
      </c>
      <c r="AE297" t="e">
        <f>IF(AND(מלאי!D297&lt;&gt;"",OR('לוח בקרה טכנו-מבצעי'!$B$4="הכל",מלאי!Z297='לוח בקרה טכנו-מבצעי'!$B$4,מלאי!AA297='לוח בקרה טכנו-מבצעי'!$B$4,מלאי!AB297='לוח בקרה טכנו-מבצעי'!$B$4,מלאי!AC297='לוח בקרה טכנו-מבצעי'!$B$4),OR('לוח בקרה טכנו-מבצעי'!$B$5="הכל",מלאי!A297='לוח בקרה טכנו-מבצעי'!$B$5),OR('לוח בקרה טכנו-מבצעי'!$B$6="הכל",מלאי!B297='לוח בקרה טכנו-מבצעי'!$B$6),OR('לוח בקרה טכנו-מבצעי'!$B$7="הכל",מלאי!F297='לוח בקרה טכנו-מבצעי'!$B$7,מלאי!G297='לוח בקרה טכנו-מבצעי'!$B$7),OR('לוח בקרה טכנו-מבצעי'!$B$8="הכל",מלאי!T297='לוח בקרה טכנו-מבצעי'!$B$8),OR('לוח בקרה טכנו-מבצעי'!$B$9="הכל",מלאי!Q297='לוח בקרה טכנו-מבצעי'!$B$9),OR('לוח בקרה טכנו-מבצעי'!$E$4="הכל",מלאי!J297='לוח בקרה טכנו-מבצעי'!$E$4),OR('לוח בקרה טכנו-מבצעי'!$E$5="הכל",מלאי!L297='לוח בקרה טכנו-מבצעי'!$E$5),OR('לוח בקרה טכנו-מבצעי'!$E$6="הכל",מלאי!O297='לוח בקרה טכנו-מבצעי'!$E$6),OR('לוח בקרה טכנו-מבצעי'!$E$7="הכל",מלאי!R297='לוח בקרה טכנו-מבצעי'!$E$7),OR('לוח בקרה טכנו-מבצעי'!$E$8="הכל",'לוח בקרה טכנו-מבצעי'!$E$8="",מלאי!W297='לוח בקרה טכנו-מבצעי'!$E$8),OR('לוח בקרה טכנו-מבצעי'!$E$9="הכל",'לוח בקרה טכנו-מבצעי'!$E$9="",ISNUMBER(SEARCH('לוח בקרה טכנו-מבצעי'!$E$9,מלאי!C297))),OR('לוח בקרה טכנו-מבצעי'!$B$10="הכל",מלאי!#REF!='לוח בקרה טכנו-מבצעי'!$B$10)),1,0)</f>
        <v>#REF!</v>
      </c>
      <c r="AF297" t="str">
        <f>IF(AD297=1,COUNTIF($AD$3:$AD297,1),"")</f>
        <v/>
      </c>
      <c r="AG297" t="e">
        <f>IF(AE297=1,COUNTIF($AE$3:$AE297,1),"")</f>
        <v>#REF!</v>
      </c>
    </row>
    <row r="298" spans="1:33" ht="15" customHeight="1" x14ac:dyDescent="0.25">
      <c r="A298" s="17"/>
      <c r="B298" s="17"/>
      <c r="C298" s="17"/>
      <c r="D298" s="17"/>
      <c r="E298" s="17" t="str">
        <f>IFERROR(INDEX(הגדרות!$I$2:$I$47,MATCH(B298,הגדרות!$H$2:$H$47,0)),"")</f>
        <v/>
      </c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t="str">
        <f>IFERROR(INDEX(הגדרות!$B$2:$B$17,MATCH(H298,הגדרות!$A$2:$A$17,0)),"")</f>
        <v/>
      </c>
      <c r="AA298" t="str">
        <f>IFERROR(INDEX(הגדרות!$C$2:$C$17,MATCH(H298,הגדרות!$A$2:$A$17,0)),"")</f>
        <v/>
      </c>
      <c r="AB298" t="str">
        <f>IFERROR(INDEX(הגדרות!$B$2:$B$17,MATCH(I298,הגדרות!$A$2:$A$17,0)),"")</f>
        <v/>
      </c>
      <c r="AC298" t="str">
        <f>IFERROR(INDEX(הגדרות!$C$2:$C$17,MATCH(I298,הגדרות!$A$2:$A$17,0)),"")</f>
        <v/>
      </c>
      <c r="AD298">
        <f>IF(AND(מלאי!D298&lt;&gt;"",OR('לוח בקרה'!$B$4="הכל",מלאי!Z298='לוח בקרה'!$B$4,מלאי!AA298='לוח בקרה'!$B$4,מלאי!AB298='לוח בקרה'!$B$4,מלאי!AC298='לוח בקרה'!$B$4),OR('לוח בקרה'!$B$5="הכל",מלאי!A298='לוח בקרה'!$B$5),OR('לוח בקרה'!$B$6="הכל",מלאי!B298='לוח בקרה'!$B$6),OR('לוח בקרה'!$B$7="הכל",מלאי!F298='לוח בקרה'!$B$7,מלאי!G298='לוח בקרה'!$B$7),OR('לוח בקרה'!$B$8="הכל",מלאי!T298='לוח בקרה'!$B$8),OR('לוח בקרה'!$B$9="הכל",מלאי!Q298='לוח בקרה'!$B$9),OR('לוח בקרה'!$E$4="הכל",מלאי!J298='לוח בקרה'!$E$4),OR('לוח בקרה'!$E$5="הכל",מלאי!L298='לוח בקרה'!$E$5),OR('לוח בקרה'!$E$6="הכל",מלאי!O298='לוח בקרה'!$E$6),OR('לוח בקרה'!$E$7="הכל",מלאי!R298='לוח בקרה'!$E$7),OR('לוח בקרה'!$E$8="הכל",'לוח בקרה'!$E$8="",מלאי!W298='לוח בקרה'!$E$8),OR('לוח בקרה'!$E$9="הכל",'לוח בקרה'!$E$9="",ISNUMBER(SEARCH('לוח בקרה'!$E$9,מלאי!C298)))),1,0)</f>
        <v>0</v>
      </c>
      <c r="AE298" t="e">
        <f>IF(AND(מלאי!D298&lt;&gt;"",OR('לוח בקרה טכנו-מבצעי'!$B$4="הכל",מלאי!Z298='לוח בקרה טכנו-מבצעי'!$B$4,מלאי!AA298='לוח בקרה טכנו-מבצעי'!$B$4,מלאי!AB298='לוח בקרה טכנו-מבצעי'!$B$4,מלאי!AC298='לוח בקרה טכנו-מבצעי'!$B$4),OR('לוח בקרה טכנו-מבצעי'!$B$5="הכל",מלאי!A298='לוח בקרה טכנו-מבצעי'!$B$5),OR('לוח בקרה טכנו-מבצעי'!$B$6="הכל",מלאי!B298='לוח בקרה טכנו-מבצעי'!$B$6),OR('לוח בקרה טכנו-מבצעי'!$B$7="הכל",מלאי!F298='לוח בקרה טכנו-מבצעי'!$B$7,מלאי!G298='לוח בקרה טכנו-מבצעי'!$B$7),OR('לוח בקרה טכנו-מבצעי'!$B$8="הכל",מלאי!T298='לוח בקרה טכנו-מבצעי'!$B$8),OR('לוח בקרה טכנו-מבצעי'!$B$9="הכל",מלאי!Q298='לוח בקרה טכנו-מבצעי'!$B$9),OR('לוח בקרה טכנו-מבצעי'!$E$4="הכל",מלאי!J298='לוח בקרה טכנו-מבצעי'!$E$4),OR('לוח בקרה טכנו-מבצעי'!$E$5="הכל",מלאי!L298='לוח בקרה טכנו-מבצעי'!$E$5),OR('לוח בקרה טכנו-מבצעי'!$E$6="הכל",מלאי!O298='לוח בקרה טכנו-מבצעי'!$E$6),OR('לוח בקרה טכנו-מבצעי'!$E$7="הכל",מלאי!R298='לוח בקרה טכנו-מבצעי'!$E$7),OR('לוח בקרה טכנו-מבצעי'!$E$8="הכל",'לוח בקרה טכנו-מבצעי'!$E$8="",מלאי!W298='לוח בקרה טכנו-מבצעי'!$E$8),OR('לוח בקרה טכנו-מבצעי'!$E$9="הכל",'לוח בקרה טכנו-מבצעי'!$E$9="",ISNUMBER(SEARCH('לוח בקרה טכנו-מבצעי'!$E$9,מלאי!C298))),OR('לוח בקרה טכנו-מבצעי'!$B$10="הכל",מלאי!#REF!='לוח בקרה טכנו-מבצעי'!$B$10)),1,0)</f>
        <v>#REF!</v>
      </c>
      <c r="AF298" t="str">
        <f>IF(AD298=1,COUNTIF($AD$3:$AD298,1),"")</f>
        <v/>
      </c>
      <c r="AG298" t="e">
        <f>IF(AE298=1,COUNTIF($AE$3:$AE298,1),"")</f>
        <v>#REF!</v>
      </c>
    </row>
    <row r="299" spans="1:33" ht="15" customHeight="1" x14ac:dyDescent="0.25">
      <c r="A299" s="19"/>
      <c r="B299" s="19"/>
      <c r="C299" s="19"/>
      <c r="D299" s="19"/>
      <c r="E299" s="19" t="str">
        <f>IFERROR(INDEX(הגדרות!$I$2:$I$47,MATCH(B299,הגדרות!$H$2:$H$47,0)),"")</f>
        <v/>
      </c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t="str">
        <f>IFERROR(INDEX(הגדרות!$B$2:$B$17,MATCH(H299,הגדרות!$A$2:$A$17,0)),"")</f>
        <v/>
      </c>
      <c r="AA299" t="str">
        <f>IFERROR(INDEX(הגדרות!$C$2:$C$17,MATCH(H299,הגדרות!$A$2:$A$17,0)),"")</f>
        <v/>
      </c>
      <c r="AB299" t="str">
        <f>IFERROR(INDEX(הגדרות!$B$2:$B$17,MATCH(I299,הגדרות!$A$2:$A$17,0)),"")</f>
        <v/>
      </c>
      <c r="AC299" t="str">
        <f>IFERROR(INDEX(הגדרות!$C$2:$C$17,MATCH(I299,הגדרות!$A$2:$A$17,0)),"")</f>
        <v/>
      </c>
      <c r="AD299">
        <f>IF(AND(מלאי!D299&lt;&gt;"",OR('לוח בקרה'!$B$4="הכל",מלאי!Z299='לוח בקרה'!$B$4,מלאי!AA299='לוח בקרה'!$B$4,מלאי!AB299='לוח בקרה'!$B$4,מלאי!AC299='לוח בקרה'!$B$4),OR('לוח בקרה'!$B$5="הכל",מלאי!A299='לוח בקרה'!$B$5),OR('לוח בקרה'!$B$6="הכל",מלאי!B299='לוח בקרה'!$B$6),OR('לוח בקרה'!$B$7="הכל",מלאי!F299='לוח בקרה'!$B$7,מלאי!G299='לוח בקרה'!$B$7),OR('לוח בקרה'!$B$8="הכל",מלאי!T299='לוח בקרה'!$B$8),OR('לוח בקרה'!$B$9="הכל",מלאי!Q299='לוח בקרה'!$B$9),OR('לוח בקרה'!$E$4="הכל",מלאי!J299='לוח בקרה'!$E$4),OR('לוח בקרה'!$E$5="הכל",מלאי!L299='לוח בקרה'!$E$5),OR('לוח בקרה'!$E$6="הכל",מלאי!O299='לוח בקרה'!$E$6),OR('לוח בקרה'!$E$7="הכל",מלאי!R299='לוח בקרה'!$E$7),OR('לוח בקרה'!$E$8="הכל",'לוח בקרה'!$E$8="",מלאי!W299='לוח בקרה'!$E$8),OR('לוח בקרה'!$E$9="הכל",'לוח בקרה'!$E$9="",ISNUMBER(SEARCH('לוח בקרה'!$E$9,מלאי!C299)))),1,0)</f>
        <v>0</v>
      </c>
      <c r="AE299" t="e">
        <f>IF(AND(מלאי!D299&lt;&gt;"",OR('לוח בקרה טכנו-מבצעי'!$B$4="הכל",מלאי!Z299='לוח בקרה טכנו-מבצעי'!$B$4,מלאי!AA299='לוח בקרה טכנו-מבצעי'!$B$4,מלאי!AB299='לוח בקרה טכנו-מבצעי'!$B$4,מלאי!AC299='לוח בקרה טכנו-מבצעי'!$B$4),OR('לוח בקרה טכנו-מבצעי'!$B$5="הכל",מלאי!A299='לוח בקרה טכנו-מבצעי'!$B$5),OR('לוח בקרה טכנו-מבצעי'!$B$6="הכל",מלאי!B299='לוח בקרה טכנו-מבצעי'!$B$6),OR('לוח בקרה טכנו-מבצעי'!$B$7="הכל",מלאי!F299='לוח בקרה טכנו-מבצעי'!$B$7,מלאי!G299='לוח בקרה טכנו-מבצעי'!$B$7),OR('לוח בקרה טכנו-מבצעי'!$B$8="הכל",מלאי!T299='לוח בקרה טכנו-מבצעי'!$B$8),OR('לוח בקרה טכנו-מבצעי'!$B$9="הכל",מלאי!Q299='לוח בקרה טכנו-מבצעי'!$B$9),OR('לוח בקרה טכנו-מבצעי'!$E$4="הכל",מלאי!J299='לוח בקרה טכנו-מבצעי'!$E$4),OR('לוח בקרה טכנו-מבצעי'!$E$5="הכל",מלאי!L299='לוח בקרה טכנו-מבצעי'!$E$5),OR('לוח בקרה טכנו-מבצעי'!$E$6="הכל",מלאי!O299='לוח בקרה טכנו-מבצעי'!$E$6),OR('לוח בקרה טכנו-מבצעי'!$E$7="הכל",מלאי!R299='לוח בקרה טכנו-מבצעי'!$E$7),OR('לוח בקרה טכנו-מבצעי'!$E$8="הכל",'לוח בקרה טכנו-מבצעי'!$E$8="",מלאי!W299='לוח בקרה טכנו-מבצעי'!$E$8),OR('לוח בקרה טכנו-מבצעי'!$E$9="הכל",'לוח בקרה טכנו-מבצעי'!$E$9="",ISNUMBER(SEARCH('לוח בקרה טכנו-מבצעי'!$E$9,מלאי!C299))),OR('לוח בקרה טכנו-מבצעי'!$B$10="הכל",מלאי!#REF!='לוח בקרה טכנו-מבצעי'!$B$10)),1,0)</f>
        <v>#REF!</v>
      </c>
      <c r="AF299" t="str">
        <f>IF(AD299=1,COUNTIF($AD$3:$AD299,1),"")</f>
        <v/>
      </c>
      <c r="AG299" t="e">
        <f>IF(AE299=1,COUNTIF($AE$3:$AE299,1),"")</f>
        <v>#REF!</v>
      </c>
    </row>
    <row r="300" spans="1:33" ht="15" customHeight="1" x14ac:dyDescent="0.25">
      <c r="A300" s="17"/>
      <c r="B300" s="17"/>
      <c r="C300" s="17"/>
      <c r="D300" s="17"/>
      <c r="E300" s="17" t="str">
        <f>IFERROR(INDEX(הגדרות!$I$2:$I$47,MATCH(B300,הגדרות!$H$2:$H$47,0)),"")</f>
        <v/>
      </c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t="str">
        <f>IFERROR(INDEX(הגדרות!$B$2:$B$17,MATCH(H300,הגדרות!$A$2:$A$17,0)),"")</f>
        <v/>
      </c>
      <c r="AA300" t="str">
        <f>IFERROR(INDEX(הגדרות!$C$2:$C$17,MATCH(H300,הגדרות!$A$2:$A$17,0)),"")</f>
        <v/>
      </c>
      <c r="AB300" t="str">
        <f>IFERROR(INDEX(הגדרות!$B$2:$B$17,MATCH(I300,הגדרות!$A$2:$A$17,0)),"")</f>
        <v/>
      </c>
      <c r="AC300" t="str">
        <f>IFERROR(INDEX(הגדרות!$C$2:$C$17,MATCH(I300,הגדרות!$A$2:$A$17,0)),"")</f>
        <v/>
      </c>
      <c r="AD300">
        <f>IF(AND(מלאי!D300&lt;&gt;"",OR('לוח בקרה'!$B$4="הכל",מלאי!Z300='לוח בקרה'!$B$4,מלאי!AA300='לוח בקרה'!$B$4,מלאי!AB300='לוח בקרה'!$B$4,מלאי!AC300='לוח בקרה'!$B$4),OR('לוח בקרה'!$B$5="הכל",מלאי!A300='לוח בקרה'!$B$5),OR('לוח בקרה'!$B$6="הכל",מלאי!B300='לוח בקרה'!$B$6),OR('לוח בקרה'!$B$7="הכל",מלאי!F300='לוח בקרה'!$B$7,מלאי!G300='לוח בקרה'!$B$7),OR('לוח בקרה'!$B$8="הכל",מלאי!T300='לוח בקרה'!$B$8),OR('לוח בקרה'!$B$9="הכל",מלאי!Q300='לוח בקרה'!$B$9),OR('לוח בקרה'!$E$4="הכל",מלאי!J300='לוח בקרה'!$E$4),OR('לוח בקרה'!$E$5="הכל",מלאי!L300='לוח בקרה'!$E$5),OR('לוח בקרה'!$E$6="הכל",מלאי!O300='לוח בקרה'!$E$6),OR('לוח בקרה'!$E$7="הכל",מלאי!R300='לוח בקרה'!$E$7),OR('לוח בקרה'!$E$8="הכל",'לוח בקרה'!$E$8="",מלאי!W300='לוח בקרה'!$E$8),OR('לוח בקרה'!$E$9="הכל",'לוח בקרה'!$E$9="",ISNUMBER(SEARCH('לוח בקרה'!$E$9,מלאי!C300)))),1,0)</f>
        <v>0</v>
      </c>
      <c r="AE300" t="e">
        <f>IF(AND(מלאי!D300&lt;&gt;"",OR('לוח בקרה טכנו-מבצעי'!$B$4="הכל",מלאי!Z300='לוח בקרה טכנו-מבצעי'!$B$4,מלאי!AA300='לוח בקרה טכנו-מבצעי'!$B$4,מלאי!AB300='לוח בקרה טכנו-מבצעי'!$B$4,מלאי!AC300='לוח בקרה טכנו-מבצעי'!$B$4),OR('לוח בקרה טכנו-מבצעי'!$B$5="הכל",מלאי!A300='לוח בקרה טכנו-מבצעי'!$B$5),OR('לוח בקרה טכנו-מבצעי'!$B$6="הכל",מלאי!B300='לוח בקרה טכנו-מבצעי'!$B$6),OR('לוח בקרה טכנו-מבצעי'!$B$7="הכל",מלאי!F300='לוח בקרה טכנו-מבצעי'!$B$7,מלאי!G300='לוח בקרה טכנו-מבצעי'!$B$7),OR('לוח בקרה טכנו-מבצעי'!$B$8="הכל",מלאי!T300='לוח בקרה טכנו-מבצעי'!$B$8),OR('לוח בקרה טכנו-מבצעי'!$B$9="הכל",מלאי!Q300='לוח בקרה טכנו-מבצעי'!$B$9),OR('לוח בקרה טכנו-מבצעי'!$E$4="הכל",מלאי!J300='לוח בקרה טכנו-מבצעי'!$E$4),OR('לוח בקרה טכנו-מבצעי'!$E$5="הכל",מלאי!L300='לוח בקרה טכנו-מבצעי'!$E$5),OR('לוח בקרה טכנו-מבצעי'!$E$6="הכל",מלאי!O300='לוח בקרה טכנו-מבצעי'!$E$6),OR('לוח בקרה טכנו-מבצעי'!$E$7="הכל",מלאי!R300='לוח בקרה טכנו-מבצעי'!$E$7),OR('לוח בקרה טכנו-מבצעי'!$E$8="הכל",'לוח בקרה טכנו-מבצעי'!$E$8="",מלאי!W300='לוח בקרה טכנו-מבצעי'!$E$8),OR('לוח בקרה טכנו-מבצעי'!$E$9="הכל",'לוח בקרה טכנו-מבצעי'!$E$9="",ISNUMBER(SEARCH('לוח בקרה טכנו-מבצעי'!$E$9,מלאי!C300))),OR('לוח בקרה טכנו-מבצעי'!$B$10="הכל",מלאי!#REF!='לוח בקרה טכנו-מבצעי'!$B$10)),1,0)</f>
        <v>#REF!</v>
      </c>
      <c r="AF300" t="str">
        <f>IF(AD300=1,COUNTIF($AD$3:$AD300,1),"")</f>
        <v/>
      </c>
      <c r="AG300" t="e">
        <f>IF(AE300=1,COUNTIF($AE$3:$AE300,1),"")</f>
        <v>#REF!</v>
      </c>
    </row>
    <row r="301" spans="1:33" ht="15" customHeight="1" x14ac:dyDescent="0.25">
      <c r="A301" s="19"/>
      <c r="B301" s="19"/>
      <c r="C301" s="19"/>
      <c r="D301" s="19"/>
      <c r="E301" s="19" t="str">
        <f>IFERROR(INDEX(הגדרות!$I$2:$I$47,MATCH(B301,הגדרות!$H$2:$H$47,0)),"")</f>
        <v/>
      </c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t="str">
        <f>IFERROR(INDEX(הגדרות!$B$2:$B$17,MATCH(H301,הגדרות!$A$2:$A$17,0)),"")</f>
        <v/>
      </c>
      <c r="AA301" t="str">
        <f>IFERROR(INDEX(הגדרות!$C$2:$C$17,MATCH(H301,הגדרות!$A$2:$A$17,0)),"")</f>
        <v/>
      </c>
      <c r="AB301" t="str">
        <f>IFERROR(INDEX(הגדרות!$B$2:$B$17,MATCH(I301,הגדרות!$A$2:$A$17,0)),"")</f>
        <v/>
      </c>
      <c r="AC301" t="str">
        <f>IFERROR(INDEX(הגדרות!$C$2:$C$17,MATCH(I301,הגדרות!$A$2:$A$17,0)),"")</f>
        <v/>
      </c>
      <c r="AD301">
        <f>IF(AND(מלאי!D301&lt;&gt;"",OR('לוח בקרה'!$B$4="הכל",מלאי!Z301='לוח בקרה'!$B$4,מלאי!AA301='לוח בקרה'!$B$4,מלאי!AB301='לוח בקרה'!$B$4,מלאי!AC301='לוח בקרה'!$B$4),OR('לוח בקרה'!$B$5="הכל",מלאי!A301='לוח בקרה'!$B$5),OR('לוח בקרה'!$B$6="הכל",מלאי!B301='לוח בקרה'!$B$6),OR('לוח בקרה'!$B$7="הכל",מלאי!F301='לוח בקרה'!$B$7,מלאי!G301='לוח בקרה'!$B$7),OR('לוח בקרה'!$B$8="הכל",מלאי!T301='לוח בקרה'!$B$8),OR('לוח בקרה'!$B$9="הכל",מלאי!Q301='לוח בקרה'!$B$9),OR('לוח בקרה'!$E$4="הכל",מלאי!J301='לוח בקרה'!$E$4),OR('לוח בקרה'!$E$5="הכל",מלאי!L301='לוח בקרה'!$E$5),OR('לוח בקרה'!$E$6="הכל",מלאי!O301='לוח בקרה'!$E$6),OR('לוח בקרה'!$E$7="הכל",מלאי!R301='לוח בקרה'!$E$7),OR('לוח בקרה'!$E$8="הכל",'לוח בקרה'!$E$8="",מלאי!W301='לוח בקרה'!$E$8),OR('לוח בקרה'!$E$9="הכל",'לוח בקרה'!$E$9="",ISNUMBER(SEARCH('לוח בקרה'!$E$9,מלאי!C301)))),1,0)</f>
        <v>0</v>
      </c>
      <c r="AE301" t="e">
        <f>IF(AND(מלאי!D301&lt;&gt;"",OR('לוח בקרה טכנו-מבצעי'!$B$4="הכל",מלאי!Z301='לוח בקרה טכנו-מבצעי'!$B$4,מלאי!AA301='לוח בקרה טכנו-מבצעי'!$B$4,מלאי!AB301='לוח בקרה טכנו-מבצעי'!$B$4,מלאי!AC301='לוח בקרה טכנו-מבצעי'!$B$4),OR('לוח בקרה טכנו-מבצעי'!$B$5="הכל",מלאי!A301='לוח בקרה טכנו-מבצעי'!$B$5),OR('לוח בקרה טכנו-מבצעי'!$B$6="הכל",מלאי!B301='לוח בקרה טכנו-מבצעי'!$B$6),OR('לוח בקרה טכנו-מבצעי'!$B$7="הכל",מלאי!F301='לוח בקרה טכנו-מבצעי'!$B$7,מלאי!G301='לוח בקרה טכנו-מבצעי'!$B$7),OR('לוח בקרה טכנו-מבצעי'!$B$8="הכל",מלאי!T301='לוח בקרה טכנו-מבצעי'!$B$8),OR('לוח בקרה טכנו-מבצעי'!$B$9="הכל",מלאי!Q301='לוח בקרה טכנו-מבצעי'!$B$9),OR('לוח בקרה טכנו-מבצעי'!$E$4="הכל",מלאי!J301='לוח בקרה טכנו-מבצעי'!$E$4),OR('לוח בקרה טכנו-מבצעי'!$E$5="הכל",מלאי!L301='לוח בקרה טכנו-מבצעי'!$E$5),OR('לוח בקרה טכנו-מבצעי'!$E$6="הכל",מלאי!O301='לוח בקרה טכנו-מבצעי'!$E$6),OR('לוח בקרה טכנו-מבצעי'!$E$7="הכל",מלאי!R301='לוח בקרה טכנו-מבצעי'!$E$7),OR('לוח בקרה טכנו-מבצעי'!$E$8="הכל",'לוח בקרה טכנו-מבצעי'!$E$8="",מלאי!W301='לוח בקרה טכנו-מבצעי'!$E$8),OR('לוח בקרה טכנו-מבצעי'!$E$9="הכל",'לוח בקרה טכנו-מבצעי'!$E$9="",ISNUMBER(SEARCH('לוח בקרה טכנו-מבצעי'!$E$9,מלאי!C301))),OR('לוח בקרה טכנו-מבצעי'!$B$10="הכל",מלאי!#REF!='לוח בקרה טכנו-מבצעי'!$B$10)),1,0)</f>
        <v>#REF!</v>
      </c>
      <c r="AF301" t="str">
        <f>IF(AD301=1,COUNTIF($AD$3:$AD301,1),"")</f>
        <v/>
      </c>
      <c r="AG301" t="e">
        <f>IF(AE301=1,COUNTIF($AE$3:$AE301,1),"")</f>
        <v>#REF!</v>
      </c>
    </row>
    <row r="302" spans="1:33" ht="15" customHeight="1" x14ac:dyDescent="0.25">
      <c r="A302" s="17"/>
      <c r="B302" s="17"/>
      <c r="C302" s="17"/>
      <c r="D302" s="17"/>
      <c r="E302" s="17" t="str">
        <f>IFERROR(INDEX(הגדרות!$I$2:$I$47,MATCH(B302,הגדרות!$H$2:$H$47,0)),"")</f>
        <v/>
      </c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t="str">
        <f>IFERROR(INDEX(הגדרות!$B$2:$B$17,MATCH(H302,הגדרות!$A$2:$A$17,0)),"")</f>
        <v/>
      </c>
      <c r="AA302" t="str">
        <f>IFERROR(INDEX(הגדרות!$C$2:$C$17,MATCH(H302,הגדרות!$A$2:$A$17,0)),"")</f>
        <v/>
      </c>
      <c r="AB302" t="str">
        <f>IFERROR(INDEX(הגדרות!$B$2:$B$17,MATCH(I302,הגדרות!$A$2:$A$17,0)),"")</f>
        <v/>
      </c>
      <c r="AC302" t="str">
        <f>IFERROR(INDEX(הגדרות!$C$2:$C$17,MATCH(I302,הגדרות!$A$2:$A$17,0)),"")</f>
        <v/>
      </c>
      <c r="AD302">
        <f>IF(AND(מלאי!D302&lt;&gt;"",OR('לוח בקרה'!$B$4="הכל",מלאי!Z302='לוח בקרה'!$B$4,מלאי!AA302='לוח בקרה'!$B$4,מלאי!AB302='לוח בקרה'!$B$4,מלאי!AC302='לוח בקרה'!$B$4),OR('לוח בקרה'!$B$5="הכל",מלאי!A302='לוח בקרה'!$B$5),OR('לוח בקרה'!$B$6="הכל",מלאי!B302='לוח בקרה'!$B$6),OR('לוח בקרה'!$B$7="הכל",מלאי!F302='לוח בקרה'!$B$7,מלאי!G302='לוח בקרה'!$B$7),OR('לוח בקרה'!$B$8="הכל",מלאי!T302='לוח בקרה'!$B$8),OR('לוח בקרה'!$B$9="הכל",מלאי!Q302='לוח בקרה'!$B$9),OR('לוח בקרה'!$E$4="הכל",מלאי!J302='לוח בקרה'!$E$4),OR('לוח בקרה'!$E$5="הכל",מלאי!L302='לוח בקרה'!$E$5),OR('לוח בקרה'!$E$6="הכל",מלאי!O302='לוח בקרה'!$E$6),OR('לוח בקרה'!$E$7="הכל",מלאי!R302='לוח בקרה'!$E$7),OR('לוח בקרה'!$E$8="הכל",'לוח בקרה'!$E$8="",מלאי!W302='לוח בקרה'!$E$8),OR('לוח בקרה'!$E$9="הכל",'לוח בקרה'!$E$9="",ISNUMBER(SEARCH('לוח בקרה'!$E$9,מלאי!C302)))),1,0)</f>
        <v>0</v>
      </c>
      <c r="AE302" t="e">
        <f>IF(AND(מלאי!D302&lt;&gt;"",OR('לוח בקרה טכנו-מבצעי'!$B$4="הכל",מלאי!Z302='לוח בקרה טכנו-מבצעי'!$B$4,מלאי!AA302='לוח בקרה טכנו-מבצעי'!$B$4,מלאי!AB302='לוח בקרה טכנו-מבצעי'!$B$4,מלאי!AC302='לוח בקרה טכנו-מבצעי'!$B$4),OR('לוח בקרה טכנו-מבצעי'!$B$5="הכל",מלאי!A302='לוח בקרה טכנו-מבצעי'!$B$5),OR('לוח בקרה טכנו-מבצעי'!$B$6="הכל",מלאי!B302='לוח בקרה טכנו-מבצעי'!$B$6),OR('לוח בקרה טכנו-מבצעי'!$B$7="הכל",מלאי!F302='לוח בקרה טכנו-מבצעי'!$B$7,מלאי!G302='לוח בקרה טכנו-מבצעי'!$B$7),OR('לוח בקרה טכנו-מבצעי'!$B$8="הכל",מלאי!T302='לוח בקרה טכנו-מבצעי'!$B$8),OR('לוח בקרה טכנו-מבצעי'!$B$9="הכל",מלאי!Q302='לוח בקרה טכנו-מבצעי'!$B$9),OR('לוח בקרה טכנו-מבצעי'!$E$4="הכל",מלאי!J302='לוח בקרה טכנו-מבצעי'!$E$4),OR('לוח בקרה טכנו-מבצעי'!$E$5="הכל",מלאי!L302='לוח בקרה טכנו-מבצעי'!$E$5),OR('לוח בקרה טכנו-מבצעי'!$E$6="הכל",מלאי!O302='לוח בקרה טכנו-מבצעי'!$E$6),OR('לוח בקרה טכנו-מבצעי'!$E$7="הכל",מלאי!R302='לוח בקרה טכנו-מבצעי'!$E$7),OR('לוח בקרה טכנו-מבצעי'!$E$8="הכל",'לוח בקרה טכנו-מבצעי'!$E$8="",מלאי!W302='לוח בקרה טכנו-מבצעי'!$E$8),OR('לוח בקרה טכנו-מבצעי'!$E$9="הכל",'לוח בקרה טכנו-מבצעי'!$E$9="",ISNUMBER(SEARCH('לוח בקרה טכנו-מבצעי'!$E$9,מלאי!C302))),OR('לוח בקרה טכנו-מבצעי'!$B$10="הכל",מלאי!#REF!='לוח בקרה טכנו-מבצעי'!$B$10)),1,0)</f>
        <v>#REF!</v>
      </c>
      <c r="AF302" t="str">
        <f>IF(AD302=1,COUNTIF($AD$3:$AD302,1),"")</f>
        <v/>
      </c>
      <c r="AG302" t="e">
        <f>IF(AE302=1,COUNTIF($AE$3:$AE302,1),"")</f>
        <v>#REF!</v>
      </c>
    </row>
    <row r="303" spans="1:33" ht="15" customHeight="1" x14ac:dyDescent="0.25">
      <c r="A303" s="19"/>
      <c r="B303" s="19"/>
      <c r="C303" s="19"/>
      <c r="D303" s="19"/>
      <c r="E303" s="19" t="str">
        <f>IFERROR(INDEX(הגדרות!$I$2:$I$47,MATCH(B303,הגדרות!$H$2:$H$47,0)),"")</f>
        <v/>
      </c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t="str">
        <f>IFERROR(INDEX(הגדרות!$B$2:$B$17,MATCH(H303,הגדרות!$A$2:$A$17,0)),"")</f>
        <v/>
      </c>
      <c r="AA303" t="str">
        <f>IFERROR(INDEX(הגדרות!$C$2:$C$17,MATCH(H303,הגדרות!$A$2:$A$17,0)),"")</f>
        <v/>
      </c>
      <c r="AB303" t="str">
        <f>IFERROR(INDEX(הגדרות!$B$2:$B$17,MATCH(I303,הגדרות!$A$2:$A$17,0)),"")</f>
        <v/>
      </c>
      <c r="AC303" t="str">
        <f>IFERROR(INDEX(הגדרות!$C$2:$C$17,MATCH(I303,הגדרות!$A$2:$A$17,0)),"")</f>
        <v/>
      </c>
      <c r="AD303">
        <f>IF(AND(מלאי!D303&lt;&gt;"",OR('לוח בקרה'!$B$4="הכל",מלאי!Z303='לוח בקרה'!$B$4,מלאי!AA303='לוח בקרה'!$B$4,מלאי!AB303='לוח בקרה'!$B$4,מלאי!AC303='לוח בקרה'!$B$4),OR('לוח בקרה'!$B$5="הכל",מלאי!A303='לוח בקרה'!$B$5),OR('לוח בקרה'!$B$6="הכל",מלאי!B303='לוח בקרה'!$B$6),OR('לוח בקרה'!$B$7="הכל",מלאי!F303='לוח בקרה'!$B$7,מלאי!G303='לוח בקרה'!$B$7),OR('לוח בקרה'!$B$8="הכל",מלאי!T303='לוח בקרה'!$B$8),OR('לוח בקרה'!$B$9="הכל",מלאי!Q303='לוח בקרה'!$B$9),OR('לוח בקרה'!$E$4="הכל",מלאי!J303='לוח בקרה'!$E$4),OR('לוח בקרה'!$E$5="הכל",מלאי!L303='לוח בקרה'!$E$5),OR('לוח בקרה'!$E$6="הכל",מלאי!O303='לוח בקרה'!$E$6),OR('לוח בקרה'!$E$7="הכל",מלאי!R303='לוח בקרה'!$E$7),OR('לוח בקרה'!$E$8="הכל",'לוח בקרה'!$E$8="",מלאי!W303='לוח בקרה'!$E$8),OR('לוח בקרה'!$E$9="הכל",'לוח בקרה'!$E$9="",ISNUMBER(SEARCH('לוח בקרה'!$E$9,מלאי!C303)))),1,0)</f>
        <v>0</v>
      </c>
      <c r="AE303" t="e">
        <f>IF(AND(מלאי!D303&lt;&gt;"",OR('לוח בקרה טכנו-מבצעי'!$B$4="הכל",מלאי!Z303='לוח בקרה טכנו-מבצעי'!$B$4,מלאי!AA303='לוח בקרה טכנו-מבצעי'!$B$4,מלאי!AB303='לוח בקרה טכנו-מבצעי'!$B$4,מלאי!AC303='לוח בקרה טכנו-מבצעי'!$B$4),OR('לוח בקרה טכנו-מבצעי'!$B$5="הכל",מלאי!A303='לוח בקרה טכנו-מבצעי'!$B$5),OR('לוח בקרה טכנו-מבצעי'!$B$6="הכל",מלאי!B303='לוח בקרה טכנו-מבצעי'!$B$6),OR('לוח בקרה טכנו-מבצעי'!$B$7="הכל",מלאי!F303='לוח בקרה טכנו-מבצעי'!$B$7,מלאי!G303='לוח בקרה טכנו-מבצעי'!$B$7),OR('לוח בקרה טכנו-מבצעי'!$B$8="הכל",מלאי!T303='לוח בקרה טכנו-מבצעי'!$B$8),OR('לוח בקרה טכנו-מבצעי'!$B$9="הכל",מלאי!Q303='לוח בקרה טכנו-מבצעי'!$B$9),OR('לוח בקרה טכנו-מבצעי'!$E$4="הכל",מלאי!J303='לוח בקרה טכנו-מבצעי'!$E$4),OR('לוח בקרה טכנו-מבצעי'!$E$5="הכל",מלאי!L303='לוח בקרה טכנו-מבצעי'!$E$5),OR('לוח בקרה טכנו-מבצעי'!$E$6="הכל",מלאי!O303='לוח בקרה טכנו-מבצעי'!$E$6),OR('לוח בקרה טכנו-מבצעי'!$E$7="הכל",מלאי!R303='לוח בקרה טכנו-מבצעי'!$E$7),OR('לוח בקרה טכנו-מבצעי'!$E$8="הכל",'לוח בקרה טכנו-מבצעי'!$E$8="",מלאי!W303='לוח בקרה טכנו-מבצעי'!$E$8),OR('לוח בקרה טכנו-מבצעי'!$E$9="הכל",'לוח בקרה טכנו-מבצעי'!$E$9="",ISNUMBER(SEARCH('לוח בקרה טכנו-מבצעי'!$E$9,מלאי!C303))),OR('לוח בקרה טכנו-מבצעי'!$B$10="הכל",מלאי!#REF!='לוח בקרה טכנו-מבצעי'!$B$10)),1,0)</f>
        <v>#REF!</v>
      </c>
      <c r="AF303" t="str">
        <f>IF(AD303=1,COUNTIF($AD$3:$AD303,1),"")</f>
        <v/>
      </c>
      <c r="AG303" t="e">
        <f>IF(AE303=1,COUNTIF($AE$3:$AE303,1),"")</f>
        <v>#REF!</v>
      </c>
    </row>
    <row r="304" spans="1:33" ht="15" customHeight="1" x14ac:dyDescent="0.25">
      <c r="A304" s="17"/>
      <c r="B304" s="17"/>
      <c r="C304" s="17"/>
      <c r="D304" s="17"/>
      <c r="E304" s="17" t="str">
        <f>IFERROR(INDEX(הגדרות!$I$2:$I$47,MATCH(B304,הגדרות!$H$2:$H$47,0)),"")</f>
        <v/>
      </c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t="str">
        <f>IFERROR(INDEX(הגדרות!$B$2:$B$17,MATCH(H304,הגדרות!$A$2:$A$17,0)),"")</f>
        <v/>
      </c>
      <c r="AA304" t="str">
        <f>IFERROR(INDEX(הגדרות!$C$2:$C$17,MATCH(H304,הגדרות!$A$2:$A$17,0)),"")</f>
        <v/>
      </c>
      <c r="AB304" t="str">
        <f>IFERROR(INDEX(הגדרות!$B$2:$B$17,MATCH(I304,הגדרות!$A$2:$A$17,0)),"")</f>
        <v/>
      </c>
      <c r="AC304" t="str">
        <f>IFERROR(INDEX(הגדרות!$C$2:$C$17,MATCH(I304,הגדרות!$A$2:$A$17,0)),"")</f>
        <v/>
      </c>
      <c r="AD304">
        <f>IF(AND(מלאי!D304&lt;&gt;"",OR('לוח בקרה'!$B$4="הכל",מלאי!Z304='לוח בקרה'!$B$4,מלאי!AA304='לוח בקרה'!$B$4,מלאי!AB304='לוח בקרה'!$B$4,מלאי!AC304='לוח בקרה'!$B$4),OR('לוח בקרה'!$B$5="הכל",מלאי!A304='לוח בקרה'!$B$5),OR('לוח בקרה'!$B$6="הכל",מלאי!B304='לוח בקרה'!$B$6),OR('לוח בקרה'!$B$7="הכל",מלאי!F304='לוח בקרה'!$B$7,מלאי!G304='לוח בקרה'!$B$7),OR('לוח בקרה'!$B$8="הכל",מלאי!T304='לוח בקרה'!$B$8),OR('לוח בקרה'!$B$9="הכל",מלאי!Q304='לוח בקרה'!$B$9),OR('לוח בקרה'!$E$4="הכל",מלאי!J304='לוח בקרה'!$E$4),OR('לוח בקרה'!$E$5="הכל",מלאי!L304='לוח בקרה'!$E$5),OR('לוח בקרה'!$E$6="הכל",מלאי!O304='לוח בקרה'!$E$6),OR('לוח בקרה'!$E$7="הכל",מלאי!R304='לוח בקרה'!$E$7),OR('לוח בקרה'!$E$8="הכל",'לוח בקרה'!$E$8="",מלאי!W304='לוח בקרה'!$E$8),OR('לוח בקרה'!$E$9="הכל",'לוח בקרה'!$E$9="",ISNUMBER(SEARCH('לוח בקרה'!$E$9,מלאי!C304)))),1,0)</f>
        <v>0</v>
      </c>
      <c r="AE304" t="e">
        <f>IF(AND(מלאי!D304&lt;&gt;"",OR('לוח בקרה טכנו-מבצעי'!$B$4="הכל",מלאי!Z304='לוח בקרה טכנו-מבצעי'!$B$4,מלאי!AA304='לוח בקרה טכנו-מבצעי'!$B$4,מלאי!AB304='לוח בקרה טכנו-מבצעי'!$B$4,מלאי!AC304='לוח בקרה טכנו-מבצעי'!$B$4),OR('לוח בקרה טכנו-מבצעי'!$B$5="הכל",מלאי!A304='לוח בקרה טכנו-מבצעי'!$B$5),OR('לוח בקרה טכנו-מבצעי'!$B$6="הכל",מלאי!B304='לוח בקרה טכנו-מבצעי'!$B$6),OR('לוח בקרה טכנו-מבצעי'!$B$7="הכל",מלאי!F304='לוח בקרה טכנו-מבצעי'!$B$7,מלאי!G304='לוח בקרה טכנו-מבצעי'!$B$7),OR('לוח בקרה טכנו-מבצעי'!$B$8="הכל",מלאי!T304='לוח בקרה טכנו-מבצעי'!$B$8),OR('לוח בקרה טכנו-מבצעי'!$B$9="הכל",מלאי!Q304='לוח בקרה טכנו-מבצעי'!$B$9),OR('לוח בקרה טכנו-מבצעי'!$E$4="הכל",מלאי!J304='לוח בקרה טכנו-מבצעי'!$E$4),OR('לוח בקרה טכנו-מבצעי'!$E$5="הכל",מלאי!L304='לוח בקרה טכנו-מבצעי'!$E$5),OR('לוח בקרה טכנו-מבצעי'!$E$6="הכל",מלאי!O304='לוח בקרה טכנו-מבצעי'!$E$6),OR('לוח בקרה טכנו-מבצעי'!$E$7="הכל",מלאי!R304='לוח בקרה טכנו-מבצעי'!$E$7),OR('לוח בקרה טכנו-מבצעי'!$E$8="הכל",'לוח בקרה טכנו-מבצעי'!$E$8="",מלאי!W304='לוח בקרה טכנו-מבצעי'!$E$8),OR('לוח בקרה טכנו-מבצעי'!$E$9="הכל",'לוח בקרה טכנו-מבצעי'!$E$9="",ISNUMBER(SEARCH('לוח בקרה טכנו-מבצעי'!$E$9,מלאי!C304))),OR('לוח בקרה טכנו-מבצעי'!$B$10="הכל",מלאי!#REF!='לוח בקרה טכנו-מבצעי'!$B$10)),1,0)</f>
        <v>#REF!</v>
      </c>
      <c r="AF304" t="str">
        <f>IF(AD304=1,COUNTIF($AD$3:$AD304,1),"")</f>
        <v/>
      </c>
      <c r="AG304" t="e">
        <f>IF(AE304=1,COUNTIF($AE$3:$AE304,1),"")</f>
        <v>#REF!</v>
      </c>
    </row>
    <row r="305" spans="1:33" ht="15" customHeight="1" x14ac:dyDescent="0.25">
      <c r="A305" s="19"/>
      <c r="B305" s="19"/>
      <c r="C305" s="19"/>
      <c r="D305" s="19"/>
      <c r="E305" s="19" t="str">
        <f>IFERROR(INDEX(הגדרות!$I$2:$I$47,MATCH(B305,הגדרות!$H$2:$H$47,0)),"")</f>
        <v/>
      </c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t="str">
        <f>IFERROR(INDEX(הגדרות!$B$2:$B$17,MATCH(H305,הגדרות!$A$2:$A$17,0)),"")</f>
        <v/>
      </c>
      <c r="AA305" t="str">
        <f>IFERROR(INDEX(הגדרות!$C$2:$C$17,MATCH(H305,הגדרות!$A$2:$A$17,0)),"")</f>
        <v/>
      </c>
      <c r="AB305" t="str">
        <f>IFERROR(INDEX(הגדרות!$B$2:$B$17,MATCH(I305,הגדרות!$A$2:$A$17,0)),"")</f>
        <v/>
      </c>
      <c r="AC305" t="str">
        <f>IFERROR(INDEX(הגדרות!$C$2:$C$17,MATCH(I305,הגדרות!$A$2:$A$17,0)),"")</f>
        <v/>
      </c>
      <c r="AD305">
        <f>IF(AND(מלאי!D305&lt;&gt;"",OR('לוח בקרה'!$B$4="הכל",מלאי!Z305='לוח בקרה'!$B$4,מלאי!AA305='לוח בקרה'!$B$4,מלאי!AB305='לוח בקרה'!$B$4,מלאי!AC305='לוח בקרה'!$B$4),OR('לוח בקרה'!$B$5="הכל",מלאי!A305='לוח בקרה'!$B$5),OR('לוח בקרה'!$B$6="הכל",מלאי!B305='לוח בקרה'!$B$6),OR('לוח בקרה'!$B$7="הכל",מלאי!F305='לוח בקרה'!$B$7,מלאי!G305='לוח בקרה'!$B$7),OR('לוח בקרה'!$B$8="הכל",מלאי!T305='לוח בקרה'!$B$8),OR('לוח בקרה'!$B$9="הכל",מלאי!Q305='לוח בקרה'!$B$9),OR('לוח בקרה'!$E$4="הכל",מלאי!J305='לוח בקרה'!$E$4),OR('לוח בקרה'!$E$5="הכל",מלאי!L305='לוח בקרה'!$E$5),OR('לוח בקרה'!$E$6="הכל",מלאי!O305='לוח בקרה'!$E$6),OR('לוח בקרה'!$E$7="הכל",מלאי!R305='לוח בקרה'!$E$7),OR('לוח בקרה'!$E$8="הכל",'לוח בקרה'!$E$8="",מלאי!W305='לוח בקרה'!$E$8),OR('לוח בקרה'!$E$9="הכל",'לוח בקרה'!$E$9="",ISNUMBER(SEARCH('לוח בקרה'!$E$9,מלאי!C305)))),1,0)</f>
        <v>0</v>
      </c>
      <c r="AE305" t="e">
        <f>IF(AND(מלאי!D305&lt;&gt;"",OR('לוח בקרה טכנו-מבצעי'!$B$4="הכל",מלאי!Z305='לוח בקרה טכנו-מבצעי'!$B$4,מלאי!AA305='לוח בקרה טכנו-מבצעי'!$B$4,מלאי!AB305='לוח בקרה טכנו-מבצעי'!$B$4,מלאי!AC305='לוח בקרה טכנו-מבצעי'!$B$4),OR('לוח בקרה טכנו-מבצעי'!$B$5="הכל",מלאי!A305='לוח בקרה טכנו-מבצעי'!$B$5),OR('לוח בקרה טכנו-מבצעי'!$B$6="הכל",מלאי!B305='לוח בקרה טכנו-מבצעי'!$B$6),OR('לוח בקרה טכנו-מבצעי'!$B$7="הכל",מלאי!F305='לוח בקרה טכנו-מבצעי'!$B$7,מלאי!G305='לוח בקרה טכנו-מבצעי'!$B$7),OR('לוח בקרה טכנו-מבצעי'!$B$8="הכל",מלאי!T305='לוח בקרה טכנו-מבצעי'!$B$8),OR('לוח בקרה טכנו-מבצעי'!$B$9="הכל",מלאי!Q305='לוח בקרה טכנו-מבצעי'!$B$9),OR('לוח בקרה טכנו-מבצעי'!$E$4="הכל",מלאי!J305='לוח בקרה טכנו-מבצעי'!$E$4),OR('לוח בקרה טכנו-מבצעי'!$E$5="הכל",מלאי!L305='לוח בקרה טכנו-מבצעי'!$E$5),OR('לוח בקרה טכנו-מבצעי'!$E$6="הכל",מלאי!O305='לוח בקרה טכנו-מבצעי'!$E$6),OR('לוח בקרה טכנו-מבצעי'!$E$7="הכל",מלאי!R305='לוח בקרה טכנו-מבצעי'!$E$7),OR('לוח בקרה טכנו-מבצעי'!$E$8="הכל",'לוח בקרה טכנו-מבצעי'!$E$8="",מלאי!W305='לוח בקרה טכנו-מבצעי'!$E$8),OR('לוח בקרה טכנו-מבצעי'!$E$9="הכל",'לוח בקרה טכנו-מבצעי'!$E$9="",ISNUMBER(SEARCH('לוח בקרה טכנו-מבצעי'!$E$9,מלאי!C305))),OR('לוח בקרה טכנו-מבצעי'!$B$10="הכל",מלאי!#REF!='לוח בקרה טכנו-מבצעי'!$B$10)),1,0)</f>
        <v>#REF!</v>
      </c>
      <c r="AF305" t="str">
        <f>IF(AD305=1,COUNTIF($AD$3:$AD305,1),"")</f>
        <v/>
      </c>
      <c r="AG305" t="e">
        <f>IF(AE305=1,COUNTIF($AE$3:$AE305,1),"")</f>
        <v>#REF!</v>
      </c>
    </row>
    <row r="306" spans="1:33" ht="15" customHeight="1" x14ac:dyDescent="0.25">
      <c r="A306" s="17"/>
      <c r="B306" s="17"/>
      <c r="C306" s="17"/>
      <c r="D306" s="17"/>
      <c r="E306" s="17" t="str">
        <f>IFERROR(INDEX(הגדרות!$I$2:$I$47,MATCH(B306,הגדרות!$H$2:$H$47,0)),"")</f>
        <v/>
      </c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t="str">
        <f>IFERROR(INDEX(הגדרות!$B$2:$B$17,MATCH(H306,הגדרות!$A$2:$A$17,0)),"")</f>
        <v/>
      </c>
      <c r="AA306" t="str">
        <f>IFERROR(INDEX(הגדרות!$C$2:$C$17,MATCH(H306,הגדרות!$A$2:$A$17,0)),"")</f>
        <v/>
      </c>
      <c r="AB306" t="str">
        <f>IFERROR(INDEX(הגדרות!$B$2:$B$17,MATCH(I306,הגדרות!$A$2:$A$17,0)),"")</f>
        <v/>
      </c>
      <c r="AC306" t="str">
        <f>IFERROR(INDEX(הגדרות!$C$2:$C$17,MATCH(I306,הגדרות!$A$2:$A$17,0)),"")</f>
        <v/>
      </c>
      <c r="AD306">
        <f>IF(AND(מלאי!D306&lt;&gt;"",OR('לוח בקרה'!$B$4="הכל",מלאי!Z306='לוח בקרה'!$B$4,מלאי!AA306='לוח בקרה'!$B$4,מלאי!AB306='לוח בקרה'!$B$4,מלאי!AC306='לוח בקרה'!$B$4),OR('לוח בקרה'!$B$5="הכל",מלאי!A306='לוח בקרה'!$B$5),OR('לוח בקרה'!$B$6="הכל",מלאי!B306='לוח בקרה'!$B$6),OR('לוח בקרה'!$B$7="הכל",מלאי!F306='לוח בקרה'!$B$7,מלאי!G306='לוח בקרה'!$B$7),OR('לוח בקרה'!$B$8="הכל",מלאי!T306='לוח בקרה'!$B$8),OR('לוח בקרה'!$B$9="הכל",מלאי!Q306='לוח בקרה'!$B$9),OR('לוח בקרה'!$E$4="הכל",מלאי!J306='לוח בקרה'!$E$4),OR('לוח בקרה'!$E$5="הכל",מלאי!L306='לוח בקרה'!$E$5),OR('לוח בקרה'!$E$6="הכל",מלאי!O306='לוח בקרה'!$E$6),OR('לוח בקרה'!$E$7="הכל",מלאי!R306='לוח בקרה'!$E$7),OR('לוח בקרה'!$E$8="הכל",'לוח בקרה'!$E$8="",מלאי!W306='לוח בקרה'!$E$8),OR('לוח בקרה'!$E$9="הכל",'לוח בקרה'!$E$9="",ISNUMBER(SEARCH('לוח בקרה'!$E$9,מלאי!C306)))),1,0)</f>
        <v>0</v>
      </c>
      <c r="AE306" t="e">
        <f>IF(AND(מלאי!D306&lt;&gt;"",OR('לוח בקרה טכנו-מבצעי'!$B$4="הכל",מלאי!Z306='לוח בקרה טכנו-מבצעי'!$B$4,מלאי!AA306='לוח בקרה טכנו-מבצעי'!$B$4,מלאי!AB306='לוח בקרה טכנו-מבצעי'!$B$4,מלאי!AC306='לוח בקרה טכנו-מבצעי'!$B$4),OR('לוח בקרה טכנו-מבצעי'!$B$5="הכל",מלאי!A306='לוח בקרה טכנו-מבצעי'!$B$5),OR('לוח בקרה טכנו-מבצעי'!$B$6="הכל",מלאי!B306='לוח בקרה טכנו-מבצעי'!$B$6),OR('לוח בקרה טכנו-מבצעי'!$B$7="הכל",מלאי!F306='לוח בקרה טכנו-מבצעי'!$B$7,מלאי!G306='לוח בקרה טכנו-מבצעי'!$B$7),OR('לוח בקרה טכנו-מבצעי'!$B$8="הכל",מלאי!T306='לוח בקרה טכנו-מבצעי'!$B$8),OR('לוח בקרה טכנו-מבצעי'!$B$9="הכל",מלאי!Q306='לוח בקרה טכנו-מבצעי'!$B$9),OR('לוח בקרה טכנו-מבצעי'!$E$4="הכל",מלאי!J306='לוח בקרה טכנו-מבצעי'!$E$4),OR('לוח בקרה טכנו-מבצעי'!$E$5="הכל",מלאי!L306='לוח בקרה טכנו-מבצעי'!$E$5),OR('לוח בקרה טכנו-מבצעי'!$E$6="הכל",מלאי!O306='לוח בקרה טכנו-מבצעי'!$E$6),OR('לוח בקרה טכנו-מבצעי'!$E$7="הכל",מלאי!R306='לוח בקרה טכנו-מבצעי'!$E$7),OR('לוח בקרה טכנו-מבצעי'!$E$8="הכל",'לוח בקרה טכנו-מבצעי'!$E$8="",מלאי!W306='לוח בקרה טכנו-מבצעי'!$E$8),OR('לוח בקרה טכנו-מבצעי'!$E$9="הכל",'לוח בקרה טכנו-מבצעי'!$E$9="",ISNUMBER(SEARCH('לוח בקרה טכנו-מבצעי'!$E$9,מלאי!C306))),OR('לוח בקרה טכנו-מבצעי'!$B$10="הכל",מלאי!#REF!='לוח בקרה טכנו-מבצעי'!$B$10)),1,0)</f>
        <v>#REF!</v>
      </c>
      <c r="AF306" t="str">
        <f>IF(AD306=1,COUNTIF($AD$3:$AD306,1),"")</f>
        <v/>
      </c>
      <c r="AG306" t="e">
        <f>IF(AE306=1,COUNTIF($AE$3:$AE306,1),"")</f>
        <v>#REF!</v>
      </c>
    </row>
    <row r="307" spans="1:33" ht="15" customHeight="1" x14ac:dyDescent="0.25">
      <c r="A307" s="19"/>
      <c r="B307" s="19"/>
      <c r="C307" s="19"/>
      <c r="D307" s="19"/>
      <c r="E307" s="19" t="str">
        <f>IFERROR(INDEX(הגדרות!$I$2:$I$47,MATCH(B307,הגדרות!$H$2:$H$47,0)),"")</f>
        <v/>
      </c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t="str">
        <f>IFERROR(INDEX(הגדרות!$B$2:$B$17,MATCH(H307,הגדרות!$A$2:$A$17,0)),"")</f>
        <v/>
      </c>
      <c r="AA307" t="str">
        <f>IFERROR(INDEX(הגדרות!$C$2:$C$17,MATCH(H307,הגדרות!$A$2:$A$17,0)),"")</f>
        <v/>
      </c>
      <c r="AB307" t="str">
        <f>IFERROR(INDEX(הגדרות!$B$2:$B$17,MATCH(I307,הגדרות!$A$2:$A$17,0)),"")</f>
        <v/>
      </c>
      <c r="AC307" t="str">
        <f>IFERROR(INDEX(הגדרות!$C$2:$C$17,MATCH(I307,הגדרות!$A$2:$A$17,0)),"")</f>
        <v/>
      </c>
      <c r="AD307">
        <f>IF(AND(מלאי!D307&lt;&gt;"",OR('לוח בקרה'!$B$4="הכל",מלאי!Z307='לוח בקרה'!$B$4,מלאי!AA307='לוח בקרה'!$B$4,מלאי!AB307='לוח בקרה'!$B$4,מלאי!AC307='לוח בקרה'!$B$4),OR('לוח בקרה'!$B$5="הכל",מלאי!A307='לוח בקרה'!$B$5),OR('לוח בקרה'!$B$6="הכל",מלאי!B307='לוח בקרה'!$B$6),OR('לוח בקרה'!$B$7="הכל",מלאי!F307='לוח בקרה'!$B$7,מלאי!G307='לוח בקרה'!$B$7),OR('לוח בקרה'!$B$8="הכל",מלאי!T307='לוח בקרה'!$B$8),OR('לוח בקרה'!$B$9="הכל",מלאי!Q307='לוח בקרה'!$B$9),OR('לוח בקרה'!$E$4="הכל",מלאי!J307='לוח בקרה'!$E$4),OR('לוח בקרה'!$E$5="הכל",מלאי!L307='לוח בקרה'!$E$5),OR('לוח בקרה'!$E$6="הכל",מלאי!O307='לוח בקרה'!$E$6),OR('לוח בקרה'!$E$7="הכל",מלאי!R307='לוח בקרה'!$E$7),OR('לוח בקרה'!$E$8="הכל",'לוח בקרה'!$E$8="",מלאי!W307='לוח בקרה'!$E$8),OR('לוח בקרה'!$E$9="הכל",'לוח בקרה'!$E$9="",ISNUMBER(SEARCH('לוח בקרה'!$E$9,מלאי!C307)))),1,0)</f>
        <v>0</v>
      </c>
      <c r="AE307" t="e">
        <f>IF(AND(מלאי!D307&lt;&gt;"",OR('לוח בקרה טכנו-מבצעי'!$B$4="הכל",מלאי!Z307='לוח בקרה טכנו-מבצעי'!$B$4,מלאי!AA307='לוח בקרה טכנו-מבצעי'!$B$4,מלאי!AB307='לוח בקרה טכנו-מבצעי'!$B$4,מלאי!AC307='לוח בקרה טכנו-מבצעי'!$B$4),OR('לוח בקרה טכנו-מבצעי'!$B$5="הכל",מלאי!A307='לוח בקרה טכנו-מבצעי'!$B$5),OR('לוח בקרה טכנו-מבצעי'!$B$6="הכל",מלאי!B307='לוח בקרה טכנו-מבצעי'!$B$6),OR('לוח בקרה טכנו-מבצעי'!$B$7="הכל",מלאי!F307='לוח בקרה טכנו-מבצעי'!$B$7,מלאי!G307='לוח בקרה טכנו-מבצעי'!$B$7),OR('לוח בקרה טכנו-מבצעי'!$B$8="הכל",מלאי!T307='לוח בקרה טכנו-מבצעי'!$B$8),OR('לוח בקרה טכנו-מבצעי'!$B$9="הכל",מלאי!Q307='לוח בקרה טכנו-מבצעי'!$B$9),OR('לוח בקרה טכנו-מבצעי'!$E$4="הכל",מלאי!J307='לוח בקרה טכנו-מבצעי'!$E$4),OR('לוח בקרה טכנו-מבצעי'!$E$5="הכל",מלאי!L307='לוח בקרה טכנו-מבצעי'!$E$5),OR('לוח בקרה טכנו-מבצעי'!$E$6="הכל",מלאי!O307='לוח בקרה טכנו-מבצעי'!$E$6),OR('לוח בקרה טכנו-מבצעי'!$E$7="הכל",מלאי!R307='לוח בקרה טכנו-מבצעי'!$E$7),OR('לוח בקרה טכנו-מבצעי'!$E$8="הכל",'לוח בקרה טכנו-מבצעי'!$E$8="",מלאי!W307='לוח בקרה טכנו-מבצעי'!$E$8),OR('לוח בקרה טכנו-מבצעי'!$E$9="הכל",'לוח בקרה טכנו-מבצעי'!$E$9="",ISNUMBER(SEARCH('לוח בקרה טכנו-מבצעי'!$E$9,מלאי!C307))),OR('לוח בקרה טכנו-מבצעי'!$B$10="הכל",מלאי!#REF!='לוח בקרה טכנו-מבצעי'!$B$10)),1,0)</f>
        <v>#REF!</v>
      </c>
      <c r="AF307" t="str">
        <f>IF(AD307=1,COUNTIF($AD$3:$AD307,1),"")</f>
        <v/>
      </c>
      <c r="AG307" t="e">
        <f>IF(AE307=1,COUNTIF($AE$3:$AE307,1),"")</f>
        <v>#REF!</v>
      </c>
    </row>
    <row r="308" spans="1:33" ht="15" customHeight="1" x14ac:dyDescent="0.25">
      <c r="A308" s="17"/>
      <c r="B308" s="17"/>
      <c r="C308" s="17"/>
      <c r="D308" s="17"/>
      <c r="E308" s="17" t="str">
        <f>IFERROR(INDEX(הגדרות!$I$2:$I$47,MATCH(B308,הגדרות!$H$2:$H$47,0)),"")</f>
        <v/>
      </c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t="str">
        <f>IFERROR(INDEX(הגדרות!$B$2:$B$17,MATCH(H308,הגדרות!$A$2:$A$17,0)),"")</f>
        <v/>
      </c>
      <c r="AA308" t="str">
        <f>IFERROR(INDEX(הגדרות!$C$2:$C$17,MATCH(H308,הגדרות!$A$2:$A$17,0)),"")</f>
        <v/>
      </c>
      <c r="AB308" t="str">
        <f>IFERROR(INDEX(הגדרות!$B$2:$B$17,MATCH(I308,הגדרות!$A$2:$A$17,0)),"")</f>
        <v/>
      </c>
      <c r="AC308" t="str">
        <f>IFERROR(INDEX(הגדרות!$C$2:$C$17,MATCH(I308,הגדרות!$A$2:$A$17,0)),"")</f>
        <v/>
      </c>
      <c r="AD308">
        <f>IF(AND(מלאי!D308&lt;&gt;"",OR('לוח בקרה'!$B$4="הכל",מלאי!Z308='לוח בקרה'!$B$4,מלאי!AA308='לוח בקרה'!$B$4,מלאי!AB308='לוח בקרה'!$B$4,מלאי!AC308='לוח בקרה'!$B$4),OR('לוח בקרה'!$B$5="הכל",מלאי!A308='לוח בקרה'!$B$5),OR('לוח בקרה'!$B$6="הכל",מלאי!B308='לוח בקרה'!$B$6),OR('לוח בקרה'!$B$7="הכל",מלאי!F308='לוח בקרה'!$B$7,מלאי!G308='לוח בקרה'!$B$7),OR('לוח בקרה'!$B$8="הכל",מלאי!T308='לוח בקרה'!$B$8),OR('לוח בקרה'!$B$9="הכל",מלאי!Q308='לוח בקרה'!$B$9),OR('לוח בקרה'!$E$4="הכל",מלאי!J308='לוח בקרה'!$E$4),OR('לוח בקרה'!$E$5="הכל",מלאי!L308='לוח בקרה'!$E$5),OR('לוח בקרה'!$E$6="הכל",מלאי!O308='לוח בקרה'!$E$6),OR('לוח בקרה'!$E$7="הכל",מלאי!R308='לוח בקרה'!$E$7),OR('לוח בקרה'!$E$8="הכל",'לוח בקרה'!$E$8="",מלאי!W308='לוח בקרה'!$E$8),OR('לוח בקרה'!$E$9="הכל",'לוח בקרה'!$E$9="",ISNUMBER(SEARCH('לוח בקרה'!$E$9,מלאי!C308)))),1,0)</f>
        <v>0</v>
      </c>
      <c r="AE308" t="e">
        <f>IF(AND(מלאי!D308&lt;&gt;"",OR('לוח בקרה טכנו-מבצעי'!$B$4="הכל",מלאי!Z308='לוח בקרה טכנו-מבצעי'!$B$4,מלאי!AA308='לוח בקרה טכנו-מבצעי'!$B$4,מלאי!AB308='לוח בקרה טכנו-מבצעי'!$B$4,מלאי!AC308='לוח בקרה טכנו-מבצעי'!$B$4),OR('לוח בקרה טכנו-מבצעי'!$B$5="הכל",מלאי!A308='לוח בקרה טכנו-מבצעי'!$B$5),OR('לוח בקרה טכנו-מבצעי'!$B$6="הכל",מלאי!B308='לוח בקרה טכנו-מבצעי'!$B$6),OR('לוח בקרה טכנו-מבצעי'!$B$7="הכל",מלאי!F308='לוח בקרה טכנו-מבצעי'!$B$7,מלאי!G308='לוח בקרה טכנו-מבצעי'!$B$7),OR('לוח בקרה טכנו-מבצעי'!$B$8="הכל",מלאי!T308='לוח בקרה טכנו-מבצעי'!$B$8),OR('לוח בקרה טכנו-מבצעי'!$B$9="הכל",מלאי!Q308='לוח בקרה טכנו-מבצעי'!$B$9),OR('לוח בקרה טכנו-מבצעי'!$E$4="הכל",מלאי!J308='לוח בקרה טכנו-מבצעי'!$E$4),OR('לוח בקרה טכנו-מבצעי'!$E$5="הכל",מלאי!L308='לוח בקרה טכנו-מבצעי'!$E$5),OR('לוח בקרה טכנו-מבצעי'!$E$6="הכל",מלאי!O308='לוח בקרה טכנו-מבצעי'!$E$6),OR('לוח בקרה טכנו-מבצעי'!$E$7="הכל",מלאי!R308='לוח בקרה טכנו-מבצעי'!$E$7),OR('לוח בקרה טכנו-מבצעי'!$E$8="הכל",'לוח בקרה טכנו-מבצעי'!$E$8="",מלאי!W308='לוח בקרה טכנו-מבצעי'!$E$8),OR('לוח בקרה טכנו-מבצעי'!$E$9="הכל",'לוח בקרה טכנו-מבצעי'!$E$9="",ISNUMBER(SEARCH('לוח בקרה טכנו-מבצעי'!$E$9,מלאי!C308))),OR('לוח בקרה טכנו-מבצעי'!$B$10="הכל",מלאי!#REF!='לוח בקרה טכנו-מבצעי'!$B$10)),1,0)</f>
        <v>#REF!</v>
      </c>
      <c r="AF308" t="str">
        <f>IF(AD308=1,COUNTIF($AD$3:$AD308,1),"")</f>
        <v/>
      </c>
      <c r="AG308" t="e">
        <f>IF(AE308=1,COUNTIF($AE$3:$AE308,1),"")</f>
        <v>#REF!</v>
      </c>
    </row>
    <row r="309" spans="1:33" ht="15" customHeight="1" x14ac:dyDescent="0.25">
      <c r="A309" s="19"/>
      <c r="B309" s="19"/>
      <c r="C309" s="19"/>
      <c r="D309" s="19"/>
      <c r="E309" s="19" t="str">
        <f>IFERROR(INDEX(הגדרות!$I$2:$I$47,MATCH(B309,הגדרות!$H$2:$H$47,0)),"")</f>
        <v/>
      </c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t="str">
        <f>IFERROR(INDEX(הגדרות!$B$2:$B$17,MATCH(H309,הגדרות!$A$2:$A$17,0)),"")</f>
        <v/>
      </c>
      <c r="AA309" t="str">
        <f>IFERROR(INDEX(הגדרות!$C$2:$C$17,MATCH(H309,הגדרות!$A$2:$A$17,0)),"")</f>
        <v/>
      </c>
      <c r="AB309" t="str">
        <f>IFERROR(INDEX(הגדרות!$B$2:$B$17,MATCH(I309,הגדרות!$A$2:$A$17,0)),"")</f>
        <v/>
      </c>
      <c r="AC309" t="str">
        <f>IFERROR(INDEX(הגדרות!$C$2:$C$17,MATCH(I309,הגדרות!$A$2:$A$17,0)),"")</f>
        <v/>
      </c>
      <c r="AD309">
        <f>IF(AND(מלאי!D309&lt;&gt;"",OR('לוח בקרה'!$B$4="הכל",מלאי!Z309='לוח בקרה'!$B$4,מלאי!AA309='לוח בקרה'!$B$4,מלאי!AB309='לוח בקרה'!$B$4,מלאי!AC309='לוח בקרה'!$B$4),OR('לוח בקרה'!$B$5="הכל",מלאי!A309='לוח בקרה'!$B$5),OR('לוח בקרה'!$B$6="הכל",מלאי!B309='לוח בקרה'!$B$6),OR('לוח בקרה'!$B$7="הכל",מלאי!F309='לוח בקרה'!$B$7,מלאי!G309='לוח בקרה'!$B$7),OR('לוח בקרה'!$B$8="הכל",מלאי!T309='לוח בקרה'!$B$8),OR('לוח בקרה'!$B$9="הכל",מלאי!Q309='לוח בקרה'!$B$9),OR('לוח בקרה'!$E$4="הכל",מלאי!J309='לוח בקרה'!$E$4),OR('לוח בקרה'!$E$5="הכל",מלאי!L309='לוח בקרה'!$E$5),OR('לוח בקרה'!$E$6="הכל",מלאי!O309='לוח בקרה'!$E$6),OR('לוח בקרה'!$E$7="הכל",מלאי!R309='לוח בקרה'!$E$7),OR('לוח בקרה'!$E$8="הכל",'לוח בקרה'!$E$8="",מלאי!W309='לוח בקרה'!$E$8),OR('לוח בקרה'!$E$9="הכל",'לוח בקרה'!$E$9="",ISNUMBER(SEARCH('לוח בקרה'!$E$9,מלאי!C309)))),1,0)</f>
        <v>0</v>
      </c>
      <c r="AE309" t="e">
        <f>IF(AND(מלאי!D309&lt;&gt;"",OR('לוח בקרה טכנו-מבצעי'!$B$4="הכל",מלאי!Z309='לוח בקרה טכנו-מבצעי'!$B$4,מלאי!AA309='לוח בקרה טכנו-מבצעי'!$B$4,מלאי!AB309='לוח בקרה טכנו-מבצעי'!$B$4,מלאי!AC309='לוח בקרה טכנו-מבצעי'!$B$4),OR('לוח בקרה טכנו-מבצעי'!$B$5="הכל",מלאי!A309='לוח בקרה טכנו-מבצעי'!$B$5),OR('לוח בקרה טכנו-מבצעי'!$B$6="הכל",מלאי!B309='לוח בקרה טכנו-מבצעי'!$B$6),OR('לוח בקרה טכנו-מבצעי'!$B$7="הכל",מלאי!F309='לוח בקרה טכנו-מבצעי'!$B$7,מלאי!G309='לוח בקרה טכנו-מבצעי'!$B$7),OR('לוח בקרה טכנו-מבצעי'!$B$8="הכל",מלאי!T309='לוח בקרה טכנו-מבצעי'!$B$8),OR('לוח בקרה טכנו-מבצעי'!$B$9="הכל",מלאי!Q309='לוח בקרה טכנו-מבצעי'!$B$9),OR('לוח בקרה טכנו-מבצעי'!$E$4="הכל",מלאי!J309='לוח בקרה טכנו-מבצעי'!$E$4),OR('לוח בקרה טכנו-מבצעי'!$E$5="הכל",מלאי!L309='לוח בקרה טכנו-מבצעי'!$E$5),OR('לוח בקרה טכנו-מבצעי'!$E$6="הכל",מלאי!O309='לוח בקרה טכנו-מבצעי'!$E$6),OR('לוח בקרה טכנו-מבצעי'!$E$7="הכל",מלאי!R309='לוח בקרה טכנו-מבצעי'!$E$7),OR('לוח בקרה טכנו-מבצעי'!$E$8="הכל",'לוח בקרה טכנו-מבצעי'!$E$8="",מלאי!W309='לוח בקרה טכנו-מבצעי'!$E$8),OR('לוח בקרה טכנו-מבצעי'!$E$9="הכל",'לוח בקרה טכנו-מבצעי'!$E$9="",ISNUMBER(SEARCH('לוח בקרה טכנו-מבצעי'!$E$9,מלאי!C309))),OR('לוח בקרה טכנו-מבצעי'!$B$10="הכל",מלאי!#REF!='לוח בקרה טכנו-מבצעי'!$B$10)),1,0)</f>
        <v>#REF!</v>
      </c>
      <c r="AF309" t="str">
        <f>IF(AD309=1,COUNTIF($AD$3:$AD309,1),"")</f>
        <v/>
      </c>
      <c r="AG309" t="e">
        <f>IF(AE309=1,COUNTIF($AE$3:$AE309,1),"")</f>
        <v>#REF!</v>
      </c>
    </row>
    <row r="310" spans="1:33" ht="15" customHeight="1" x14ac:dyDescent="0.25">
      <c r="A310" s="17"/>
      <c r="B310" s="17"/>
      <c r="C310" s="17"/>
      <c r="D310" s="17"/>
      <c r="E310" s="17" t="str">
        <f>IFERROR(INDEX(הגדרות!$I$2:$I$47,MATCH(B310,הגדרות!$H$2:$H$47,0)),"")</f>
        <v/>
      </c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t="str">
        <f>IFERROR(INDEX(הגדרות!$B$2:$B$17,MATCH(H310,הגדרות!$A$2:$A$17,0)),"")</f>
        <v/>
      </c>
      <c r="AA310" t="str">
        <f>IFERROR(INDEX(הגדרות!$C$2:$C$17,MATCH(H310,הגדרות!$A$2:$A$17,0)),"")</f>
        <v/>
      </c>
      <c r="AB310" t="str">
        <f>IFERROR(INDEX(הגדרות!$B$2:$B$17,MATCH(I310,הגדרות!$A$2:$A$17,0)),"")</f>
        <v/>
      </c>
      <c r="AC310" t="str">
        <f>IFERROR(INDEX(הגדרות!$C$2:$C$17,MATCH(I310,הגדרות!$A$2:$A$17,0)),"")</f>
        <v/>
      </c>
      <c r="AD310">
        <f>IF(AND(מלאי!D310&lt;&gt;"",OR('לוח בקרה'!$B$4="הכל",מלאי!Z310='לוח בקרה'!$B$4,מלאי!AA310='לוח בקרה'!$B$4,מלאי!AB310='לוח בקרה'!$B$4,מלאי!AC310='לוח בקרה'!$B$4),OR('לוח בקרה'!$B$5="הכל",מלאי!A310='לוח בקרה'!$B$5),OR('לוח בקרה'!$B$6="הכל",מלאי!B310='לוח בקרה'!$B$6),OR('לוח בקרה'!$B$7="הכל",מלאי!F310='לוח בקרה'!$B$7,מלאי!G310='לוח בקרה'!$B$7),OR('לוח בקרה'!$B$8="הכל",מלאי!T310='לוח בקרה'!$B$8),OR('לוח בקרה'!$B$9="הכל",מלאי!Q310='לוח בקרה'!$B$9),OR('לוח בקרה'!$E$4="הכל",מלאי!J310='לוח בקרה'!$E$4),OR('לוח בקרה'!$E$5="הכל",מלאי!L310='לוח בקרה'!$E$5),OR('לוח בקרה'!$E$6="הכל",מלאי!O310='לוח בקרה'!$E$6),OR('לוח בקרה'!$E$7="הכל",מלאי!R310='לוח בקרה'!$E$7),OR('לוח בקרה'!$E$8="הכל",'לוח בקרה'!$E$8="",מלאי!W310='לוח בקרה'!$E$8),OR('לוח בקרה'!$E$9="הכל",'לוח בקרה'!$E$9="",ISNUMBER(SEARCH('לוח בקרה'!$E$9,מלאי!C310)))),1,0)</f>
        <v>0</v>
      </c>
      <c r="AE310" t="e">
        <f>IF(AND(מלאי!D310&lt;&gt;"",OR('לוח בקרה טכנו-מבצעי'!$B$4="הכל",מלאי!Z310='לוח בקרה טכנו-מבצעי'!$B$4,מלאי!AA310='לוח בקרה טכנו-מבצעי'!$B$4,מלאי!AB310='לוח בקרה טכנו-מבצעי'!$B$4,מלאי!AC310='לוח בקרה טכנו-מבצעי'!$B$4),OR('לוח בקרה טכנו-מבצעי'!$B$5="הכל",מלאי!A310='לוח בקרה טכנו-מבצעי'!$B$5),OR('לוח בקרה טכנו-מבצעי'!$B$6="הכל",מלאי!B310='לוח בקרה טכנו-מבצעי'!$B$6),OR('לוח בקרה טכנו-מבצעי'!$B$7="הכל",מלאי!F310='לוח בקרה טכנו-מבצעי'!$B$7,מלאי!G310='לוח בקרה טכנו-מבצעי'!$B$7),OR('לוח בקרה טכנו-מבצעי'!$B$8="הכל",מלאי!T310='לוח בקרה טכנו-מבצעי'!$B$8),OR('לוח בקרה טכנו-מבצעי'!$B$9="הכל",מלאי!Q310='לוח בקרה טכנו-מבצעי'!$B$9),OR('לוח בקרה טכנו-מבצעי'!$E$4="הכל",מלאי!J310='לוח בקרה טכנו-מבצעי'!$E$4),OR('לוח בקרה טכנו-מבצעי'!$E$5="הכל",מלאי!L310='לוח בקרה טכנו-מבצעי'!$E$5),OR('לוח בקרה טכנו-מבצעי'!$E$6="הכל",מלאי!O310='לוח בקרה טכנו-מבצעי'!$E$6),OR('לוח בקרה טכנו-מבצעי'!$E$7="הכל",מלאי!R310='לוח בקרה טכנו-מבצעי'!$E$7),OR('לוח בקרה טכנו-מבצעי'!$E$8="הכל",'לוח בקרה טכנו-מבצעי'!$E$8="",מלאי!W310='לוח בקרה טכנו-מבצעי'!$E$8),OR('לוח בקרה טכנו-מבצעי'!$E$9="הכל",'לוח בקרה טכנו-מבצעי'!$E$9="",ISNUMBER(SEARCH('לוח בקרה טכנו-מבצעי'!$E$9,מלאי!C310))),OR('לוח בקרה טכנו-מבצעי'!$B$10="הכל",מלאי!#REF!='לוח בקרה טכנו-מבצעי'!$B$10)),1,0)</f>
        <v>#REF!</v>
      </c>
      <c r="AF310" t="str">
        <f>IF(AD310=1,COUNTIF($AD$3:$AD310,1),"")</f>
        <v/>
      </c>
      <c r="AG310" t="e">
        <f>IF(AE310=1,COUNTIF($AE$3:$AE310,1),"")</f>
        <v>#REF!</v>
      </c>
    </row>
    <row r="311" spans="1:33" ht="15" customHeight="1" x14ac:dyDescent="0.25">
      <c r="A311" s="19"/>
      <c r="B311" s="19"/>
      <c r="C311" s="19"/>
      <c r="D311" s="19"/>
      <c r="E311" s="19" t="str">
        <f>IFERROR(INDEX(הגדרות!$I$2:$I$47,MATCH(B311,הגדרות!$H$2:$H$47,0)),"")</f>
        <v/>
      </c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t="str">
        <f>IFERROR(INDEX(הגדרות!$B$2:$B$17,MATCH(H311,הגדרות!$A$2:$A$17,0)),"")</f>
        <v/>
      </c>
      <c r="AA311" t="str">
        <f>IFERROR(INDEX(הגדרות!$C$2:$C$17,MATCH(H311,הגדרות!$A$2:$A$17,0)),"")</f>
        <v/>
      </c>
      <c r="AB311" t="str">
        <f>IFERROR(INDEX(הגדרות!$B$2:$B$17,MATCH(I311,הגדרות!$A$2:$A$17,0)),"")</f>
        <v/>
      </c>
      <c r="AC311" t="str">
        <f>IFERROR(INDEX(הגדרות!$C$2:$C$17,MATCH(I311,הגדרות!$A$2:$A$17,0)),"")</f>
        <v/>
      </c>
      <c r="AD311">
        <f>IF(AND(מלאי!D311&lt;&gt;"",OR('לוח בקרה'!$B$4="הכל",מלאי!Z311='לוח בקרה'!$B$4,מלאי!AA311='לוח בקרה'!$B$4,מלאי!AB311='לוח בקרה'!$B$4,מלאי!AC311='לוח בקרה'!$B$4),OR('לוח בקרה'!$B$5="הכל",מלאי!A311='לוח בקרה'!$B$5),OR('לוח בקרה'!$B$6="הכל",מלאי!B311='לוח בקרה'!$B$6),OR('לוח בקרה'!$B$7="הכל",מלאי!F311='לוח בקרה'!$B$7,מלאי!G311='לוח בקרה'!$B$7),OR('לוח בקרה'!$B$8="הכל",מלאי!T311='לוח בקרה'!$B$8),OR('לוח בקרה'!$B$9="הכל",מלאי!Q311='לוח בקרה'!$B$9),OR('לוח בקרה'!$E$4="הכל",מלאי!J311='לוח בקרה'!$E$4),OR('לוח בקרה'!$E$5="הכל",מלאי!L311='לוח בקרה'!$E$5),OR('לוח בקרה'!$E$6="הכל",מלאי!O311='לוח בקרה'!$E$6),OR('לוח בקרה'!$E$7="הכל",מלאי!R311='לוח בקרה'!$E$7),OR('לוח בקרה'!$E$8="הכל",'לוח בקרה'!$E$8="",מלאי!W311='לוח בקרה'!$E$8),OR('לוח בקרה'!$E$9="הכל",'לוח בקרה'!$E$9="",ISNUMBER(SEARCH('לוח בקרה'!$E$9,מלאי!C311)))),1,0)</f>
        <v>0</v>
      </c>
      <c r="AE311" t="e">
        <f>IF(AND(מלאי!D311&lt;&gt;"",OR('לוח בקרה טכנו-מבצעי'!$B$4="הכל",מלאי!Z311='לוח בקרה טכנו-מבצעי'!$B$4,מלאי!AA311='לוח בקרה טכנו-מבצעי'!$B$4,מלאי!AB311='לוח בקרה טכנו-מבצעי'!$B$4,מלאי!AC311='לוח בקרה טכנו-מבצעי'!$B$4),OR('לוח בקרה טכנו-מבצעי'!$B$5="הכל",מלאי!A311='לוח בקרה טכנו-מבצעי'!$B$5),OR('לוח בקרה טכנו-מבצעי'!$B$6="הכל",מלאי!B311='לוח בקרה טכנו-מבצעי'!$B$6),OR('לוח בקרה טכנו-מבצעי'!$B$7="הכל",מלאי!F311='לוח בקרה טכנו-מבצעי'!$B$7,מלאי!G311='לוח בקרה טכנו-מבצעי'!$B$7),OR('לוח בקרה טכנו-מבצעי'!$B$8="הכל",מלאי!T311='לוח בקרה טכנו-מבצעי'!$B$8),OR('לוח בקרה טכנו-מבצעי'!$B$9="הכל",מלאי!Q311='לוח בקרה טכנו-מבצעי'!$B$9),OR('לוח בקרה טכנו-מבצעי'!$E$4="הכל",מלאי!J311='לוח בקרה טכנו-מבצעי'!$E$4),OR('לוח בקרה טכנו-מבצעי'!$E$5="הכל",מלאי!L311='לוח בקרה טכנו-מבצעי'!$E$5),OR('לוח בקרה טכנו-מבצעי'!$E$6="הכל",מלאי!O311='לוח בקרה טכנו-מבצעי'!$E$6),OR('לוח בקרה טכנו-מבצעי'!$E$7="הכל",מלאי!R311='לוח בקרה טכנו-מבצעי'!$E$7),OR('לוח בקרה טכנו-מבצעי'!$E$8="הכל",'לוח בקרה טכנו-מבצעי'!$E$8="",מלאי!W311='לוח בקרה טכנו-מבצעי'!$E$8),OR('לוח בקרה טכנו-מבצעי'!$E$9="הכל",'לוח בקרה טכנו-מבצעי'!$E$9="",ISNUMBER(SEARCH('לוח בקרה טכנו-מבצעי'!$E$9,מלאי!C311))),OR('לוח בקרה טכנו-מבצעי'!$B$10="הכל",מלאי!#REF!='לוח בקרה טכנו-מבצעי'!$B$10)),1,0)</f>
        <v>#REF!</v>
      </c>
      <c r="AF311" t="str">
        <f>IF(AD311=1,COUNTIF($AD$3:$AD311,1),"")</f>
        <v/>
      </c>
      <c r="AG311" t="e">
        <f>IF(AE311=1,COUNTIF($AE$3:$AE311,1),"")</f>
        <v>#REF!</v>
      </c>
    </row>
    <row r="312" spans="1:33" ht="15" customHeight="1" x14ac:dyDescent="0.25">
      <c r="A312" s="17"/>
      <c r="B312" s="17"/>
      <c r="C312" s="17"/>
      <c r="D312" s="17"/>
      <c r="E312" s="17" t="str">
        <f>IFERROR(INDEX(הגדרות!$I$2:$I$47,MATCH(B312,הגדרות!$H$2:$H$47,0)),"")</f>
        <v/>
      </c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t="str">
        <f>IFERROR(INDEX(הגדרות!$B$2:$B$17,MATCH(H312,הגדרות!$A$2:$A$17,0)),"")</f>
        <v/>
      </c>
      <c r="AA312" t="str">
        <f>IFERROR(INDEX(הגדרות!$C$2:$C$17,MATCH(H312,הגדרות!$A$2:$A$17,0)),"")</f>
        <v/>
      </c>
      <c r="AB312" t="str">
        <f>IFERROR(INDEX(הגדרות!$B$2:$B$17,MATCH(I312,הגדרות!$A$2:$A$17,0)),"")</f>
        <v/>
      </c>
      <c r="AC312" t="str">
        <f>IFERROR(INDEX(הגדרות!$C$2:$C$17,MATCH(I312,הגדרות!$A$2:$A$17,0)),"")</f>
        <v/>
      </c>
      <c r="AD312">
        <f>IF(AND(מלאי!D312&lt;&gt;"",OR('לוח בקרה'!$B$4="הכל",מלאי!Z312='לוח בקרה'!$B$4,מלאי!AA312='לוח בקרה'!$B$4,מלאי!AB312='לוח בקרה'!$B$4,מלאי!AC312='לוח בקרה'!$B$4),OR('לוח בקרה'!$B$5="הכל",מלאי!A312='לוח בקרה'!$B$5),OR('לוח בקרה'!$B$6="הכל",מלאי!B312='לוח בקרה'!$B$6),OR('לוח בקרה'!$B$7="הכל",מלאי!F312='לוח בקרה'!$B$7,מלאי!G312='לוח בקרה'!$B$7),OR('לוח בקרה'!$B$8="הכל",מלאי!T312='לוח בקרה'!$B$8),OR('לוח בקרה'!$B$9="הכל",מלאי!Q312='לוח בקרה'!$B$9),OR('לוח בקרה'!$E$4="הכל",מלאי!J312='לוח בקרה'!$E$4),OR('לוח בקרה'!$E$5="הכל",מלאי!L312='לוח בקרה'!$E$5),OR('לוח בקרה'!$E$6="הכל",מלאי!O312='לוח בקרה'!$E$6),OR('לוח בקרה'!$E$7="הכל",מלאי!R312='לוח בקרה'!$E$7),OR('לוח בקרה'!$E$8="הכל",'לוח בקרה'!$E$8="",מלאי!W312='לוח בקרה'!$E$8),OR('לוח בקרה'!$E$9="הכל",'לוח בקרה'!$E$9="",ISNUMBER(SEARCH('לוח בקרה'!$E$9,מלאי!C312)))),1,0)</f>
        <v>0</v>
      </c>
      <c r="AE312" t="e">
        <f>IF(AND(מלאי!D312&lt;&gt;"",OR('לוח בקרה טכנו-מבצעי'!$B$4="הכל",מלאי!Z312='לוח בקרה טכנו-מבצעי'!$B$4,מלאי!AA312='לוח בקרה טכנו-מבצעי'!$B$4,מלאי!AB312='לוח בקרה טכנו-מבצעי'!$B$4,מלאי!AC312='לוח בקרה טכנו-מבצעי'!$B$4),OR('לוח בקרה טכנו-מבצעי'!$B$5="הכל",מלאי!A312='לוח בקרה טכנו-מבצעי'!$B$5),OR('לוח בקרה טכנו-מבצעי'!$B$6="הכל",מלאי!B312='לוח בקרה טכנו-מבצעי'!$B$6),OR('לוח בקרה טכנו-מבצעי'!$B$7="הכל",מלאי!F312='לוח בקרה טכנו-מבצעי'!$B$7,מלאי!G312='לוח בקרה טכנו-מבצעי'!$B$7),OR('לוח בקרה טכנו-מבצעי'!$B$8="הכל",מלאי!T312='לוח בקרה טכנו-מבצעי'!$B$8),OR('לוח בקרה טכנו-מבצעי'!$B$9="הכל",מלאי!Q312='לוח בקרה טכנו-מבצעי'!$B$9),OR('לוח בקרה טכנו-מבצעי'!$E$4="הכל",מלאי!J312='לוח בקרה טכנו-מבצעי'!$E$4),OR('לוח בקרה טכנו-מבצעי'!$E$5="הכל",מלאי!L312='לוח בקרה טכנו-מבצעי'!$E$5),OR('לוח בקרה טכנו-מבצעי'!$E$6="הכל",מלאי!O312='לוח בקרה טכנו-מבצעי'!$E$6),OR('לוח בקרה טכנו-מבצעי'!$E$7="הכל",מלאי!R312='לוח בקרה טכנו-מבצעי'!$E$7),OR('לוח בקרה טכנו-מבצעי'!$E$8="הכל",'לוח בקרה טכנו-מבצעי'!$E$8="",מלאי!W312='לוח בקרה טכנו-מבצעי'!$E$8),OR('לוח בקרה טכנו-מבצעי'!$E$9="הכל",'לוח בקרה טכנו-מבצעי'!$E$9="",ISNUMBER(SEARCH('לוח בקרה טכנו-מבצעי'!$E$9,מלאי!C312))),OR('לוח בקרה טכנו-מבצעי'!$B$10="הכל",מלאי!#REF!='לוח בקרה טכנו-מבצעי'!$B$10)),1,0)</f>
        <v>#REF!</v>
      </c>
      <c r="AF312" t="str">
        <f>IF(AD312=1,COUNTIF($AD$3:$AD312,1),"")</f>
        <v/>
      </c>
      <c r="AG312" t="e">
        <f>IF(AE312=1,COUNTIF($AE$3:$AE312,1),"")</f>
        <v>#REF!</v>
      </c>
    </row>
    <row r="313" spans="1:33" ht="15" customHeight="1" x14ac:dyDescent="0.25">
      <c r="A313" s="19"/>
      <c r="B313" s="19"/>
      <c r="C313" s="19"/>
      <c r="D313" s="19"/>
      <c r="E313" s="19" t="str">
        <f>IFERROR(INDEX(הגדרות!$I$2:$I$47,MATCH(B313,הגדרות!$H$2:$H$47,0)),"")</f>
        <v/>
      </c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t="str">
        <f>IFERROR(INDEX(הגדרות!$B$2:$B$17,MATCH(H313,הגדרות!$A$2:$A$17,0)),"")</f>
        <v/>
      </c>
      <c r="AA313" t="str">
        <f>IFERROR(INDEX(הגדרות!$C$2:$C$17,MATCH(H313,הגדרות!$A$2:$A$17,0)),"")</f>
        <v/>
      </c>
      <c r="AB313" t="str">
        <f>IFERROR(INDEX(הגדרות!$B$2:$B$17,MATCH(I313,הגדרות!$A$2:$A$17,0)),"")</f>
        <v/>
      </c>
      <c r="AC313" t="str">
        <f>IFERROR(INDEX(הגדרות!$C$2:$C$17,MATCH(I313,הגדרות!$A$2:$A$17,0)),"")</f>
        <v/>
      </c>
      <c r="AD313">
        <f>IF(AND(מלאי!D313&lt;&gt;"",OR('לוח בקרה'!$B$4="הכל",מלאי!Z313='לוח בקרה'!$B$4,מלאי!AA313='לוח בקרה'!$B$4,מלאי!AB313='לוח בקרה'!$B$4,מלאי!AC313='לוח בקרה'!$B$4),OR('לוח בקרה'!$B$5="הכל",מלאי!A313='לוח בקרה'!$B$5),OR('לוח בקרה'!$B$6="הכל",מלאי!B313='לוח בקרה'!$B$6),OR('לוח בקרה'!$B$7="הכל",מלאי!F313='לוח בקרה'!$B$7,מלאי!G313='לוח בקרה'!$B$7),OR('לוח בקרה'!$B$8="הכל",מלאי!T313='לוח בקרה'!$B$8),OR('לוח בקרה'!$B$9="הכל",מלאי!Q313='לוח בקרה'!$B$9),OR('לוח בקרה'!$E$4="הכל",מלאי!J313='לוח בקרה'!$E$4),OR('לוח בקרה'!$E$5="הכל",מלאי!L313='לוח בקרה'!$E$5),OR('לוח בקרה'!$E$6="הכל",מלאי!O313='לוח בקרה'!$E$6),OR('לוח בקרה'!$E$7="הכל",מלאי!R313='לוח בקרה'!$E$7),OR('לוח בקרה'!$E$8="הכל",'לוח בקרה'!$E$8="",מלאי!W313='לוח בקרה'!$E$8),OR('לוח בקרה'!$E$9="הכל",'לוח בקרה'!$E$9="",ISNUMBER(SEARCH('לוח בקרה'!$E$9,מלאי!C313)))),1,0)</f>
        <v>0</v>
      </c>
      <c r="AE313" t="e">
        <f>IF(AND(מלאי!D313&lt;&gt;"",OR('לוח בקרה טכנו-מבצעי'!$B$4="הכל",מלאי!Z313='לוח בקרה טכנו-מבצעי'!$B$4,מלאי!AA313='לוח בקרה טכנו-מבצעי'!$B$4,מלאי!AB313='לוח בקרה טכנו-מבצעי'!$B$4,מלאי!AC313='לוח בקרה טכנו-מבצעי'!$B$4),OR('לוח בקרה טכנו-מבצעי'!$B$5="הכל",מלאי!A313='לוח בקרה טכנו-מבצעי'!$B$5),OR('לוח בקרה טכנו-מבצעי'!$B$6="הכל",מלאי!B313='לוח בקרה טכנו-מבצעי'!$B$6),OR('לוח בקרה טכנו-מבצעי'!$B$7="הכל",מלאי!F313='לוח בקרה טכנו-מבצעי'!$B$7,מלאי!G313='לוח בקרה טכנו-מבצעי'!$B$7),OR('לוח בקרה טכנו-מבצעי'!$B$8="הכל",מלאי!T313='לוח בקרה טכנו-מבצעי'!$B$8),OR('לוח בקרה טכנו-מבצעי'!$B$9="הכל",מלאי!Q313='לוח בקרה טכנו-מבצעי'!$B$9),OR('לוח בקרה טכנו-מבצעי'!$E$4="הכל",מלאי!J313='לוח בקרה טכנו-מבצעי'!$E$4),OR('לוח בקרה טכנו-מבצעי'!$E$5="הכל",מלאי!L313='לוח בקרה טכנו-מבצעי'!$E$5),OR('לוח בקרה טכנו-מבצעי'!$E$6="הכל",מלאי!O313='לוח בקרה טכנו-מבצעי'!$E$6),OR('לוח בקרה טכנו-מבצעי'!$E$7="הכל",מלאי!R313='לוח בקרה טכנו-מבצעי'!$E$7),OR('לוח בקרה טכנו-מבצעי'!$E$8="הכל",'לוח בקרה טכנו-מבצעי'!$E$8="",מלאי!W313='לוח בקרה טכנו-מבצעי'!$E$8),OR('לוח בקרה טכנו-מבצעי'!$E$9="הכל",'לוח בקרה טכנו-מבצעי'!$E$9="",ISNUMBER(SEARCH('לוח בקרה טכנו-מבצעי'!$E$9,מלאי!C313))),OR('לוח בקרה טכנו-מבצעי'!$B$10="הכל",מלאי!#REF!='לוח בקרה טכנו-מבצעי'!$B$10)),1,0)</f>
        <v>#REF!</v>
      </c>
      <c r="AF313" t="str">
        <f>IF(AD313=1,COUNTIF($AD$3:$AD313,1),"")</f>
        <v/>
      </c>
      <c r="AG313" t="e">
        <f>IF(AE313=1,COUNTIF($AE$3:$AE313,1),"")</f>
        <v>#REF!</v>
      </c>
    </row>
    <row r="314" spans="1:33" ht="15" customHeight="1" x14ac:dyDescent="0.25">
      <c r="A314" s="17"/>
      <c r="B314" s="17"/>
      <c r="C314" s="17"/>
      <c r="D314" s="17"/>
      <c r="E314" s="17" t="str">
        <f>IFERROR(INDEX(הגדרות!$I$2:$I$47,MATCH(B314,הגדרות!$H$2:$H$47,0)),"")</f>
        <v/>
      </c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t="str">
        <f>IFERROR(INDEX(הגדרות!$B$2:$B$17,MATCH(H314,הגדרות!$A$2:$A$17,0)),"")</f>
        <v/>
      </c>
      <c r="AA314" t="str">
        <f>IFERROR(INDEX(הגדרות!$C$2:$C$17,MATCH(H314,הגדרות!$A$2:$A$17,0)),"")</f>
        <v/>
      </c>
      <c r="AB314" t="str">
        <f>IFERROR(INDEX(הגדרות!$B$2:$B$17,MATCH(I314,הגדרות!$A$2:$A$17,0)),"")</f>
        <v/>
      </c>
      <c r="AC314" t="str">
        <f>IFERROR(INDEX(הגדרות!$C$2:$C$17,MATCH(I314,הגדרות!$A$2:$A$17,0)),"")</f>
        <v/>
      </c>
      <c r="AD314">
        <f>IF(AND(מלאי!D314&lt;&gt;"",OR('לוח בקרה'!$B$4="הכל",מלאי!Z314='לוח בקרה'!$B$4,מלאי!AA314='לוח בקרה'!$B$4,מלאי!AB314='לוח בקרה'!$B$4,מלאי!AC314='לוח בקרה'!$B$4),OR('לוח בקרה'!$B$5="הכל",מלאי!A314='לוח בקרה'!$B$5),OR('לוח בקרה'!$B$6="הכל",מלאי!B314='לוח בקרה'!$B$6),OR('לוח בקרה'!$B$7="הכל",מלאי!F314='לוח בקרה'!$B$7,מלאי!G314='לוח בקרה'!$B$7),OR('לוח בקרה'!$B$8="הכל",מלאי!T314='לוח בקרה'!$B$8),OR('לוח בקרה'!$B$9="הכל",מלאי!Q314='לוח בקרה'!$B$9),OR('לוח בקרה'!$E$4="הכל",מלאי!J314='לוח בקרה'!$E$4),OR('לוח בקרה'!$E$5="הכל",מלאי!L314='לוח בקרה'!$E$5),OR('לוח בקרה'!$E$6="הכל",מלאי!O314='לוח בקרה'!$E$6),OR('לוח בקרה'!$E$7="הכל",מלאי!R314='לוח בקרה'!$E$7),OR('לוח בקרה'!$E$8="הכל",'לוח בקרה'!$E$8="",מלאי!W314='לוח בקרה'!$E$8),OR('לוח בקרה'!$E$9="הכל",'לוח בקרה'!$E$9="",ISNUMBER(SEARCH('לוח בקרה'!$E$9,מלאי!C314)))),1,0)</f>
        <v>0</v>
      </c>
      <c r="AE314" t="e">
        <f>IF(AND(מלאי!D314&lt;&gt;"",OR('לוח בקרה טכנו-מבצעי'!$B$4="הכל",מלאי!Z314='לוח בקרה טכנו-מבצעי'!$B$4,מלאי!AA314='לוח בקרה טכנו-מבצעי'!$B$4,מלאי!AB314='לוח בקרה טכנו-מבצעי'!$B$4,מלאי!AC314='לוח בקרה טכנו-מבצעי'!$B$4),OR('לוח בקרה טכנו-מבצעי'!$B$5="הכל",מלאי!A314='לוח בקרה טכנו-מבצעי'!$B$5),OR('לוח בקרה טכנו-מבצעי'!$B$6="הכל",מלאי!B314='לוח בקרה טכנו-מבצעי'!$B$6),OR('לוח בקרה טכנו-מבצעי'!$B$7="הכל",מלאי!F314='לוח בקרה טכנו-מבצעי'!$B$7,מלאי!G314='לוח בקרה טכנו-מבצעי'!$B$7),OR('לוח בקרה טכנו-מבצעי'!$B$8="הכל",מלאי!T314='לוח בקרה טכנו-מבצעי'!$B$8),OR('לוח בקרה טכנו-מבצעי'!$B$9="הכל",מלאי!Q314='לוח בקרה טכנו-מבצעי'!$B$9),OR('לוח בקרה טכנו-מבצעי'!$E$4="הכל",מלאי!J314='לוח בקרה טכנו-מבצעי'!$E$4),OR('לוח בקרה טכנו-מבצעי'!$E$5="הכל",מלאי!L314='לוח בקרה טכנו-מבצעי'!$E$5),OR('לוח בקרה טכנו-מבצעי'!$E$6="הכל",מלאי!O314='לוח בקרה טכנו-מבצעי'!$E$6),OR('לוח בקרה טכנו-מבצעי'!$E$7="הכל",מלאי!R314='לוח בקרה טכנו-מבצעי'!$E$7),OR('לוח בקרה טכנו-מבצעי'!$E$8="הכל",'לוח בקרה טכנו-מבצעי'!$E$8="",מלאי!W314='לוח בקרה טכנו-מבצעי'!$E$8),OR('לוח בקרה טכנו-מבצעי'!$E$9="הכל",'לוח בקרה טכנו-מבצעי'!$E$9="",ISNUMBER(SEARCH('לוח בקרה טכנו-מבצעי'!$E$9,מלאי!C314))),OR('לוח בקרה טכנו-מבצעי'!$B$10="הכל",מלאי!#REF!='לוח בקרה טכנו-מבצעי'!$B$10)),1,0)</f>
        <v>#REF!</v>
      </c>
      <c r="AF314" t="str">
        <f>IF(AD314=1,COUNTIF($AD$3:$AD314,1),"")</f>
        <v/>
      </c>
      <c r="AG314" t="e">
        <f>IF(AE314=1,COUNTIF($AE$3:$AE314,1),"")</f>
        <v>#REF!</v>
      </c>
    </row>
    <row r="315" spans="1:33" ht="15" customHeight="1" x14ac:dyDescent="0.25">
      <c r="A315" s="19"/>
      <c r="B315" s="19"/>
      <c r="C315" s="19"/>
      <c r="D315" s="19"/>
      <c r="E315" s="19" t="str">
        <f>IFERROR(INDEX(הגדרות!$I$2:$I$47,MATCH(B315,הגדרות!$H$2:$H$47,0)),"")</f>
        <v/>
      </c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t="str">
        <f>IFERROR(INDEX(הגדרות!$B$2:$B$17,MATCH(H315,הגדרות!$A$2:$A$17,0)),"")</f>
        <v/>
      </c>
      <c r="AA315" t="str">
        <f>IFERROR(INDEX(הגדרות!$C$2:$C$17,MATCH(H315,הגדרות!$A$2:$A$17,0)),"")</f>
        <v/>
      </c>
      <c r="AB315" t="str">
        <f>IFERROR(INDEX(הגדרות!$B$2:$B$17,MATCH(I315,הגדרות!$A$2:$A$17,0)),"")</f>
        <v/>
      </c>
      <c r="AC315" t="str">
        <f>IFERROR(INDEX(הגדרות!$C$2:$C$17,MATCH(I315,הגדרות!$A$2:$A$17,0)),"")</f>
        <v/>
      </c>
      <c r="AD315">
        <f>IF(AND(מלאי!D315&lt;&gt;"",OR('לוח בקרה'!$B$4="הכל",מלאי!Z315='לוח בקרה'!$B$4,מלאי!AA315='לוח בקרה'!$B$4,מלאי!AB315='לוח בקרה'!$B$4,מלאי!AC315='לוח בקרה'!$B$4),OR('לוח בקרה'!$B$5="הכל",מלאי!A315='לוח בקרה'!$B$5),OR('לוח בקרה'!$B$6="הכל",מלאי!B315='לוח בקרה'!$B$6),OR('לוח בקרה'!$B$7="הכל",מלאי!F315='לוח בקרה'!$B$7,מלאי!G315='לוח בקרה'!$B$7),OR('לוח בקרה'!$B$8="הכל",מלאי!T315='לוח בקרה'!$B$8),OR('לוח בקרה'!$B$9="הכל",מלאי!Q315='לוח בקרה'!$B$9),OR('לוח בקרה'!$E$4="הכל",מלאי!J315='לוח בקרה'!$E$4),OR('לוח בקרה'!$E$5="הכל",מלאי!L315='לוח בקרה'!$E$5),OR('לוח בקרה'!$E$6="הכל",מלאי!O315='לוח בקרה'!$E$6),OR('לוח בקרה'!$E$7="הכל",מלאי!R315='לוח בקרה'!$E$7),OR('לוח בקרה'!$E$8="הכל",'לוח בקרה'!$E$8="",מלאי!W315='לוח בקרה'!$E$8),OR('לוח בקרה'!$E$9="הכל",'לוח בקרה'!$E$9="",ISNUMBER(SEARCH('לוח בקרה'!$E$9,מלאי!C315)))),1,0)</f>
        <v>0</v>
      </c>
      <c r="AE315" t="e">
        <f>IF(AND(מלאי!D315&lt;&gt;"",OR('לוח בקרה טכנו-מבצעי'!$B$4="הכל",מלאי!Z315='לוח בקרה טכנו-מבצעי'!$B$4,מלאי!AA315='לוח בקרה טכנו-מבצעי'!$B$4,מלאי!AB315='לוח בקרה טכנו-מבצעי'!$B$4,מלאי!AC315='לוח בקרה טכנו-מבצעי'!$B$4),OR('לוח בקרה טכנו-מבצעי'!$B$5="הכל",מלאי!A315='לוח בקרה טכנו-מבצעי'!$B$5),OR('לוח בקרה טכנו-מבצעי'!$B$6="הכל",מלאי!B315='לוח בקרה טכנו-מבצעי'!$B$6),OR('לוח בקרה טכנו-מבצעי'!$B$7="הכל",מלאי!F315='לוח בקרה טכנו-מבצעי'!$B$7,מלאי!G315='לוח בקרה טכנו-מבצעי'!$B$7),OR('לוח בקרה טכנו-מבצעי'!$B$8="הכל",מלאי!T315='לוח בקרה טכנו-מבצעי'!$B$8),OR('לוח בקרה טכנו-מבצעי'!$B$9="הכל",מלאי!Q315='לוח בקרה טכנו-מבצעי'!$B$9),OR('לוח בקרה טכנו-מבצעי'!$E$4="הכל",מלאי!J315='לוח בקרה טכנו-מבצעי'!$E$4),OR('לוח בקרה טכנו-מבצעי'!$E$5="הכל",מלאי!L315='לוח בקרה טכנו-מבצעי'!$E$5),OR('לוח בקרה טכנו-מבצעי'!$E$6="הכל",מלאי!O315='לוח בקרה טכנו-מבצעי'!$E$6),OR('לוח בקרה טכנו-מבצעי'!$E$7="הכל",מלאי!R315='לוח בקרה טכנו-מבצעי'!$E$7),OR('לוח בקרה טכנו-מבצעי'!$E$8="הכל",'לוח בקרה טכנו-מבצעי'!$E$8="",מלאי!W315='לוח בקרה טכנו-מבצעי'!$E$8),OR('לוח בקרה טכנו-מבצעי'!$E$9="הכל",'לוח בקרה טכנו-מבצעי'!$E$9="",ISNUMBER(SEARCH('לוח בקרה טכנו-מבצעי'!$E$9,מלאי!C315))),OR('לוח בקרה טכנו-מבצעי'!$B$10="הכל",מלאי!#REF!='לוח בקרה טכנו-מבצעי'!$B$10)),1,0)</f>
        <v>#REF!</v>
      </c>
      <c r="AF315" t="str">
        <f>IF(AD315=1,COUNTIF($AD$3:$AD315,1),"")</f>
        <v/>
      </c>
      <c r="AG315" t="e">
        <f>IF(AE315=1,COUNTIF($AE$3:$AE315,1),"")</f>
        <v>#REF!</v>
      </c>
    </row>
    <row r="316" spans="1:33" ht="15" customHeight="1" x14ac:dyDescent="0.25">
      <c r="A316" s="17"/>
      <c r="B316" s="17"/>
      <c r="C316" s="17"/>
      <c r="D316" s="17"/>
      <c r="E316" s="17" t="str">
        <f>IFERROR(INDEX(הגדרות!$I$2:$I$47,MATCH(B316,הגדרות!$H$2:$H$47,0)),"")</f>
        <v/>
      </c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t="str">
        <f>IFERROR(INDEX(הגדרות!$B$2:$B$17,MATCH(H316,הגדרות!$A$2:$A$17,0)),"")</f>
        <v/>
      </c>
      <c r="AA316" t="str">
        <f>IFERROR(INDEX(הגדרות!$C$2:$C$17,MATCH(H316,הגדרות!$A$2:$A$17,0)),"")</f>
        <v/>
      </c>
      <c r="AB316" t="str">
        <f>IFERROR(INDEX(הגדרות!$B$2:$B$17,MATCH(I316,הגדרות!$A$2:$A$17,0)),"")</f>
        <v/>
      </c>
      <c r="AC316" t="str">
        <f>IFERROR(INDEX(הגדרות!$C$2:$C$17,MATCH(I316,הגדרות!$A$2:$A$17,0)),"")</f>
        <v/>
      </c>
      <c r="AD316">
        <f>IF(AND(מלאי!D316&lt;&gt;"",OR('לוח בקרה'!$B$4="הכל",מלאי!Z316='לוח בקרה'!$B$4,מלאי!AA316='לוח בקרה'!$B$4,מלאי!AB316='לוח בקרה'!$B$4,מלאי!AC316='לוח בקרה'!$B$4),OR('לוח בקרה'!$B$5="הכל",מלאי!A316='לוח בקרה'!$B$5),OR('לוח בקרה'!$B$6="הכל",מלאי!B316='לוח בקרה'!$B$6),OR('לוח בקרה'!$B$7="הכל",מלאי!F316='לוח בקרה'!$B$7,מלאי!G316='לוח בקרה'!$B$7),OR('לוח בקרה'!$B$8="הכל",מלאי!T316='לוח בקרה'!$B$8),OR('לוח בקרה'!$B$9="הכל",מלאי!Q316='לוח בקרה'!$B$9),OR('לוח בקרה'!$E$4="הכל",מלאי!J316='לוח בקרה'!$E$4),OR('לוח בקרה'!$E$5="הכל",מלאי!L316='לוח בקרה'!$E$5),OR('לוח בקרה'!$E$6="הכל",מלאי!O316='לוח בקרה'!$E$6),OR('לוח בקרה'!$E$7="הכל",מלאי!R316='לוח בקרה'!$E$7),OR('לוח בקרה'!$E$8="הכל",'לוח בקרה'!$E$8="",מלאי!W316='לוח בקרה'!$E$8),OR('לוח בקרה'!$E$9="הכל",'לוח בקרה'!$E$9="",ISNUMBER(SEARCH('לוח בקרה'!$E$9,מלאי!C316)))),1,0)</f>
        <v>0</v>
      </c>
      <c r="AE316" t="e">
        <f>IF(AND(מלאי!D316&lt;&gt;"",OR('לוח בקרה טכנו-מבצעי'!$B$4="הכל",מלאי!Z316='לוח בקרה טכנו-מבצעי'!$B$4,מלאי!AA316='לוח בקרה טכנו-מבצעי'!$B$4,מלאי!AB316='לוח בקרה טכנו-מבצעי'!$B$4,מלאי!AC316='לוח בקרה טכנו-מבצעי'!$B$4),OR('לוח בקרה טכנו-מבצעי'!$B$5="הכל",מלאי!A316='לוח בקרה טכנו-מבצעי'!$B$5),OR('לוח בקרה טכנו-מבצעי'!$B$6="הכל",מלאי!B316='לוח בקרה טכנו-מבצעי'!$B$6),OR('לוח בקרה טכנו-מבצעי'!$B$7="הכל",מלאי!F316='לוח בקרה טכנו-מבצעי'!$B$7,מלאי!G316='לוח בקרה טכנו-מבצעי'!$B$7),OR('לוח בקרה טכנו-מבצעי'!$B$8="הכל",מלאי!T316='לוח בקרה טכנו-מבצעי'!$B$8),OR('לוח בקרה טכנו-מבצעי'!$B$9="הכל",מלאי!Q316='לוח בקרה טכנו-מבצעי'!$B$9),OR('לוח בקרה טכנו-מבצעי'!$E$4="הכל",מלאי!J316='לוח בקרה טכנו-מבצעי'!$E$4),OR('לוח בקרה טכנו-מבצעי'!$E$5="הכל",מלאי!L316='לוח בקרה טכנו-מבצעי'!$E$5),OR('לוח בקרה טכנו-מבצעי'!$E$6="הכל",מלאי!O316='לוח בקרה טכנו-מבצעי'!$E$6),OR('לוח בקרה טכנו-מבצעי'!$E$7="הכל",מלאי!R316='לוח בקרה טכנו-מבצעי'!$E$7),OR('לוח בקרה טכנו-מבצעי'!$E$8="הכל",'לוח בקרה טכנו-מבצעי'!$E$8="",מלאי!W316='לוח בקרה טכנו-מבצעי'!$E$8),OR('לוח בקרה טכנו-מבצעי'!$E$9="הכל",'לוח בקרה טכנו-מבצעי'!$E$9="",ISNUMBER(SEARCH('לוח בקרה טכנו-מבצעי'!$E$9,מלאי!C316))),OR('לוח בקרה טכנו-מבצעי'!$B$10="הכל",מלאי!#REF!='לוח בקרה טכנו-מבצעי'!$B$10)),1,0)</f>
        <v>#REF!</v>
      </c>
      <c r="AF316" t="str">
        <f>IF(AD316=1,COUNTIF($AD$3:$AD316,1),"")</f>
        <v/>
      </c>
      <c r="AG316" t="e">
        <f>IF(AE316=1,COUNTIF($AE$3:$AE316,1),"")</f>
        <v>#REF!</v>
      </c>
    </row>
    <row r="317" spans="1:33" ht="15" customHeight="1" x14ac:dyDescent="0.25">
      <c r="A317" s="19"/>
      <c r="B317" s="19"/>
      <c r="C317" s="19"/>
      <c r="D317" s="19"/>
      <c r="E317" s="19" t="str">
        <f>IFERROR(INDEX(הגדרות!$I$2:$I$47,MATCH(B317,הגדרות!$H$2:$H$47,0)),"")</f>
        <v/>
      </c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t="str">
        <f>IFERROR(INDEX(הגדרות!$B$2:$B$17,MATCH(H317,הגדרות!$A$2:$A$17,0)),"")</f>
        <v/>
      </c>
      <c r="AA317" t="str">
        <f>IFERROR(INDEX(הגדרות!$C$2:$C$17,MATCH(H317,הגדרות!$A$2:$A$17,0)),"")</f>
        <v/>
      </c>
      <c r="AB317" t="str">
        <f>IFERROR(INDEX(הגדרות!$B$2:$B$17,MATCH(I317,הגדרות!$A$2:$A$17,0)),"")</f>
        <v/>
      </c>
      <c r="AC317" t="str">
        <f>IFERROR(INDEX(הגדרות!$C$2:$C$17,MATCH(I317,הגדרות!$A$2:$A$17,0)),"")</f>
        <v/>
      </c>
      <c r="AD317">
        <f>IF(AND(מלאי!D317&lt;&gt;"",OR('לוח בקרה'!$B$4="הכל",מלאי!Z317='לוח בקרה'!$B$4,מלאי!AA317='לוח בקרה'!$B$4,מלאי!AB317='לוח בקרה'!$B$4,מלאי!AC317='לוח בקרה'!$B$4),OR('לוח בקרה'!$B$5="הכל",מלאי!A317='לוח בקרה'!$B$5),OR('לוח בקרה'!$B$6="הכל",מלאי!B317='לוח בקרה'!$B$6),OR('לוח בקרה'!$B$7="הכל",מלאי!F317='לוח בקרה'!$B$7,מלאי!G317='לוח בקרה'!$B$7),OR('לוח בקרה'!$B$8="הכל",מלאי!T317='לוח בקרה'!$B$8),OR('לוח בקרה'!$B$9="הכל",מלאי!Q317='לוח בקרה'!$B$9),OR('לוח בקרה'!$E$4="הכל",מלאי!J317='לוח בקרה'!$E$4),OR('לוח בקרה'!$E$5="הכל",מלאי!L317='לוח בקרה'!$E$5),OR('לוח בקרה'!$E$6="הכל",מלאי!O317='לוח בקרה'!$E$6),OR('לוח בקרה'!$E$7="הכל",מלאי!R317='לוח בקרה'!$E$7),OR('לוח בקרה'!$E$8="הכל",'לוח בקרה'!$E$8="",מלאי!W317='לוח בקרה'!$E$8),OR('לוח בקרה'!$E$9="הכל",'לוח בקרה'!$E$9="",ISNUMBER(SEARCH('לוח בקרה'!$E$9,מלאי!C317)))),1,0)</f>
        <v>0</v>
      </c>
      <c r="AE317" t="e">
        <f>IF(AND(מלאי!D317&lt;&gt;"",OR('לוח בקרה טכנו-מבצעי'!$B$4="הכל",מלאי!Z317='לוח בקרה טכנו-מבצעי'!$B$4,מלאי!AA317='לוח בקרה טכנו-מבצעי'!$B$4,מלאי!AB317='לוח בקרה טכנו-מבצעי'!$B$4,מלאי!AC317='לוח בקרה טכנו-מבצעי'!$B$4),OR('לוח בקרה טכנו-מבצעי'!$B$5="הכל",מלאי!A317='לוח בקרה טכנו-מבצעי'!$B$5),OR('לוח בקרה טכנו-מבצעי'!$B$6="הכל",מלאי!B317='לוח בקרה טכנו-מבצעי'!$B$6),OR('לוח בקרה טכנו-מבצעי'!$B$7="הכל",מלאי!F317='לוח בקרה טכנו-מבצעי'!$B$7,מלאי!G317='לוח בקרה טכנו-מבצעי'!$B$7),OR('לוח בקרה טכנו-מבצעי'!$B$8="הכל",מלאי!T317='לוח בקרה טכנו-מבצעי'!$B$8),OR('לוח בקרה טכנו-מבצעי'!$B$9="הכל",מלאי!Q317='לוח בקרה טכנו-מבצעי'!$B$9),OR('לוח בקרה טכנו-מבצעי'!$E$4="הכל",מלאי!J317='לוח בקרה טכנו-מבצעי'!$E$4),OR('לוח בקרה טכנו-מבצעי'!$E$5="הכל",מלאי!L317='לוח בקרה טכנו-מבצעי'!$E$5),OR('לוח בקרה טכנו-מבצעי'!$E$6="הכל",מלאי!O317='לוח בקרה טכנו-מבצעי'!$E$6),OR('לוח בקרה טכנו-מבצעי'!$E$7="הכל",מלאי!R317='לוח בקרה טכנו-מבצעי'!$E$7),OR('לוח בקרה טכנו-מבצעי'!$E$8="הכל",'לוח בקרה טכנו-מבצעי'!$E$8="",מלאי!W317='לוח בקרה טכנו-מבצעי'!$E$8),OR('לוח בקרה טכנו-מבצעי'!$E$9="הכל",'לוח בקרה טכנו-מבצעי'!$E$9="",ISNUMBER(SEARCH('לוח בקרה טכנו-מבצעי'!$E$9,מלאי!C317))),OR('לוח בקרה טכנו-מבצעי'!$B$10="הכל",מלאי!#REF!='לוח בקרה טכנו-מבצעי'!$B$10)),1,0)</f>
        <v>#REF!</v>
      </c>
      <c r="AF317" t="str">
        <f>IF(AD317=1,COUNTIF($AD$3:$AD317,1),"")</f>
        <v/>
      </c>
      <c r="AG317" t="e">
        <f>IF(AE317=1,COUNTIF($AE$3:$AE317,1),"")</f>
        <v>#REF!</v>
      </c>
    </row>
    <row r="318" spans="1:33" ht="15" customHeight="1" x14ac:dyDescent="0.25">
      <c r="A318" s="17"/>
      <c r="B318" s="17"/>
      <c r="C318" s="17"/>
      <c r="D318" s="17"/>
      <c r="E318" s="17" t="str">
        <f>IFERROR(INDEX(הגדרות!$I$2:$I$47,MATCH(B318,הגדרות!$H$2:$H$47,0)),"")</f>
        <v/>
      </c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t="str">
        <f>IFERROR(INDEX(הגדרות!$B$2:$B$17,MATCH(H318,הגדרות!$A$2:$A$17,0)),"")</f>
        <v/>
      </c>
      <c r="AA318" t="str">
        <f>IFERROR(INDEX(הגדרות!$C$2:$C$17,MATCH(H318,הגדרות!$A$2:$A$17,0)),"")</f>
        <v/>
      </c>
      <c r="AB318" t="str">
        <f>IFERROR(INDEX(הגדרות!$B$2:$B$17,MATCH(I318,הגדרות!$A$2:$A$17,0)),"")</f>
        <v/>
      </c>
      <c r="AC318" t="str">
        <f>IFERROR(INDEX(הגדרות!$C$2:$C$17,MATCH(I318,הגדרות!$A$2:$A$17,0)),"")</f>
        <v/>
      </c>
      <c r="AD318">
        <f>IF(AND(מלאי!D318&lt;&gt;"",OR('לוח בקרה'!$B$4="הכל",מלאי!Z318='לוח בקרה'!$B$4,מלאי!AA318='לוח בקרה'!$B$4,מלאי!AB318='לוח בקרה'!$B$4,מלאי!AC318='לוח בקרה'!$B$4),OR('לוח בקרה'!$B$5="הכל",מלאי!A318='לוח בקרה'!$B$5),OR('לוח בקרה'!$B$6="הכל",מלאי!B318='לוח בקרה'!$B$6),OR('לוח בקרה'!$B$7="הכל",מלאי!F318='לוח בקרה'!$B$7,מלאי!G318='לוח בקרה'!$B$7),OR('לוח בקרה'!$B$8="הכל",מלאי!T318='לוח בקרה'!$B$8),OR('לוח בקרה'!$B$9="הכל",מלאי!Q318='לוח בקרה'!$B$9),OR('לוח בקרה'!$E$4="הכל",מלאי!J318='לוח בקרה'!$E$4),OR('לוח בקרה'!$E$5="הכל",מלאי!L318='לוח בקרה'!$E$5),OR('לוח בקרה'!$E$6="הכל",מלאי!O318='לוח בקרה'!$E$6),OR('לוח בקרה'!$E$7="הכל",מלאי!R318='לוח בקרה'!$E$7),OR('לוח בקרה'!$E$8="הכל",'לוח בקרה'!$E$8="",מלאי!W318='לוח בקרה'!$E$8),OR('לוח בקרה'!$E$9="הכל",'לוח בקרה'!$E$9="",ISNUMBER(SEARCH('לוח בקרה'!$E$9,מלאי!C318)))),1,0)</f>
        <v>0</v>
      </c>
      <c r="AE318" t="e">
        <f>IF(AND(מלאי!D318&lt;&gt;"",OR('לוח בקרה טכנו-מבצעי'!$B$4="הכל",מלאי!Z318='לוח בקרה טכנו-מבצעי'!$B$4,מלאי!AA318='לוח בקרה טכנו-מבצעי'!$B$4,מלאי!AB318='לוח בקרה טכנו-מבצעי'!$B$4,מלאי!AC318='לוח בקרה טכנו-מבצעי'!$B$4),OR('לוח בקרה טכנו-מבצעי'!$B$5="הכל",מלאי!A318='לוח בקרה טכנו-מבצעי'!$B$5),OR('לוח בקרה טכנו-מבצעי'!$B$6="הכל",מלאי!B318='לוח בקרה טכנו-מבצעי'!$B$6),OR('לוח בקרה טכנו-מבצעי'!$B$7="הכל",מלאי!F318='לוח בקרה טכנו-מבצעי'!$B$7,מלאי!G318='לוח בקרה טכנו-מבצעי'!$B$7),OR('לוח בקרה טכנו-מבצעי'!$B$8="הכל",מלאי!T318='לוח בקרה טכנו-מבצעי'!$B$8),OR('לוח בקרה טכנו-מבצעי'!$B$9="הכל",מלאי!Q318='לוח בקרה טכנו-מבצעי'!$B$9),OR('לוח בקרה טכנו-מבצעי'!$E$4="הכל",מלאי!J318='לוח בקרה טכנו-מבצעי'!$E$4),OR('לוח בקרה טכנו-מבצעי'!$E$5="הכל",מלאי!L318='לוח בקרה טכנו-מבצעי'!$E$5),OR('לוח בקרה טכנו-מבצעי'!$E$6="הכל",מלאי!O318='לוח בקרה טכנו-מבצעי'!$E$6),OR('לוח בקרה טכנו-מבצעי'!$E$7="הכל",מלאי!R318='לוח בקרה טכנו-מבצעי'!$E$7),OR('לוח בקרה טכנו-מבצעי'!$E$8="הכל",'לוח בקרה טכנו-מבצעי'!$E$8="",מלאי!W318='לוח בקרה טכנו-מבצעי'!$E$8),OR('לוח בקרה טכנו-מבצעי'!$E$9="הכל",'לוח בקרה טכנו-מבצעי'!$E$9="",ISNUMBER(SEARCH('לוח בקרה טכנו-מבצעי'!$E$9,מלאי!C318))),OR('לוח בקרה טכנו-מבצעי'!$B$10="הכל",מלאי!#REF!='לוח בקרה טכנו-מבצעי'!$B$10)),1,0)</f>
        <v>#REF!</v>
      </c>
      <c r="AF318" t="str">
        <f>IF(AD318=1,COUNTIF($AD$3:$AD318,1),"")</f>
        <v/>
      </c>
      <c r="AG318" t="e">
        <f>IF(AE318=1,COUNTIF($AE$3:$AE318,1),"")</f>
        <v>#REF!</v>
      </c>
    </row>
    <row r="319" spans="1:33" ht="15" customHeight="1" x14ac:dyDescent="0.25">
      <c r="A319" s="19"/>
      <c r="B319" s="19"/>
      <c r="C319" s="19"/>
      <c r="D319" s="19"/>
      <c r="E319" s="19" t="str">
        <f>IFERROR(INDEX(הגדרות!$I$2:$I$47,MATCH(B319,הגדרות!$H$2:$H$47,0)),"")</f>
        <v/>
      </c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t="str">
        <f>IFERROR(INDEX(הגדרות!$B$2:$B$17,MATCH(H319,הגדרות!$A$2:$A$17,0)),"")</f>
        <v/>
      </c>
      <c r="AA319" t="str">
        <f>IFERROR(INDEX(הגדרות!$C$2:$C$17,MATCH(H319,הגדרות!$A$2:$A$17,0)),"")</f>
        <v/>
      </c>
      <c r="AB319" t="str">
        <f>IFERROR(INDEX(הגדרות!$B$2:$B$17,MATCH(I319,הגדרות!$A$2:$A$17,0)),"")</f>
        <v/>
      </c>
      <c r="AC319" t="str">
        <f>IFERROR(INDEX(הגדרות!$C$2:$C$17,MATCH(I319,הגדרות!$A$2:$A$17,0)),"")</f>
        <v/>
      </c>
      <c r="AD319">
        <f>IF(AND(מלאי!D319&lt;&gt;"",OR('לוח בקרה'!$B$4="הכל",מלאי!Z319='לוח בקרה'!$B$4,מלאי!AA319='לוח בקרה'!$B$4,מלאי!AB319='לוח בקרה'!$B$4,מלאי!AC319='לוח בקרה'!$B$4),OR('לוח בקרה'!$B$5="הכל",מלאי!A319='לוח בקרה'!$B$5),OR('לוח בקרה'!$B$6="הכל",מלאי!B319='לוח בקרה'!$B$6),OR('לוח בקרה'!$B$7="הכל",מלאי!F319='לוח בקרה'!$B$7,מלאי!G319='לוח בקרה'!$B$7),OR('לוח בקרה'!$B$8="הכל",מלאי!T319='לוח בקרה'!$B$8),OR('לוח בקרה'!$B$9="הכל",מלאי!Q319='לוח בקרה'!$B$9),OR('לוח בקרה'!$E$4="הכל",מלאי!J319='לוח בקרה'!$E$4),OR('לוח בקרה'!$E$5="הכל",מלאי!L319='לוח בקרה'!$E$5),OR('לוח בקרה'!$E$6="הכל",מלאי!O319='לוח בקרה'!$E$6),OR('לוח בקרה'!$E$7="הכל",מלאי!R319='לוח בקרה'!$E$7),OR('לוח בקרה'!$E$8="הכל",'לוח בקרה'!$E$8="",מלאי!W319='לוח בקרה'!$E$8),OR('לוח בקרה'!$E$9="הכל",'לוח בקרה'!$E$9="",ISNUMBER(SEARCH('לוח בקרה'!$E$9,מלאי!C319)))),1,0)</f>
        <v>0</v>
      </c>
      <c r="AE319" t="e">
        <f>IF(AND(מלאי!D319&lt;&gt;"",OR('לוח בקרה טכנו-מבצעי'!$B$4="הכל",מלאי!Z319='לוח בקרה טכנו-מבצעי'!$B$4,מלאי!AA319='לוח בקרה טכנו-מבצעי'!$B$4,מלאי!AB319='לוח בקרה טכנו-מבצעי'!$B$4,מלאי!AC319='לוח בקרה טכנו-מבצעי'!$B$4),OR('לוח בקרה טכנו-מבצעי'!$B$5="הכל",מלאי!A319='לוח בקרה טכנו-מבצעי'!$B$5),OR('לוח בקרה טכנו-מבצעי'!$B$6="הכל",מלאי!B319='לוח בקרה טכנו-מבצעי'!$B$6),OR('לוח בקרה טכנו-מבצעי'!$B$7="הכל",מלאי!F319='לוח בקרה טכנו-מבצעי'!$B$7,מלאי!G319='לוח בקרה טכנו-מבצעי'!$B$7),OR('לוח בקרה טכנו-מבצעי'!$B$8="הכל",מלאי!T319='לוח בקרה טכנו-מבצעי'!$B$8),OR('לוח בקרה טכנו-מבצעי'!$B$9="הכל",מלאי!Q319='לוח בקרה טכנו-מבצעי'!$B$9),OR('לוח בקרה טכנו-מבצעי'!$E$4="הכל",מלאי!J319='לוח בקרה טכנו-מבצעי'!$E$4),OR('לוח בקרה טכנו-מבצעי'!$E$5="הכל",מלאי!L319='לוח בקרה טכנו-מבצעי'!$E$5),OR('לוח בקרה טכנו-מבצעי'!$E$6="הכל",מלאי!O319='לוח בקרה טכנו-מבצעי'!$E$6),OR('לוח בקרה טכנו-מבצעי'!$E$7="הכל",מלאי!R319='לוח בקרה טכנו-מבצעי'!$E$7),OR('לוח בקרה טכנו-מבצעי'!$E$8="הכל",'לוח בקרה טכנו-מבצעי'!$E$8="",מלאי!W319='לוח בקרה טכנו-מבצעי'!$E$8),OR('לוח בקרה טכנו-מבצעי'!$E$9="הכל",'לוח בקרה טכנו-מבצעי'!$E$9="",ISNUMBER(SEARCH('לוח בקרה טכנו-מבצעי'!$E$9,מלאי!C319))),OR('לוח בקרה טכנו-מבצעי'!$B$10="הכל",מלאי!#REF!='לוח בקרה טכנו-מבצעי'!$B$10)),1,0)</f>
        <v>#REF!</v>
      </c>
      <c r="AF319" t="str">
        <f>IF(AD319=1,COUNTIF($AD$3:$AD319,1),"")</f>
        <v/>
      </c>
      <c r="AG319" t="e">
        <f>IF(AE319=1,COUNTIF($AE$3:$AE319,1),"")</f>
        <v>#REF!</v>
      </c>
    </row>
    <row r="320" spans="1:33" ht="15" customHeight="1" x14ac:dyDescent="0.25">
      <c r="A320" s="17"/>
      <c r="B320" s="17"/>
      <c r="C320" s="17"/>
      <c r="D320" s="17"/>
      <c r="E320" s="17" t="str">
        <f>IFERROR(INDEX(הגדרות!$I$2:$I$47,MATCH(B320,הגדרות!$H$2:$H$47,0)),"")</f>
        <v/>
      </c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t="str">
        <f>IFERROR(INDEX(הגדרות!$B$2:$B$17,MATCH(H320,הגדרות!$A$2:$A$17,0)),"")</f>
        <v/>
      </c>
      <c r="AA320" t="str">
        <f>IFERROR(INDEX(הגדרות!$C$2:$C$17,MATCH(H320,הגדרות!$A$2:$A$17,0)),"")</f>
        <v/>
      </c>
      <c r="AB320" t="str">
        <f>IFERROR(INDEX(הגדרות!$B$2:$B$17,MATCH(I320,הגדרות!$A$2:$A$17,0)),"")</f>
        <v/>
      </c>
      <c r="AC320" t="str">
        <f>IFERROR(INDEX(הגדרות!$C$2:$C$17,MATCH(I320,הגדרות!$A$2:$A$17,0)),"")</f>
        <v/>
      </c>
      <c r="AD320">
        <f>IF(AND(מלאי!D320&lt;&gt;"",OR('לוח בקרה'!$B$4="הכל",מלאי!Z320='לוח בקרה'!$B$4,מלאי!AA320='לוח בקרה'!$B$4,מלאי!AB320='לוח בקרה'!$B$4,מלאי!AC320='לוח בקרה'!$B$4),OR('לוח בקרה'!$B$5="הכל",מלאי!A320='לוח בקרה'!$B$5),OR('לוח בקרה'!$B$6="הכל",מלאי!B320='לוח בקרה'!$B$6),OR('לוח בקרה'!$B$7="הכל",מלאי!F320='לוח בקרה'!$B$7,מלאי!G320='לוח בקרה'!$B$7),OR('לוח בקרה'!$B$8="הכל",מלאי!T320='לוח בקרה'!$B$8),OR('לוח בקרה'!$B$9="הכל",מלאי!Q320='לוח בקרה'!$B$9),OR('לוח בקרה'!$E$4="הכל",מלאי!J320='לוח בקרה'!$E$4),OR('לוח בקרה'!$E$5="הכל",מלאי!L320='לוח בקרה'!$E$5),OR('לוח בקרה'!$E$6="הכל",מלאי!O320='לוח בקרה'!$E$6),OR('לוח בקרה'!$E$7="הכל",מלאי!R320='לוח בקרה'!$E$7),OR('לוח בקרה'!$E$8="הכל",'לוח בקרה'!$E$8="",מלאי!W320='לוח בקרה'!$E$8),OR('לוח בקרה'!$E$9="הכל",'לוח בקרה'!$E$9="",ISNUMBER(SEARCH('לוח בקרה'!$E$9,מלאי!C320)))),1,0)</f>
        <v>0</v>
      </c>
      <c r="AE320" t="e">
        <f>IF(AND(מלאי!D320&lt;&gt;"",OR('לוח בקרה טכנו-מבצעי'!$B$4="הכל",מלאי!Z320='לוח בקרה טכנו-מבצעי'!$B$4,מלאי!AA320='לוח בקרה טכנו-מבצעי'!$B$4,מלאי!AB320='לוח בקרה טכנו-מבצעי'!$B$4,מלאי!AC320='לוח בקרה טכנו-מבצעי'!$B$4),OR('לוח בקרה טכנו-מבצעי'!$B$5="הכל",מלאי!A320='לוח בקרה טכנו-מבצעי'!$B$5),OR('לוח בקרה טכנו-מבצעי'!$B$6="הכל",מלאי!B320='לוח בקרה טכנו-מבצעי'!$B$6),OR('לוח בקרה טכנו-מבצעי'!$B$7="הכל",מלאי!F320='לוח בקרה טכנו-מבצעי'!$B$7,מלאי!G320='לוח בקרה טכנו-מבצעי'!$B$7),OR('לוח בקרה טכנו-מבצעי'!$B$8="הכל",מלאי!T320='לוח בקרה טכנו-מבצעי'!$B$8),OR('לוח בקרה טכנו-מבצעי'!$B$9="הכל",מלאי!Q320='לוח בקרה טכנו-מבצעי'!$B$9),OR('לוח בקרה טכנו-מבצעי'!$E$4="הכל",מלאי!J320='לוח בקרה טכנו-מבצעי'!$E$4),OR('לוח בקרה טכנו-מבצעי'!$E$5="הכל",מלאי!L320='לוח בקרה טכנו-מבצעי'!$E$5),OR('לוח בקרה טכנו-מבצעי'!$E$6="הכל",מלאי!O320='לוח בקרה טכנו-מבצעי'!$E$6),OR('לוח בקרה טכנו-מבצעי'!$E$7="הכל",מלאי!R320='לוח בקרה טכנו-מבצעי'!$E$7),OR('לוח בקרה טכנו-מבצעי'!$E$8="הכל",'לוח בקרה טכנו-מבצעי'!$E$8="",מלאי!W320='לוח בקרה טכנו-מבצעי'!$E$8),OR('לוח בקרה טכנו-מבצעי'!$E$9="הכל",'לוח בקרה טכנו-מבצעי'!$E$9="",ISNUMBER(SEARCH('לוח בקרה טכנו-מבצעי'!$E$9,מלאי!C320))),OR('לוח בקרה טכנו-מבצעי'!$B$10="הכל",מלאי!#REF!='לוח בקרה טכנו-מבצעי'!$B$10)),1,0)</f>
        <v>#REF!</v>
      </c>
      <c r="AF320" t="str">
        <f>IF(AD320=1,COUNTIF($AD$3:$AD320,1),"")</f>
        <v/>
      </c>
      <c r="AG320" t="e">
        <f>IF(AE320=1,COUNTIF($AE$3:$AE320,1),"")</f>
        <v>#REF!</v>
      </c>
    </row>
    <row r="321" spans="1:33" ht="15" customHeight="1" x14ac:dyDescent="0.25">
      <c r="A321" s="19"/>
      <c r="B321" s="19"/>
      <c r="C321" s="19"/>
      <c r="D321" s="19"/>
      <c r="E321" s="19" t="str">
        <f>IFERROR(INDEX(הגדרות!$I$2:$I$47,MATCH(B321,הגדרות!$H$2:$H$47,0)),"")</f>
        <v/>
      </c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t="str">
        <f>IFERROR(INDEX(הגדרות!$B$2:$B$17,MATCH(H321,הגדרות!$A$2:$A$17,0)),"")</f>
        <v/>
      </c>
      <c r="AA321" t="str">
        <f>IFERROR(INDEX(הגדרות!$C$2:$C$17,MATCH(H321,הגדרות!$A$2:$A$17,0)),"")</f>
        <v/>
      </c>
      <c r="AB321" t="str">
        <f>IFERROR(INDEX(הגדרות!$B$2:$B$17,MATCH(I321,הגדרות!$A$2:$A$17,0)),"")</f>
        <v/>
      </c>
      <c r="AC321" t="str">
        <f>IFERROR(INDEX(הגדרות!$C$2:$C$17,MATCH(I321,הגדרות!$A$2:$A$17,0)),"")</f>
        <v/>
      </c>
      <c r="AD321">
        <f>IF(AND(מלאי!D321&lt;&gt;"",OR('לוח בקרה'!$B$4="הכל",מלאי!Z321='לוח בקרה'!$B$4,מלאי!AA321='לוח בקרה'!$B$4,מלאי!AB321='לוח בקרה'!$B$4,מלאי!AC321='לוח בקרה'!$B$4),OR('לוח בקרה'!$B$5="הכל",מלאי!A321='לוח בקרה'!$B$5),OR('לוח בקרה'!$B$6="הכל",מלאי!B321='לוח בקרה'!$B$6),OR('לוח בקרה'!$B$7="הכל",מלאי!F321='לוח בקרה'!$B$7,מלאי!G321='לוח בקרה'!$B$7),OR('לוח בקרה'!$B$8="הכל",מלאי!T321='לוח בקרה'!$B$8),OR('לוח בקרה'!$B$9="הכל",מלאי!Q321='לוח בקרה'!$B$9),OR('לוח בקרה'!$E$4="הכל",מלאי!J321='לוח בקרה'!$E$4),OR('לוח בקרה'!$E$5="הכל",מלאי!L321='לוח בקרה'!$E$5),OR('לוח בקרה'!$E$6="הכל",מלאי!O321='לוח בקרה'!$E$6),OR('לוח בקרה'!$E$7="הכל",מלאי!R321='לוח בקרה'!$E$7),OR('לוח בקרה'!$E$8="הכל",'לוח בקרה'!$E$8="",מלאי!W321='לוח בקרה'!$E$8),OR('לוח בקרה'!$E$9="הכל",'לוח בקרה'!$E$9="",ISNUMBER(SEARCH('לוח בקרה'!$E$9,מלאי!C321)))),1,0)</f>
        <v>0</v>
      </c>
      <c r="AE321" t="e">
        <f>IF(AND(מלאי!D321&lt;&gt;"",OR('לוח בקרה טכנו-מבצעי'!$B$4="הכל",מלאי!Z321='לוח בקרה טכנו-מבצעי'!$B$4,מלאי!AA321='לוח בקרה טכנו-מבצעי'!$B$4,מלאי!AB321='לוח בקרה טכנו-מבצעי'!$B$4,מלאי!AC321='לוח בקרה טכנו-מבצעי'!$B$4),OR('לוח בקרה טכנו-מבצעי'!$B$5="הכל",מלאי!A321='לוח בקרה טכנו-מבצעי'!$B$5),OR('לוח בקרה טכנו-מבצעי'!$B$6="הכל",מלאי!B321='לוח בקרה טכנו-מבצעי'!$B$6),OR('לוח בקרה טכנו-מבצעי'!$B$7="הכל",מלאי!F321='לוח בקרה טכנו-מבצעי'!$B$7,מלאי!G321='לוח בקרה טכנו-מבצעי'!$B$7),OR('לוח בקרה טכנו-מבצעי'!$B$8="הכל",מלאי!T321='לוח בקרה טכנו-מבצעי'!$B$8),OR('לוח בקרה טכנו-מבצעי'!$B$9="הכל",מלאי!Q321='לוח בקרה טכנו-מבצעי'!$B$9),OR('לוח בקרה טכנו-מבצעי'!$E$4="הכל",מלאי!J321='לוח בקרה טכנו-מבצעי'!$E$4),OR('לוח בקרה טכנו-מבצעי'!$E$5="הכל",מלאי!L321='לוח בקרה טכנו-מבצעי'!$E$5),OR('לוח בקרה טכנו-מבצעי'!$E$6="הכל",מלאי!O321='לוח בקרה טכנו-מבצעי'!$E$6),OR('לוח בקרה טכנו-מבצעי'!$E$7="הכל",מלאי!R321='לוח בקרה טכנו-מבצעי'!$E$7),OR('לוח בקרה טכנו-מבצעי'!$E$8="הכל",'לוח בקרה טכנו-מבצעי'!$E$8="",מלאי!W321='לוח בקרה טכנו-מבצעי'!$E$8),OR('לוח בקרה טכנו-מבצעי'!$E$9="הכל",'לוח בקרה טכנו-מבצעי'!$E$9="",ISNUMBER(SEARCH('לוח בקרה טכנו-מבצעי'!$E$9,מלאי!C321))),OR('לוח בקרה טכנו-מבצעי'!$B$10="הכל",מלאי!#REF!='לוח בקרה טכנו-מבצעי'!$B$10)),1,0)</f>
        <v>#REF!</v>
      </c>
      <c r="AF321" t="str">
        <f>IF(AD321=1,COUNTIF($AD$3:$AD321,1),"")</f>
        <v/>
      </c>
      <c r="AG321" t="e">
        <f>IF(AE321=1,COUNTIF($AE$3:$AE321,1),"")</f>
        <v>#REF!</v>
      </c>
    </row>
    <row r="322" spans="1:33" ht="15" customHeight="1" x14ac:dyDescent="0.25">
      <c r="A322" s="17"/>
      <c r="B322" s="17"/>
      <c r="C322" s="17"/>
      <c r="D322" s="17"/>
      <c r="E322" s="17" t="str">
        <f>IFERROR(INDEX(הגדרות!$I$2:$I$47,MATCH(B322,הגדרות!$H$2:$H$47,0)),"")</f>
        <v/>
      </c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t="str">
        <f>IFERROR(INDEX(הגדרות!$B$2:$B$17,MATCH(H322,הגדרות!$A$2:$A$17,0)),"")</f>
        <v/>
      </c>
      <c r="AA322" t="str">
        <f>IFERROR(INDEX(הגדרות!$C$2:$C$17,MATCH(H322,הגדרות!$A$2:$A$17,0)),"")</f>
        <v/>
      </c>
      <c r="AB322" t="str">
        <f>IFERROR(INDEX(הגדרות!$B$2:$B$17,MATCH(I322,הגדרות!$A$2:$A$17,0)),"")</f>
        <v/>
      </c>
      <c r="AC322" t="str">
        <f>IFERROR(INDEX(הגדרות!$C$2:$C$17,MATCH(I322,הגדרות!$A$2:$A$17,0)),"")</f>
        <v/>
      </c>
      <c r="AD322">
        <f>IF(AND(מלאי!D322&lt;&gt;"",OR('לוח בקרה'!$B$4="הכל",מלאי!Z322='לוח בקרה'!$B$4,מלאי!AA322='לוח בקרה'!$B$4,מלאי!AB322='לוח בקרה'!$B$4,מלאי!AC322='לוח בקרה'!$B$4),OR('לוח בקרה'!$B$5="הכל",מלאי!A322='לוח בקרה'!$B$5),OR('לוח בקרה'!$B$6="הכל",מלאי!B322='לוח בקרה'!$B$6),OR('לוח בקרה'!$B$7="הכל",מלאי!F322='לוח בקרה'!$B$7,מלאי!G322='לוח בקרה'!$B$7),OR('לוח בקרה'!$B$8="הכל",מלאי!T322='לוח בקרה'!$B$8),OR('לוח בקרה'!$B$9="הכל",מלאי!Q322='לוח בקרה'!$B$9),OR('לוח בקרה'!$E$4="הכל",מלאי!J322='לוח בקרה'!$E$4),OR('לוח בקרה'!$E$5="הכל",מלאי!L322='לוח בקרה'!$E$5),OR('לוח בקרה'!$E$6="הכל",מלאי!O322='לוח בקרה'!$E$6),OR('לוח בקרה'!$E$7="הכל",מלאי!R322='לוח בקרה'!$E$7),OR('לוח בקרה'!$E$8="הכל",'לוח בקרה'!$E$8="",מלאי!W322='לוח בקרה'!$E$8),OR('לוח בקרה'!$E$9="הכל",'לוח בקרה'!$E$9="",ISNUMBER(SEARCH('לוח בקרה'!$E$9,מלאי!C322)))),1,0)</f>
        <v>0</v>
      </c>
      <c r="AE322" t="e">
        <f>IF(AND(מלאי!D322&lt;&gt;"",OR('לוח בקרה טכנו-מבצעי'!$B$4="הכל",מלאי!Z322='לוח בקרה טכנו-מבצעי'!$B$4,מלאי!AA322='לוח בקרה טכנו-מבצעי'!$B$4,מלאי!AB322='לוח בקרה טכנו-מבצעי'!$B$4,מלאי!AC322='לוח בקרה טכנו-מבצעי'!$B$4),OR('לוח בקרה טכנו-מבצעי'!$B$5="הכל",מלאי!A322='לוח בקרה טכנו-מבצעי'!$B$5),OR('לוח בקרה טכנו-מבצעי'!$B$6="הכל",מלאי!B322='לוח בקרה טכנו-מבצעי'!$B$6),OR('לוח בקרה טכנו-מבצעי'!$B$7="הכל",מלאי!F322='לוח בקרה טכנו-מבצעי'!$B$7,מלאי!G322='לוח בקרה טכנו-מבצעי'!$B$7),OR('לוח בקרה טכנו-מבצעי'!$B$8="הכל",מלאי!T322='לוח בקרה טכנו-מבצעי'!$B$8),OR('לוח בקרה טכנו-מבצעי'!$B$9="הכל",מלאי!Q322='לוח בקרה טכנו-מבצעי'!$B$9),OR('לוח בקרה טכנו-מבצעי'!$E$4="הכל",מלאי!J322='לוח בקרה טכנו-מבצעי'!$E$4),OR('לוח בקרה טכנו-מבצעי'!$E$5="הכל",מלאי!L322='לוח בקרה טכנו-מבצעי'!$E$5),OR('לוח בקרה טכנו-מבצעי'!$E$6="הכל",מלאי!O322='לוח בקרה טכנו-מבצעי'!$E$6),OR('לוח בקרה טכנו-מבצעי'!$E$7="הכל",מלאי!R322='לוח בקרה טכנו-מבצעי'!$E$7),OR('לוח בקרה טכנו-מבצעי'!$E$8="הכל",'לוח בקרה טכנו-מבצעי'!$E$8="",מלאי!W322='לוח בקרה טכנו-מבצעי'!$E$8),OR('לוח בקרה טכנו-מבצעי'!$E$9="הכל",'לוח בקרה טכנו-מבצעי'!$E$9="",ISNUMBER(SEARCH('לוח בקרה טכנו-מבצעי'!$E$9,מלאי!C322))),OR('לוח בקרה טכנו-מבצעי'!$B$10="הכל",מלאי!#REF!='לוח בקרה טכנו-מבצעי'!$B$10)),1,0)</f>
        <v>#REF!</v>
      </c>
      <c r="AF322" t="str">
        <f>IF(AD322=1,COUNTIF($AD$3:$AD322,1),"")</f>
        <v/>
      </c>
      <c r="AG322" t="e">
        <f>IF(AE322=1,COUNTIF($AE$3:$AE322,1),"")</f>
        <v>#REF!</v>
      </c>
    </row>
    <row r="323" spans="1:33" ht="15" customHeight="1" x14ac:dyDescent="0.25">
      <c r="A323" s="19"/>
      <c r="B323" s="19"/>
      <c r="C323" s="19"/>
      <c r="D323" s="19"/>
      <c r="E323" s="19" t="str">
        <f>IFERROR(INDEX(הגדרות!$I$2:$I$47,MATCH(B323,הגדרות!$H$2:$H$47,0)),"")</f>
        <v/>
      </c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t="str">
        <f>IFERROR(INDEX(הגדרות!$B$2:$B$17,MATCH(H323,הגדרות!$A$2:$A$17,0)),"")</f>
        <v/>
      </c>
      <c r="AA323" t="str">
        <f>IFERROR(INDEX(הגדרות!$C$2:$C$17,MATCH(H323,הגדרות!$A$2:$A$17,0)),"")</f>
        <v/>
      </c>
      <c r="AB323" t="str">
        <f>IFERROR(INDEX(הגדרות!$B$2:$B$17,MATCH(I323,הגדרות!$A$2:$A$17,0)),"")</f>
        <v/>
      </c>
      <c r="AC323" t="str">
        <f>IFERROR(INDEX(הגדרות!$C$2:$C$17,MATCH(I323,הגדרות!$A$2:$A$17,0)),"")</f>
        <v/>
      </c>
      <c r="AD323">
        <f>IF(AND(מלאי!D323&lt;&gt;"",OR('לוח בקרה'!$B$4="הכל",מלאי!Z323='לוח בקרה'!$B$4,מלאי!AA323='לוח בקרה'!$B$4,מלאי!AB323='לוח בקרה'!$B$4,מלאי!AC323='לוח בקרה'!$B$4),OR('לוח בקרה'!$B$5="הכל",מלאי!A323='לוח בקרה'!$B$5),OR('לוח בקרה'!$B$6="הכל",מלאי!B323='לוח בקרה'!$B$6),OR('לוח בקרה'!$B$7="הכל",מלאי!F323='לוח בקרה'!$B$7,מלאי!G323='לוח בקרה'!$B$7),OR('לוח בקרה'!$B$8="הכל",מלאי!T323='לוח בקרה'!$B$8),OR('לוח בקרה'!$B$9="הכל",מלאי!Q323='לוח בקרה'!$B$9),OR('לוח בקרה'!$E$4="הכל",מלאי!J323='לוח בקרה'!$E$4),OR('לוח בקרה'!$E$5="הכל",מלאי!L323='לוח בקרה'!$E$5),OR('לוח בקרה'!$E$6="הכל",מלאי!O323='לוח בקרה'!$E$6),OR('לוח בקרה'!$E$7="הכל",מלאי!R323='לוח בקרה'!$E$7),OR('לוח בקרה'!$E$8="הכל",'לוח בקרה'!$E$8="",מלאי!W323='לוח בקרה'!$E$8),OR('לוח בקרה'!$E$9="הכל",'לוח בקרה'!$E$9="",ISNUMBER(SEARCH('לוח בקרה'!$E$9,מלאי!C323)))),1,0)</f>
        <v>0</v>
      </c>
      <c r="AE323" t="e">
        <f>IF(AND(מלאי!D323&lt;&gt;"",OR('לוח בקרה טכנו-מבצעי'!$B$4="הכל",מלאי!Z323='לוח בקרה טכנו-מבצעי'!$B$4,מלאי!AA323='לוח בקרה טכנו-מבצעי'!$B$4,מלאי!AB323='לוח בקרה טכנו-מבצעי'!$B$4,מלאי!AC323='לוח בקרה טכנו-מבצעי'!$B$4),OR('לוח בקרה טכנו-מבצעי'!$B$5="הכל",מלאי!A323='לוח בקרה טכנו-מבצעי'!$B$5),OR('לוח בקרה טכנו-מבצעי'!$B$6="הכל",מלאי!B323='לוח בקרה טכנו-מבצעי'!$B$6),OR('לוח בקרה טכנו-מבצעי'!$B$7="הכל",מלאי!F323='לוח בקרה טכנו-מבצעי'!$B$7,מלאי!G323='לוח בקרה טכנו-מבצעי'!$B$7),OR('לוח בקרה טכנו-מבצעי'!$B$8="הכל",מלאי!T323='לוח בקרה טכנו-מבצעי'!$B$8),OR('לוח בקרה טכנו-מבצעי'!$B$9="הכל",מלאי!Q323='לוח בקרה טכנו-מבצעי'!$B$9),OR('לוח בקרה טכנו-מבצעי'!$E$4="הכל",מלאי!J323='לוח בקרה טכנו-מבצעי'!$E$4),OR('לוח בקרה טכנו-מבצעי'!$E$5="הכל",מלאי!L323='לוח בקרה טכנו-מבצעי'!$E$5),OR('לוח בקרה טכנו-מבצעי'!$E$6="הכל",מלאי!O323='לוח בקרה טכנו-מבצעי'!$E$6),OR('לוח בקרה טכנו-מבצעי'!$E$7="הכל",מלאי!R323='לוח בקרה טכנו-מבצעי'!$E$7),OR('לוח בקרה טכנו-מבצעי'!$E$8="הכל",'לוח בקרה טכנו-מבצעי'!$E$8="",מלאי!W323='לוח בקרה טכנו-מבצעי'!$E$8),OR('לוח בקרה טכנו-מבצעי'!$E$9="הכל",'לוח בקרה טכנו-מבצעי'!$E$9="",ISNUMBER(SEARCH('לוח בקרה טכנו-מבצעי'!$E$9,מלאי!C323))),OR('לוח בקרה טכנו-מבצעי'!$B$10="הכל",מלאי!#REF!='לוח בקרה טכנו-מבצעי'!$B$10)),1,0)</f>
        <v>#REF!</v>
      </c>
      <c r="AF323" t="str">
        <f>IF(AD323=1,COUNTIF($AD$3:$AD323,1),"")</f>
        <v/>
      </c>
      <c r="AG323" t="e">
        <f>IF(AE323=1,COUNTIF($AE$3:$AE323,1),"")</f>
        <v>#REF!</v>
      </c>
    </row>
    <row r="324" spans="1:33" ht="15" customHeight="1" x14ac:dyDescent="0.25">
      <c r="A324" s="17"/>
      <c r="B324" s="17"/>
      <c r="C324" s="17"/>
      <c r="D324" s="17"/>
      <c r="E324" s="17" t="str">
        <f>IFERROR(INDEX(הגדרות!$I$2:$I$47,MATCH(B324,הגדרות!$H$2:$H$47,0)),"")</f>
        <v/>
      </c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t="str">
        <f>IFERROR(INDEX(הגדרות!$B$2:$B$17,MATCH(H324,הגדרות!$A$2:$A$17,0)),"")</f>
        <v/>
      </c>
      <c r="AA324" t="str">
        <f>IFERROR(INDEX(הגדרות!$C$2:$C$17,MATCH(H324,הגדרות!$A$2:$A$17,0)),"")</f>
        <v/>
      </c>
      <c r="AB324" t="str">
        <f>IFERROR(INDEX(הגדרות!$B$2:$B$17,MATCH(I324,הגדרות!$A$2:$A$17,0)),"")</f>
        <v/>
      </c>
      <c r="AC324" t="str">
        <f>IFERROR(INDEX(הגדרות!$C$2:$C$17,MATCH(I324,הגדרות!$A$2:$A$17,0)),"")</f>
        <v/>
      </c>
      <c r="AD324">
        <f>IF(AND(מלאי!D324&lt;&gt;"",OR('לוח בקרה'!$B$4="הכל",מלאי!Z324='לוח בקרה'!$B$4,מלאי!AA324='לוח בקרה'!$B$4,מלאי!AB324='לוח בקרה'!$B$4,מלאי!AC324='לוח בקרה'!$B$4),OR('לוח בקרה'!$B$5="הכל",מלאי!A324='לוח בקרה'!$B$5),OR('לוח בקרה'!$B$6="הכל",מלאי!B324='לוח בקרה'!$B$6),OR('לוח בקרה'!$B$7="הכל",מלאי!F324='לוח בקרה'!$B$7,מלאי!G324='לוח בקרה'!$B$7),OR('לוח בקרה'!$B$8="הכל",מלאי!T324='לוח בקרה'!$B$8),OR('לוח בקרה'!$B$9="הכל",מלאי!Q324='לוח בקרה'!$B$9),OR('לוח בקרה'!$E$4="הכל",מלאי!J324='לוח בקרה'!$E$4),OR('לוח בקרה'!$E$5="הכל",מלאי!L324='לוח בקרה'!$E$5),OR('לוח בקרה'!$E$6="הכל",מלאי!O324='לוח בקרה'!$E$6),OR('לוח בקרה'!$E$7="הכל",מלאי!R324='לוח בקרה'!$E$7),OR('לוח בקרה'!$E$8="הכל",'לוח בקרה'!$E$8="",מלאי!W324='לוח בקרה'!$E$8),OR('לוח בקרה'!$E$9="הכל",'לוח בקרה'!$E$9="",ISNUMBER(SEARCH('לוח בקרה'!$E$9,מלאי!C324)))),1,0)</f>
        <v>0</v>
      </c>
      <c r="AE324" t="e">
        <f>IF(AND(מלאי!D324&lt;&gt;"",OR('לוח בקרה טכנו-מבצעי'!$B$4="הכל",מלאי!Z324='לוח בקרה טכנו-מבצעי'!$B$4,מלאי!AA324='לוח בקרה טכנו-מבצעי'!$B$4,מלאי!AB324='לוח בקרה טכנו-מבצעי'!$B$4,מלאי!AC324='לוח בקרה טכנו-מבצעי'!$B$4),OR('לוח בקרה טכנו-מבצעי'!$B$5="הכל",מלאי!A324='לוח בקרה טכנו-מבצעי'!$B$5),OR('לוח בקרה טכנו-מבצעי'!$B$6="הכל",מלאי!B324='לוח בקרה טכנו-מבצעי'!$B$6),OR('לוח בקרה טכנו-מבצעי'!$B$7="הכל",מלאי!F324='לוח בקרה טכנו-מבצעי'!$B$7,מלאי!G324='לוח בקרה טכנו-מבצעי'!$B$7),OR('לוח בקרה טכנו-מבצעי'!$B$8="הכל",מלאי!T324='לוח בקרה טכנו-מבצעי'!$B$8),OR('לוח בקרה טכנו-מבצעי'!$B$9="הכל",מלאי!Q324='לוח בקרה טכנו-מבצעי'!$B$9),OR('לוח בקרה טכנו-מבצעי'!$E$4="הכל",מלאי!J324='לוח בקרה טכנו-מבצעי'!$E$4),OR('לוח בקרה טכנו-מבצעי'!$E$5="הכל",מלאי!L324='לוח בקרה טכנו-מבצעי'!$E$5),OR('לוח בקרה טכנו-מבצעי'!$E$6="הכל",מלאי!O324='לוח בקרה טכנו-מבצעי'!$E$6),OR('לוח בקרה טכנו-מבצעי'!$E$7="הכל",מלאי!R324='לוח בקרה טכנו-מבצעי'!$E$7),OR('לוח בקרה טכנו-מבצעי'!$E$8="הכל",'לוח בקרה טכנו-מבצעי'!$E$8="",מלאי!W324='לוח בקרה טכנו-מבצעי'!$E$8),OR('לוח בקרה טכנו-מבצעי'!$E$9="הכל",'לוח בקרה טכנו-מבצעי'!$E$9="",ISNUMBER(SEARCH('לוח בקרה טכנו-מבצעי'!$E$9,מלאי!C324))),OR('לוח בקרה טכנו-מבצעי'!$B$10="הכל",מלאי!#REF!='לוח בקרה טכנו-מבצעי'!$B$10)),1,0)</f>
        <v>#REF!</v>
      </c>
      <c r="AF324" t="str">
        <f>IF(AD324=1,COUNTIF($AD$3:$AD324,1),"")</f>
        <v/>
      </c>
      <c r="AG324" t="e">
        <f>IF(AE324=1,COUNTIF($AE$3:$AE324,1),"")</f>
        <v>#REF!</v>
      </c>
    </row>
    <row r="325" spans="1:33" ht="15" customHeight="1" x14ac:dyDescent="0.25">
      <c r="A325" s="19"/>
      <c r="B325" s="19"/>
      <c r="C325" s="19"/>
      <c r="D325" s="19"/>
      <c r="E325" s="19" t="str">
        <f>IFERROR(INDEX(הגדרות!$I$2:$I$47,MATCH(B325,הגדרות!$H$2:$H$47,0)),"")</f>
        <v/>
      </c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t="str">
        <f>IFERROR(INDEX(הגדרות!$B$2:$B$17,MATCH(H325,הגדרות!$A$2:$A$17,0)),"")</f>
        <v/>
      </c>
      <c r="AA325" t="str">
        <f>IFERROR(INDEX(הגדרות!$C$2:$C$17,MATCH(H325,הגדרות!$A$2:$A$17,0)),"")</f>
        <v/>
      </c>
      <c r="AB325" t="str">
        <f>IFERROR(INDEX(הגדרות!$B$2:$B$17,MATCH(I325,הגדרות!$A$2:$A$17,0)),"")</f>
        <v/>
      </c>
      <c r="AC325" t="str">
        <f>IFERROR(INDEX(הגדרות!$C$2:$C$17,MATCH(I325,הגדרות!$A$2:$A$17,0)),"")</f>
        <v/>
      </c>
      <c r="AD325">
        <f>IF(AND(מלאי!D325&lt;&gt;"",OR('לוח בקרה'!$B$4="הכל",מלאי!Z325='לוח בקרה'!$B$4,מלאי!AA325='לוח בקרה'!$B$4,מלאי!AB325='לוח בקרה'!$B$4,מלאי!AC325='לוח בקרה'!$B$4),OR('לוח בקרה'!$B$5="הכל",מלאי!A325='לוח בקרה'!$B$5),OR('לוח בקרה'!$B$6="הכל",מלאי!B325='לוח בקרה'!$B$6),OR('לוח בקרה'!$B$7="הכל",מלאי!F325='לוח בקרה'!$B$7,מלאי!G325='לוח בקרה'!$B$7),OR('לוח בקרה'!$B$8="הכל",מלאי!T325='לוח בקרה'!$B$8),OR('לוח בקרה'!$B$9="הכל",מלאי!Q325='לוח בקרה'!$B$9),OR('לוח בקרה'!$E$4="הכל",מלאי!J325='לוח בקרה'!$E$4),OR('לוח בקרה'!$E$5="הכל",מלאי!L325='לוח בקרה'!$E$5),OR('לוח בקרה'!$E$6="הכל",מלאי!O325='לוח בקרה'!$E$6),OR('לוח בקרה'!$E$7="הכל",מלאי!R325='לוח בקרה'!$E$7),OR('לוח בקרה'!$E$8="הכל",'לוח בקרה'!$E$8="",מלאי!W325='לוח בקרה'!$E$8),OR('לוח בקרה'!$E$9="הכל",'לוח בקרה'!$E$9="",ISNUMBER(SEARCH('לוח בקרה'!$E$9,מלאי!C325)))),1,0)</f>
        <v>0</v>
      </c>
      <c r="AE325" t="e">
        <f>IF(AND(מלאי!D325&lt;&gt;"",OR('לוח בקרה טכנו-מבצעי'!$B$4="הכל",מלאי!Z325='לוח בקרה טכנו-מבצעי'!$B$4,מלאי!AA325='לוח בקרה טכנו-מבצעי'!$B$4,מלאי!AB325='לוח בקרה טכנו-מבצעי'!$B$4,מלאי!AC325='לוח בקרה טכנו-מבצעי'!$B$4),OR('לוח בקרה טכנו-מבצעי'!$B$5="הכל",מלאי!A325='לוח בקרה טכנו-מבצעי'!$B$5),OR('לוח בקרה טכנו-מבצעי'!$B$6="הכל",מלאי!B325='לוח בקרה טכנו-מבצעי'!$B$6),OR('לוח בקרה טכנו-מבצעי'!$B$7="הכל",מלאי!F325='לוח בקרה טכנו-מבצעי'!$B$7,מלאי!G325='לוח בקרה טכנו-מבצעי'!$B$7),OR('לוח בקרה טכנו-מבצעי'!$B$8="הכל",מלאי!T325='לוח בקרה טכנו-מבצעי'!$B$8),OR('לוח בקרה טכנו-מבצעי'!$B$9="הכל",מלאי!Q325='לוח בקרה טכנו-מבצעי'!$B$9),OR('לוח בקרה טכנו-מבצעי'!$E$4="הכל",מלאי!J325='לוח בקרה טכנו-מבצעי'!$E$4),OR('לוח בקרה טכנו-מבצעי'!$E$5="הכל",מלאי!L325='לוח בקרה טכנו-מבצעי'!$E$5),OR('לוח בקרה טכנו-מבצעי'!$E$6="הכל",מלאי!O325='לוח בקרה טכנו-מבצעי'!$E$6),OR('לוח בקרה טכנו-מבצעי'!$E$7="הכל",מלאי!R325='לוח בקרה טכנו-מבצעי'!$E$7),OR('לוח בקרה טכנו-מבצעי'!$E$8="הכל",'לוח בקרה טכנו-מבצעי'!$E$8="",מלאי!W325='לוח בקרה טכנו-מבצעי'!$E$8),OR('לוח בקרה טכנו-מבצעי'!$E$9="הכל",'לוח בקרה טכנו-מבצעי'!$E$9="",ISNUMBER(SEARCH('לוח בקרה טכנו-מבצעי'!$E$9,מלאי!C325))),OR('לוח בקרה טכנו-מבצעי'!$B$10="הכל",מלאי!#REF!='לוח בקרה טכנו-מבצעי'!$B$10)),1,0)</f>
        <v>#REF!</v>
      </c>
      <c r="AF325" t="str">
        <f>IF(AD325=1,COUNTIF($AD$3:$AD325,1),"")</f>
        <v/>
      </c>
      <c r="AG325" t="e">
        <f>IF(AE325=1,COUNTIF($AE$3:$AE325,1),"")</f>
        <v>#REF!</v>
      </c>
    </row>
    <row r="326" spans="1:33" ht="15" customHeight="1" x14ac:dyDescent="0.25">
      <c r="A326" s="17"/>
      <c r="B326" s="17"/>
      <c r="C326" s="17"/>
      <c r="D326" s="17"/>
      <c r="E326" s="17" t="str">
        <f>IFERROR(INDEX(הגדרות!$I$2:$I$47,MATCH(B326,הגדרות!$H$2:$H$47,0)),"")</f>
        <v/>
      </c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t="str">
        <f>IFERROR(INDEX(הגדרות!$B$2:$B$17,MATCH(H326,הגדרות!$A$2:$A$17,0)),"")</f>
        <v/>
      </c>
      <c r="AA326" t="str">
        <f>IFERROR(INDEX(הגדרות!$C$2:$C$17,MATCH(H326,הגדרות!$A$2:$A$17,0)),"")</f>
        <v/>
      </c>
      <c r="AB326" t="str">
        <f>IFERROR(INDEX(הגדרות!$B$2:$B$17,MATCH(I326,הגדרות!$A$2:$A$17,0)),"")</f>
        <v/>
      </c>
      <c r="AC326" t="str">
        <f>IFERROR(INDEX(הגדרות!$C$2:$C$17,MATCH(I326,הגדרות!$A$2:$A$17,0)),"")</f>
        <v/>
      </c>
      <c r="AD326">
        <f>IF(AND(מלאי!D326&lt;&gt;"",OR('לוח בקרה'!$B$4="הכל",מלאי!Z326='לוח בקרה'!$B$4,מלאי!AA326='לוח בקרה'!$B$4,מלאי!AB326='לוח בקרה'!$B$4,מלאי!AC326='לוח בקרה'!$B$4),OR('לוח בקרה'!$B$5="הכל",מלאי!A326='לוח בקרה'!$B$5),OR('לוח בקרה'!$B$6="הכל",מלאי!B326='לוח בקרה'!$B$6),OR('לוח בקרה'!$B$7="הכל",מלאי!F326='לוח בקרה'!$B$7,מלאי!G326='לוח בקרה'!$B$7),OR('לוח בקרה'!$B$8="הכל",מלאי!T326='לוח בקרה'!$B$8),OR('לוח בקרה'!$B$9="הכל",מלאי!Q326='לוח בקרה'!$B$9),OR('לוח בקרה'!$E$4="הכל",מלאי!J326='לוח בקרה'!$E$4),OR('לוח בקרה'!$E$5="הכל",מלאי!L326='לוח בקרה'!$E$5),OR('לוח בקרה'!$E$6="הכל",מלאי!O326='לוח בקרה'!$E$6),OR('לוח בקרה'!$E$7="הכל",מלאי!R326='לוח בקרה'!$E$7),OR('לוח בקרה'!$E$8="הכל",'לוח בקרה'!$E$8="",מלאי!W326='לוח בקרה'!$E$8),OR('לוח בקרה'!$E$9="הכל",'לוח בקרה'!$E$9="",ISNUMBER(SEARCH('לוח בקרה'!$E$9,מלאי!C326)))),1,0)</f>
        <v>0</v>
      </c>
      <c r="AE326" t="e">
        <f>IF(AND(מלאי!D326&lt;&gt;"",OR('לוח בקרה טכנו-מבצעי'!$B$4="הכל",מלאי!Z326='לוח בקרה טכנו-מבצעי'!$B$4,מלאי!AA326='לוח בקרה טכנו-מבצעי'!$B$4,מלאי!AB326='לוח בקרה טכנו-מבצעי'!$B$4,מלאי!AC326='לוח בקרה טכנו-מבצעי'!$B$4),OR('לוח בקרה טכנו-מבצעי'!$B$5="הכל",מלאי!A326='לוח בקרה טכנו-מבצעי'!$B$5),OR('לוח בקרה טכנו-מבצעי'!$B$6="הכל",מלאי!B326='לוח בקרה טכנו-מבצעי'!$B$6),OR('לוח בקרה טכנו-מבצעי'!$B$7="הכל",מלאי!F326='לוח בקרה טכנו-מבצעי'!$B$7,מלאי!G326='לוח בקרה טכנו-מבצעי'!$B$7),OR('לוח בקרה טכנו-מבצעי'!$B$8="הכל",מלאי!T326='לוח בקרה טכנו-מבצעי'!$B$8),OR('לוח בקרה טכנו-מבצעי'!$B$9="הכל",מלאי!Q326='לוח בקרה טכנו-מבצעי'!$B$9),OR('לוח בקרה טכנו-מבצעי'!$E$4="הכל",מלאי!J326='לוח בקרה טכנו-מבצעי'!$E$4),OR('לוח בקרה טכנו-מבצעי'!$E$5="הכל",מלאי!L326='לוח בקרה טכנו-מבצעי'!$E$5),OR('לוח בקרה טכנו-מבצעי'!$E$6="הכל",מלאי!O326='לוח בקרה טכנו-מבצעי'!$E$6),OR('לוח בקרה טכנו-מבצעי'!$E$7="הכל",מלאי!R326='לוח בקרה טכנו-מבצעי'!$E$7),OR('לוח בקרה טכנו-מבצעי'!$E$8="הכל",'לוח בקרה טכנו-מבצעי'!$E$8="",מלאי!W326='לוח בקרה טכנו-מבצעי'!$E$8),OR('לוח בקרה טכנו-מבצעי'!$E$9="הכל",'לוח בקרה טכנו-מבצעי'!$E$9="",ISNUMBER(SEARCH('לוח בקרה טכנו-מבצעי'!$E$9,מלאי!C326))),OR('לוח בקרה טכנו-מבצעי'!$B$10="הכל",מלאי!#REF!='לוח בקרה טכנו-מבצעי'!$B$10)),1,0)</f>
        <v>#REF!</v>
      </c>
      <c r="AF326" t="str">
        <f>IF(AD326=1,COUNTIF($AD$3:$AD326,1),"")</f>
        <v/>
      </c>
      <c r="AG326" t="e">
        <f>IF(AE326=1,COUNTIF($AE$3:$AE326,1),"")</f>
        <v>#REF!</v>
      </c>
    </row>
    <row r="327" spans="1:33" ht="15" customHeight="1" x14ac:dyDescent="0.25">
      <c r="A327" s="19"/>
      <c r="B327" s="19"/>
      <c r="C327" s="19"/>
      <c r="D327" s="19"/>
      <c r="E327" s="19" t="str">
        <f>IFERROR(INDEX(הגדרות!$I$2:$I$47,MATCH(B327,הגדרות!$H$2:$H$47,0)),"")</f>
        <v/>
      </c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t="str">
        <f>IFERROR(INDEX(הגדרות!$B$2:$B$17,MATCH(H327,הגדרות!$A$2:$A$17,0)),"")</f>
        <v/>
      </c>
      <c r="AA327" t="str">
        <f>IFERROR(INDEX(הגדרות!$C$2:$C$17,MATCH(H327,הגדרות!$A$2:$A$17,0)),"")</f>
        <v/>
      </c>
      <c r="AB327" t="str">
        <f>IFERROR(INDEX(הגדרות!$B$2:$B$17,MATCH(I327,הגדרות!$A$2:$A$17,0)),"")</f>
        <v/>
      </c>
      <c r="AC327" t="str">
        <f>IFERROR(INDEX(הגדרות!$C$2:$C$17,MATCH(I327,הגדרות!$A$2:$A$17,0)),"")</f>
        <v/>
      </c>
      <c r="AD327">
        <f>IF(AND(מלאי!D327&lt;&gt;"",OR('לוח בקרה'!$B$4="הכל",מלאי!Z327='לוח בקרה'!$B$4,מלאי!AA327='לוח בקרה'!$B$4,מלאי!AB327='לוח בקרה'!$B$4,מלאי!AC327='לוח בקרה'!$B$4),OR('לוח בקרה'!$B$5="הכל",מלאי!A327='לוח בקרה'!$B$5),OR('לוח בקרה'!$B$6="הכל",מלאי!B327='לוח בקרה'!$B$6),OR('לוח בקרה'!$B$7="הכל",מלאי!F327='לוח בקרה'!$B$7,מלאי!G327='לוח בקרה'!$B$7),OR('לוח בקרה'!$B$8="הכל",מלאי!T327='לוח בקרה'!$B$8),OR('לוח בקרה'!$B$9="הכל",מלאי!Q327='לוח בקרה'!$B$9),OR('לוח בקרה'!$E$4="הכל",מלאי!J327='לוח בקרה'!$E$4),OR('לוח בקרה'!$E$5="הכל",מלאי!L327='לוח בקרה'!$E$5),OR('לוח בקרה'!$E$6="הכל",מלאי!O327='לוח בקרה'!$E$6),OR('לוח בקרה'!$E$7="הכל",מלאי!R327='לוח בקרה'!$E$7),OR('לוח בקרה'!$E$8="הכל",'לוח בקרה'!$E$8="",מלאי!W327='לוח בקרה'!$E$8),OR('לוח בקרה'!$E$9="הכל",'לוח בקרה'!$E$9="",ISNUMBER(SEARCH('לוח בקרה'!$E$9,מלאי!C327)))),1,0)</f>
        <v>0</v>
      </c>
      <c r="AE327" t="e">
        <f>IF(AND(מלאי!D327&lt;&gt;"",OR('לוח בקרה טכנו-מבצעי'!$B$4="הכל",מלאי!Z327='לוח בקרה טכנו-מבצעי'!$B$4,מלאי!AA327='לוח בקרה טכנו-מבצעי'!$B$4,מלאי!AB327='לוח בקרה טכנו-מבצעי'!$B$4,מלאי!AC327='לוח בקרה טכנו-מבצעי'!$B$4),OR('לוח בקרה טכנו-מבצעי'!$B$5="הכל",מלאי!A327='לוח בקרה טכנו-מבצעי'!$B$5),OR('לוח בקרה טכנו-מבצעי'!$B$6="הכל",מלאי!B327='לוח בקרה טכנו-מבצעי'!$B$6),OR('לוח בקרה טכנו-מבצעי'!$B$7="הכל",מלאי!F327='לוח בקרה טכנו-מבצעי'!$B$7,מלאי!G327='לוח בקרה טכנו-מבצעי'!$B$7),OR('לוח בקרה טכנו-מבצעי'!$B$8="הכל",מלאי!T327='לוח בקרה טכנו-מבצעי'!$B$8),OR('לוח בקרה טכנו-מבצעי'!$B$9="הכל",מלאי!Q327='לוח בקרה טכנו-מבצעי'!$B$9),OR('לוח בקרה טכנו-מבצעי'!$E$4="הכל",מלאי!J327='לוח בקרה טכנו-מבצעי'!$E$4),OR('לוח בקרה טכנו-מבצעי'!$E$5="הכל",מלאי!L327='לוח בקרה טכנו-מבצעי'!$E$5),OR('לוח בקרה טכנו-מבצעי'!$E$6="הכל",מלאי!O327='לוח בקרה טכנו-מבצעי'!$E$6),OR('לוח בקרה טכנו-מבצעי'!$E$7="הכל",מלאי!R327='לוח בקרה טכנו-מבצעי'!$E$7),OR('לוח בקרה טכנו-מבצעי'!$E$8="הכל",'לוח בקרה טכנו-מבצעי'!$E$8="",מלאי!W327='לוח בקרה טכנו-מבצעי'!$E$8),OR('לוח בקרה טכנו-מבצעי'!$E$9="הכל",'לוח בקרה טכנו-מבצעי'!$E$9="",ISNUMBER(SEARCH('לוח בקרה טכנו-מבצעי'!$E$9,מלאי!C327))),OR('לוח בקרה טכנו-מבצעי'!$B$10="הכל",מלאי!#REF!='לוח בקרה טכנו-מבצעי'!$B$10)),1,0)</f>
        <v>#REF!</v>
      </c>
      <c r="AF327" t="str">
        <f>IF(AD327=1,COUNTIF($AD$3:$AD327,1),"")</f>
        <v/>
      </c>
      <c r="AG327" t="e">
        <f>IF(AE327=1,COUNTIF($AE$3:$AE327,1),"")</f>
        <v>#REF!</v>
      </c>
    </row>
    <row r="328" spans="1:33" ht="15" customHeight="1" x14ac:dyDescent="0.25">
      <c r="A328" s="17"/>
      <c r="B328" s="17"/>
      <c r="C328" s="17"/>
      <c r="D328" s="17"/>
      <c r="E328" s="17" t="str">
        <f>IFERROR(INDEX(הגדרות!$I$2:$I$47,MATCH(B328,הגדרות!$H$2:$H$47,0)),"")</f>
        <v/>
      </c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t="str">
        <f>IFERROR(INDEX(הגדרות!$B$2:$B$17,MATCH(H328,הגדרות!$A$2:$A$17,0)),"")</f>
        <v/>
      </c>
      <c r="AA328" t="str">
        <f>IFERROR(INDEX(הגדרות!$C$2:$C$17,MATCH(H328,הגדרות!$A$2:$A$17,0)),"")</f>
        <v/>
      </c>
      <c r="AB328" t="str">
        <f>IFERROR(INDEX(הגדרות!$B$2:$B$17,MATCH(I328,הגדרות!$A$2:$A$17,0)),"")</f>
        <v/>
      </c>
      <c r="AC328" t="str">
        <f>IFERROR(INDEX(הגדרות!$C$2:$C$17,MATCH(I328,הגדרות!$A$2:$A$17,0)),"")</f>
        <v/>
      </c>
      <c r="AD328">
        <f>IF(AND(מלאי!D328&lt;&gt;"",OR('לוח בקרה'!$B$4="הכל",מלאי!Z328='לוח בקרה'!$B$4,מלאי!AA328='לוח בקרה'!$B$4,מלאי!AB328='לוח בקרה'!$B$4,מלאי!AC328='לוח בקרה'!$B$4),OR('לוח בקרה'!$B$5="הכל",מלאי!A328='לוח בקרה'!$B$5),OR('לוח בקרה'!$B$6="הכל",מלאי!B328='לוח בקרה'!$B$6),OR('לוח בקרה'!$B$7="הכל",מלאי!F328='לוח בקרה'!$B$7,מלאי!G328='לוח בקרה'!$B$7),OR('לוח בקרה'!$B$8="הכל",מלאי!T328='לוח בקרה'!$B$8),OR('לוח בקרה'!$B$9="הכל",מלאי!Q328='לוח בקרה'!$B$9),OR('לוח בקרה'!$E$4="הכל",מלאי!J328='לוח בקרה'!$E$4),OR('לוח בקרה'!$E$5="הכל",מלאי!L328='לוח בקרה'!$E$5),OR('לוח בקרה'!$E$6="הכל",מלאי!O328='לוח בקרה'!$E$6),OR('לוח בקרה'!$E$7="הכל",מלאי!R328='לוח בקרה'!$E$7),OR('לוח בקרה'!$E$8="הכל",'לוח בקרה'!$E$8="",מלאי!W328='לוח בקרה'!$E$8),OR('לוח בקרה'!$E$9="הכל",'לוח בקרה'!$E$9="",ISNUMBER(SEARCH('לוח בקרה'!$E$9,מלאי!C328)))),1,0)</f>
        <v>0</v>
      </c>
      <c r="AE328" t="e">
        <f>IF(AND(מלאי!D328&lt;&gt;"",OR('לוח בקרה טכנו-מבצעי'!$B$4="הכל",מלאי!Z328='לוח בקרה טכנו-מבצעי'!$B$4,מלאי!AA328='לוח בקרה טכנו-מבצעי'!$B$4,מלאי!AB328='לוח בקרה טכנו-מבצעי'!$B$4,מלאי!AC328='לוח בקרה טכנו-מבצעי'!$B$4),OR('לוח בקרה טכנו-מבצעי'!$B$5="הכל",מלאי!A328='לוח בקרה טכנו-מבצעי'!$B$5),OR('לוח בקרה טכנו-מבצעי'!$B$6="הכל",מלאי!B328='לוח בקרה טכנו-מבצעי'!$B$6),OR('לוח בקרה טכנו-מבצעי'!$B$7="הכל",מלאי!F328='לוח בקרה טכנו-מבצעי'!$B$7,מלאי!G328='לוח בקרה טכנו-מבצעי'!$B$7),OR('לוח בקרה טכנו-מבצעי'!$B$8="הכל",מלאי!T328='לוח בקרה טכנו-מבצעי'!$B$8),OR('לוח בקרה טכנו-מבצעי'!$B$9="הכל",מלאי!Q328='לוח בקרה טכנו-מבצעי'!$B$9),OR('לוח בקרה טכנו-מבצעי'!$E$4="הכל",מלאי!J328='לוח בקרה טכנו-מבצעי'!$E$4),OR('לוח בקרה טכנו-מבצעי'!$E$5="הכל",מלאי!L328='לוח בקרה טכנו-מבצעי'!$E$5),OR('לוח בקרה טכנו-מבצעי'!$E$6="הכל",מלאי!O328='לוח בקרה טכנו-מבצעי'!$E$6),OR('לוח בקרה טכנו-מבצעי'!$E$7="הכל",מלאי!R328='לוח בקרה טכנו-מבצעי'!$E$7),OR('לוח בקרה טכנו-מבצעי'!$E$8="הכל",'לוח בקרה טכנו-מבצעי'!$E$8="",מלאי!W328='לוח בקרה טכנו-מבצעי'!$E$8),OR('לוח בקרה טכנו-מבצעי'!$E$9="הכל",'לוח בקרה טכנו-מבצעי'!$E$9="",ISNUMBER(SEARCH('לוח בקרה טכנו-מבצעי'!$E$9,מלאי!C328))),OR('לוח בקרה טכנו-מבצעי'!$B$10="הכל",מלאי!#REF!='לוח בקרה טכנו-מבצעי'!$B$10)),1,0)</f>
        <v>#REF!</v>
      </c>
      <c r="AF328" t="str">
        <f>IF(AD328=1,COUNTIF($AD$3:$AD328,1),"")</f>
        <v/>
      </c>
      <c r="AG328" t="e">
        <f>IF(AE328=1,COUNTIF($AE$3:$AE328,1),"")</f>
        <v>#REF!</v>
      </c>
    </row>
    <row r="329" spans="1:33" ht="15" customHeight="1" x14ac:dyDescent="0.25">
      <c r="A329" s="19"/>
      <c r="B329" s="19"/>
      <c r="C329" s="19"/>
      <c r="D329" s="19"/>
      <c r="E329" s="19" t="str">
        <f>IFERROR(INDEX(הגדרות!$I$2:$I$47,MATCH(B329,הגדרות!$H$2:$H$47,0)),"")</f>
        <v/>
      </c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t="str">
        <f>IFERROR(INDEX(הגדרות!$B$2:$B$17,MATCH(H329,הגדרות!$A$2:$A$17,0)),"")</f>
        <v/>
      </c>
      <c r="AA329" t="str">
        <f>IFERROR(INDEX(הגדרות!$C$2:$C$17,MATCH(H329,הגדרות!$A$2:$A$17,0)),"")</f>
        <v/>
      </c>
      <c r="AB329" t="str">
        <f>IFERROR(INDEX(הגדרות!$B$2:$B$17,MATCH(I329,הגדרות!$A$2:$A$17,0)),"")</f>
        <v/>
      </c>
      <c r="AC329" t="str">
        <f>IFERROR(INDEX(הגדרות!$C$2:$C$17,MATCH(I329,הגדרות!$A$2:$A$17,0)),"")</f>
        <v/>
      </c>
      <c r="AD329">
        <f>IF(AND(מלאי!D329&lt;&gt;"",OR('לוח בקרה'!$B$4="הכל",מלאי!Z329='לוח בקרה'!$B$4,מלאי!AA329='לוח בקרה'!$B$4,מלאי!AB329='לוח בקרה'!$B$4,מלאי!AC329='לוח בקרה'!$B$4),OR('לוח בקרה'!$B$5="הכל",מלאי!A329='לוח בקרה'!$B$5),OR('לוח בקרה'!$B$6="הכל",מלאי!B329='לוח בקרה'!$B$6),OR('לוח בקרה'!$B$7="הכל",מלאי!F329='לוח בקרה'!$B$7,מלאי!G329='לוח בקרה'!$B$7),OR('לוח בקרה'!$B$8="הכל",מלאי!T329='לוח בקרה'!$B$8),OR('לוח בקרה'!$B$9="הכל",מלאי!Q329='לוח בקרה'!$B$9),OR('לוח בקרה'!$E$4="הכל",מלאי!J329='לוח בקרה'!$E$4),OR('לוח בקרה'!$E$5="הכל",מלאי!L329='לוח בקרה'!$E$5),OR('לוח בקרה'!$E$6="הכל",מלאי!O329='לוח בקרה'!$E$6),OR('לוח בקרה'!$E$7="הכל",מלאי!R329='לוח בקרה'!$E$7),OR('לוח בקרה'!$E$8="הכל",'לוח בקרה'!$E$8="",מלאי!W329='לוח בקרה'!$E$8),OR('לוח בקרה'!$E$9="הכל",'לוח בקרה'!$E$9="",ISNUMBER(SEARCH('לוח בקרה'!$E$9,מלאי!C329)))),1,0)</f>
        <v>0</v>
      </c>
      <c r="AE329" t="e">
        <f>IF(AND(מלאי!D329&lt;&gt;"",OR('לוח בקרה טכנו-מבצעי'!$B$4="הכל",מלאי!Z329='לוח בקרה טכנו-מבצעי'!$B$4,מלאי!AA329='לוח בקרה טכנו-מבצעי'!$B$4,מלאי!AB329='לוח בקרה טכנו-מבצעי'!$B$4,מלאי!AC329='לוח בקרה טכנו-מבצעי'!$B$4),OR('לוח בקרה טכנו-מבצעי'!$B$5="הכל",מלאי!A329='לוח בקרה טכנו-מבצעי'!$B$5),OR('לוח בקרה טכנו-מבצעי'!$B$6="הכל",מלאי!B329='לוח בקרה טכנו-מבצעי'!$B$6),OR('לוח בקרה טכנו-מבצעי'!$B$7="הכל",מלאי!F329='לוח בקרה טכנו-מבצעי'!$B$7,מלאי!G329='לוח בקרה טכנו-מבצעי'!$B$7),OR('לוח בקרה טכנו-מבצעי'!$B$8="הכל",מלאי!T329='לוח בקרה טכנו-מבצעי'!$B$8),OR('לוח בקרה טכנו-מבצעי'!$B$9="הכל",מלאי!Q329='לוח בקרה טכנו-מבצעי'!$B$9),OR('לוח בקרה טכנו-מבצעי'!$E$4="הכל",מלאי!J329='לוח בקרה טכנו-מבצעי'!$E$4),OR('לוח בקרה טכנו-מבצעי'!$E$5="הכל",מלאי!L329='לוח בקרה טכנו-מבצעי'!$E$5),OR('לוח בקרה טכנו-מבצעי'!$E$6="הכל",מלאי!O329='לוח בקרה טכנו-מבצעי'!$E$6),OR('לוח בקרה טכנו-מבצעי'!$E$7="הכל",מלאי!R329='לוח בקרה טכנו-מבצעי'!$E$7),OR('לוח בקרה טכנו-מבצעי'!$E$8="הכל",'לוח בקרה טכנו-מבצעי'!$E$8="",מלאי!W329='לוח בקרה טכנו-מבצעי'!$E$8),OR('לוח בקרה טכנו-מבצעי'!$E$9="הכל",'לוח בקרה טכנו-מבצעי'!$E$9="",ISNUMBER(SEARCH('לוח בקרה טכנו-מבצעי'!$E$9,מלאי!C329))),OR('לוח בקרה טכנו-מבצעי'!$B$10="הכל",מלאי!#REF!='לוח בקרה טכנו-מבצעי'!$B$10)),1,0)</f>
        <v>#REF!</v>
      </c>
      <c r="AF329" t="str">
        <f>IF(AD329=1,COUNTIF($AD$3:$AD329,1),"")</f>
        <v/>
      </c>
      <c r="AG329" t="e">
        <f>IF(AE329=1,COUNTIF($AE$3:$AE329,1),"")</f>
        <v>#REF!</v>
      </c>
    </row>
    <row r="330" spans="1:33" ht="15" customHeight="1" x14ac:dyDescent="0.25">
      <c r="A330" s="17"/>
      <c r="B330" s="17"/>
      <c r="C330" s="17"/>
      <c r="D330" s="17"/>
      <c r="E330" s="17" t="str">
        <f>IFERROR(INDEX(הגדרות!$I$2:$I$47,MATCH(B330,הגדרות!$H$2:$H$47,0)),"")</f>
        <v/>
      </c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t="str">
        <f>IFERROR(INDEX(הגדרות!$B$2:$B$17,MATCH(H330,הגדרות!$A$2:$A$17,0)),"")</f>
        <v/>
      </c>
      <c r="AA330" t="str">
        <f>IFERROR(INDEX(הגדרות!$C$2:$C$17,MATCH(H330,הגדרות!$A$2:$A$17,0)),"")</f>
        <v/>
      </c>
      <c r="AB330" t="str">
        <f>IFERROR(INDEX(הגדרות!$B$2:$B$17,MATCH(I330,הגדרות!$A$2:$A$17,0)),"")</f>
        <v/>
      </c>
      <c r="AC330" t="str">
        <f>IFERROR(INDEX(הגדרות!$C$2:$C$17,MATCH(I330,הגדרות!$A$2:$A$17,0)),"")</f>
        <v/>
      </c>
      <c r="AD330">
        <f>IF(AND(מלאי!D330&lt;&gt;"",OR('לוח בקרה'!$B$4="הכל",מלאי!Z330='לוח בקרה'!$B$4,מלאי!AA330='לוח בקרה'!$B$4,מלאי!AB330='לוח בקרה'!$B$4,מלאי!AC330='לוח בקרה'!$B$4),OR('לוח בקרה'!$B$5="הכל",מלאי!A330='לוח בקרה'!$B$5),OR('לוח בקרה'!$B$6="הכל",מלאי!B330='לוח בקרה'!$B$6),OR('לוח בקרה'!$B$7="הכל",מלאי!F330='לוח בקרה'!$B$7,מלאי!G330='לוח בקרה'!$B$7),OR('לוח בקרה'!$B$8="הכל",מלאי!T330='לוח בקרה'!$B$8),OR('לוח בקרה'!$B$9="הכל",מלאי!Q330='לוח בקרה'!$B$9),OR('לוח בקרה'!$E$4="הכל",מלאי!J330='לוח בקרה'!$E$4),OR('לוח בקרה'!$E$5="הכל",מלאי!L330='לוח בקרה'!$E$5),OR('לוח בקרה'!$E$6="הכל",מלאי!O330='לוח בקרה'!$E$6),OR('לוח בקרה'!$E$7="הכל",מלאי!R330='לוח בקרה'!$E$7),OR('לוח בקרה'!$E$8="הכל",'לוח בקרה'!$E$8="",מלאי!W330='לוח בקרה'!$E$8),OR('לוח בקרה'!$E$9="הכל",'לוח בקרה'!$E$9="",ISNUMBER(SEARCH('לוח בקרה'!$E$9,מלאי!C330)))),1,0)</f>
        <v>0</v>
      </c>
      <c r="AE330" t="e">
        <f>IF(AND(מלאי!D330&lt;&gt;"",OR('לוח בקרה טכנו-מבצעי'!$B$4="הכל",מלאי!Z330='לוח בקרה טכנו-מבצעי'!$B$4,מלאי!AA330='לוח בקרה טכנו-מבצעי'!$B$4,מלאי!AB330='לוח בקרה טכנו-מבצעי'!$B$4,מלאי!AC330='לוח בקרה טכנו-מבצעי'!$B$4),OR('לוח בקרה טכנו-מבצעי'!$B$5="הכל",מלאי!A330='לוח בקרה טכנו-מבצעי'!$B$5),OR('לוח בקרה טכנו-מבצעי'!$B$6="הכל",מלאי!B330='לוח בקרה טכנו-מבצעי'!$B$6),OR('לוח בקרה טכנו-מבצעי'!$B$7="הכל",מלאי!F330='לוח בקרה טכנו-מבצעי'!$B$7,מלאי!G330='לוח בקרה טכנו-מבצעי'!$B$7),OR('לוח בקרה טכנו-מבצעי'!$B$8="הכל",מלאי!T330='לוח בקרה טכנו-מבצעי'!$B$8),OR('לוח בקרה טכנו-מבצעי'!$B$9="הכל",מלאי!Q330='לוח בקרה טכנו-מבצעי'!$B$9),OR('לוח בקרה טכנו-מבצעי'!$E$4="הכל",מלאי!J330='לוח בקרה טכנו-מבצעי'!$E$4),OR('לוח בקרה טכנו-מבצעי'!$E$5="הכל",מלאי!L330='לוח בקרה טכנו-מבצעי'!$E$5),OR('לוח בקרה טכנו-מבצעי'!$E$6="הכל",מלאי!O330='לוח בקרה טכנו-מבצעי'!$E$6),OR('לוח בקרה טכנו-מבצעי'!$E$7="הכל",מלאי!R330='לוח בקרה טכנו-מבצעי'!$E$7),OR('לוח בקרה טכנו-מבצעי'!$E$8="הכל",'לוח בקרה טכנו-מבצעי'!$E$8="",מלאי!W330='לוח בקרה טכנו-מבצעי'!$E$8),OR('לוח בקרה טכנו-מבצעי'!$E$9="הכל",'לוח בקרה טכנו-מבצעי'!$E$9="",ISNUMBER(SEARCH('לוח בקרה טכנו-מבצעי'!$E$9,מלאי!C330))),OR('לוח בקרה טכנו-מבצעי'!$B$10="הכל",מלאי!#REF!='לוח בקרה טכנו-מבצעי'!$B$10)),1,0)</f>
        <v>#REF!</v>
      </c>
      <c r="AF330" t="str">
        <f>IF(AD330=1,COUNTIF($AD$3:$AD330,1),"")</f>
        <v/>
      </c>
      <c r="AG330" t="e">
        <f>IF(AE330=1,COUNTIF($AE$3:$AE330,1),"")</f>
        <v>#REF!</v>
      </c>
    </row>
    <row r="331" spans="1:33" ht="15" customHeight="1" x14ac:dyDescent="0.25">
      <c r="A331" s="19"/>
      <c r="B331" s="19"/>
      <c r="C331" s="19"/>
      <c r="D331" s="19"/>
      <c r="E331" s="19" t="str">
        <f>IFERROR(INDEX(הגדרות!$I$2:$I$47,MATCH(B331,הגדרות!$H$2:$H$47,0)),"")</f>
        <v/>
      </c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t="str">
        <f>IFERROR(INDEX(הגדרות!$B$2:$B$17,MATCH(H331,הגדרות!$A$2:$A$17,0)),"")</f>
        <v/>
      </c>
      <c r="AA331" t="str">
        <f>IFERROR(INDEX(הגדרות!$C$2:$C$17,MATCH(H331,הגדרות!$A$2:$A$17,0)),"")</f>
        <v/>
      </c>
      <c r="AB331" t="str">
        <f>IFERROR(INDEX(הגדרות!$B$2:$B$17,MATCH(I331,הגדרות!$A$2:$A$17,0)),"")</f>
        <v/>
      </c>
      <c r="AC331" t="str">
        <f>IFERROR(INDEX(הגדרות!$C$2:$C$17,MATCH(I331,הגדרות!$A$2:$A$17,0)),"")</f>
        <v/>
      </c>
      <c r="AD331">
        <f>IF(AND(מלאי!D331&lt;&gt;"",OR('לוח בקרה'!$B$4="הכל",מלאי!Z331='לוח בקרה'!$B$4,מלאי!AA331='לוח בקרה'!$B$4,מלאי!AB331='לוח בקרה'!$B$4,מלאי!AC331='לוח בקרה'!$B$4),OR('לוח בקרה'!$B$5="הכל",מלאי!A331='לוח בקרה'!$B$5),OR('לוח בקרה'!$B$6="הכל",מלאי!B331='לוח בקרה'!$B$6),OR('לוח בקרה'!$B$7="הכל",מלאי!F331='לוח בקרה'!$B$7,מלאי!G331='לוח בקרה'!$B$7),OR('לוח בקרה'!$B$8="הכל",מלאי!T331='לוח בקרה'!$B$8),OR('לוח בקרה'!$B$9="הכל",מלאי!Q331='לוח בקרה'!$B$9),OR('לוח בקרה'!$E$4="הכל",מלאי!J331='לוח בקרה'!$E$4),OR('לוח בקרה'!$E$5="הכל",מלאי!L331='לוח בקרה'!$E$5),OR('לוח בקרה'!$E$6="הכל",מלאי!O331='לוח בקרה'!$E$6),OR('לוח בקרה'!$E$7="הכל",מלאי!R331='לוח בקרה'!$E$7),OR('לוח בקרה'!$E$8="הכל",'לוח בקרה'!$E$8="",מלאי!W331='לוח בקרה'!$E$8),OR('לוח בקרה'!$E$9="הכל",'לוח בקרה'!$E$9="",ISNUMBER(SEARCH('לוח בקרה'!$E$9,מלאי!C331)))),1,0)</f>
        <v>0</v>
      </c>
      <c r="AE331" t="e">
        <f>IF(AND(מלאי!D331&lt;&gt;"",OR('לוח בקרה טכנו-מבצעי'!$B$4="הכל",מלאי!Z331='לוח בקרה טכנו-מבצעי'!$B$4,מלאי!AA331='לוח בקרה טכנו-מבצעי'!$B$4,מלאי!AB331='לוח בקרה טכנו-מבצעי'!$B$4,מלאי!AC331='לוח בקרה טכנו-מבצעי'!$B$4),OR('לוח בקרה טכנו-מבצעי'!$B$5="הכל",מלאי!A331='לוח בקרה טכנו-מבצעי'!$B$5),OR('לוח בקרה טכנו-מבצעי'!$B$6="הכל",מלאי!B331='לוח בקרה טכנו-מבצעי'!$B$6),OR('לוח בקרה טכנו-מבצעי'!$B$7="הכל",מלאי!F331='לוח בקרה טכנו-מבצעי'!$B$7,מלאי!G331='לוח בקרה טכנו-מבצעי'!$B$7),OR('לוח בקרה טכנו-מבצעי'!$B$8="הכל",מלאי!T331='לוח בקרה טכנו-מבצעי'!$B$8),OR('לוח בקרה טכנו-מבצעי'!$B$9="הכל",מלאי!Q331='לוח בקרה טכנו-מבצעי'!$B$9),OR('לוח בקרה טכנו-מבצעי'!$E$4="הכל",מלאי!J331='לוח בקרה טכנו-מבצעי'!$E$4),OR('לוח בקרה טכנו-מבצעי'!$E$5="הכל",מלאי!L331='לוח בקרה טכנו-מבצעי'!$E$5),OR('לוח בקרה טכנו-מבצעי'!$E$6="הכל",מלאי!O331='לוח בקרה טכנו-מבצעי'!$E$6),OR('לוח בקרה טכנו-מבצעי'!$E$7="הכל",מלאי!R331='לוח בקרה טכנו-מבצעי'!$E$7),OR('לוח בקרה טכנו-מבצעי'!$E$8="הכל",'לוח בקרה טכנו-מבצעי'!$E$8="",מלאי!W331='לוח בקרה טכנו-מבצעי'!$E$8),OR('לוח בקרה טכנו-מבצעי'!$E$9="הכל",'לוח בקרה טכנו-מבצעי'!$E$9="",ISNUMBER(SEARCH('לוח בקרה טכנו-מבצעי'!$E$9,מלאי!C331))),OR('לוח בקרה טכנו-מבצעי'!$B$10="הכל",מלאי!#REF!='לוח בקרה טכנו-מבצעי'!$B$10)),1,0)</f>
        <v>#REF!</v>
      </c>
      <c r="AF331" t="str">
        <f>IF(AD331=1,COUNTIF($AD$3:$AD331,1),"")</f>
        <v/>
      </c>
      <c r="AG331" t="e">
        <f>IF(AE331=1,COUNTIF($AE$3:$AE331,1),"")</f>
        <v>#REF!</v>
      </c>
    </row>
    <row r="332" spans="1:33" ht="15" customHeight="1" x14ac:dyDescent="0.25">
      <c r="A332" s="17"/>
      <c r="B332" s="17"/>
      <c r="C332" s="17"/>
      <c r="D332" s="17"/>
      <c r="E332" s="17" t="str">
        <f>IFERROR(INDEX(הגדרות!$I$2:$I$47,MATCH(B332,הגדרות!$H$2:$H$47,0)),"")</f>
        <v/>
      </c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t="str">
        <f>IFERROR(INDEX(הגדרות!$B$2:$B$17,MATCH(H332,הגדרות!$A$2:$A$17,0)),"")</f>
        <v/>
      </c>
      <c r="AA332" t="str">
        <f>IFERROR(INDEX(הגדרות!$C$2:$C$17,MATCH(H332,הגדרות!$A$2:$A$17,0)),"")</f>
        <v/>
      </c>
      <c r="AB332" t="str">
        <f>IFERROR(INDEX(הגדרות!$B$2:$B$17,MATCH(I332,הגדרות!$A$2:$A$17,0)),"")</f>
        <v/>
      </c>
      <c r="AC332" t="str">
        <f>IFERROR(INDEX(הגדרות!$C$2:$C$17,MATCH(I332,הגדרות!$A$2:$A$17,0)),"")</f>
        <v/>
      </c>
      <c r="AD332">
        <f>IF(AND(מלאי!D332&lt;&gt;"",OR('לוח בקרה'!$B$4="הכל",מלאי!Z332='לוח בקרה'!$B$4,מלאי!AA332='לוח בקרה'!$B$4,מלאי!AB332='לוח בקרה'!$B$4,מלאי!AC332='לוח בקרה'!$B$4),OR('לוח בקרה'!$B$5="הכל",מלאי!A332='לוח בקרה'!$B$5),OR('לוח בקרה'!$B$6="הכל",מלאי!B332='לוח בקרה'!$B$6),OR('לוח בקרה'!$B$7="הכל",מלאי!F332='לוח בקרה'!$B$7,מלאי!G332='לוח בקרה'!$B$7),OR('לוח בקרה'!$B$8="הכל",מלאי!T332='לוח בקרה'!$B$8),OR('לוח בקרה'!$B$9="הכל",מלאי!Q332='לוח בקרה'!$B$9),OR('לוח בקרה'!$E$4="הכל",מלאי!J332='לוח בקרה'!$E$4),OR('לוח בקרה'!$E$5="הכל",מלאי!L332='לוח בקרה'!$E$5),OR('לוח בקרה'!$E$6="הכל",מלאי!O332='לוח בקרה'!$E$6),OR('לוח בקרה'!$E$7="הכל",מלאי!R332='לוח בקרה'!$E$7),OR('לוח בקרה'!$E$8="הכל",'לוח בקרה'!$E$8="",מלאי!W332='לוח בקרה'!$E$8),OR('לוח בקרה'!$E$9="הכל",'לוח בקרה'!$E$9="",ISNUMBER(SEARCH('לוח בקרה'!$E$9,מלאי!C332)))),1,0)</f>
        <v>0</v>
      </c>
      <c r="AE332" t="e">
        <f>IF(AND(מלאי!D332&lt;&gt;"",OR('לוח בקרה טכנו-מבצעי'!$B$4="הכל",מלאי!Z332='לוח בקרה טכנו-מבצעי'!$B$4,מלאי!AA332='לוח בקרה טכנו-מבצעי'!$B$4,מלאי!AB332='לוח בקרה טכנו-מבצעי'!$B$4,מלאי!AC332='לוח בקרה טכנו-מבצעי'!$B$4),OR('לוח בקרה טכנו-מבצעי'!$B$5="הכל",מלאי!A332='לוח בקרה טכנו-מבצעי'!$B$5),OR('לוח בקרה טכנו-מבצעי'!$B$6="הכל",מלאי!B332='לוח בקרה טכנו-מבצעי'!$B$6),OR('לוח בקרה טכנו-מבצעי'!$B$7="הכל",מלאי!F332='לוח בקרה טכנו-מבצעי'!$B$7,מלאי!G332='לוח בקרה טכנו-מבצעי'!$B$7),OR('לוח בקרה טכנו-מבצעי'!$B$8="הכל",מלאי!T332='לוח בקרה טכנו-מבצעי'!$B$8),OR('לוח בקרה טכנו-מבצעי'!$B$9="הכל",מלאי!Q332='לוח בקרה טכנו-מבצעי'!$B$9),OR('לוח בקרה טכנו-מבצעי'!$E$4="הכל",מלאי!J332='לוח בקרה טכנו-מבצעי'!$E$4),OR('לוח בקרה טכנו-מבצעי'!$E$5="הכל",מלאי!L332='לוח בקרה טכנו-מבצעי'!$E$5),OR('לוח בקרה טכנו-מבצעי'!$E$6="הכל",מלאי!O332='לוח בקרה טכנו-מבצעי'!$E$6),OR('לוח בקרה טכנו-מבצעי'!$E$7="הכל",מלאי!R332='לוח בקרה טכנו-מבצעי'!$E$7),OR('לוח בקרה טכנו-מבצעי'!$E$8="הכל",'לוח בקרה טכנו-מבצעי'!$E$8="",מלאי!W332='לוח בקרה טכנו-מבצעי'!$E$8),OR('לוח בקרה טכנו-מבצעי'!$E$9="הכל",'לוח בקרה טכנו-מבצעי'!$E$9="",ISNUMBER(SEARCH('לוח בקרה טכנו-מבצעי'!$E$9,מלאי!C332))),OR('לוח בקרה טכנו-מבצעי'!$B$10="הכל",מלאי!#REF!='לוח בקרה טכנו-מבצעי'!$B$10)),1,0)</f>
        <v>#REF!</v>
      </c>
      <c r="AF332" t="str">
        <f>IF(AD332=1,COUNTIF($AD$3:$AD332,1),"")</f>
        <v/>
      </c>
      <c r="AG332" t="e">
        <f>IF(AE332=1,COUNTIF($AE$3:$AE332,1),"")</f>
        <v>#REF!</v>
      </c>
    </row>
    <row r="333" spans="1:33" ht="15" customHeight="1" x14ac:dyDescent="0.25">
      <c r="A333" s="19"/>
      <c r="B333" s="19"/>
      <c r="C333" s="19"/>
      <c r="D333" s="19"/>
      <c r="E333" s="19" t="str">
        <f>IFERROR(INDEX(הגדרות!$I$2:$I$47,MATCH(B333,הגדרות!$H$2:$H$47,0)),"")</f>
        <v/>
      </c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t="str">
        <f>IFERROR(INDEX(הגדרות!$B$2:$B$17,MATCH(H333,הגדרות!$A$2:$A$17,0)),"")</f>
        <v/>
      </c>
      <c r="AA333" t="str">
        <f>IFERROR(INDEX(הגדרות!$C$2:$C$17,MATCH(H333,הגדרות!$A$2:$A$17,0)),"")</f>
        <v/>
      </c>
      <c r="AB333" t="str">
        <f>IFERROR(INDEX(הגדרות!$B$2:$B$17,MATCH(I333,הגדרות!$A$2:$A$17,0)),"")</f>
        <v/>
      </c>
      <c r="AC333" t="str">
        <f>IFERROR(INDEX(הגדרות!$C$2:$C$17,MATCH(I333,הגדרות!$A$2:$A$17,0)),"")</f>
        <v/>
      </c>
      <c r="AD333">
        <f>IF(AND(מלאי!D333&lt;&gt;"",OR('לוח בקרה'!$B$4="הכל",מלאי!Z333='לוח בקרה'!$B$4,מלאי!AA333='לוח בקרה'!$B$4,מלאי!AB333='לוח בקרה'!$B$4,מלאי!AC333='לוח בקרה'!$B$4),OR('לוח בקרה'!$B$5="הכל",מלאי!A333='לוח בקרה'!$B$5),OR('לוח בקרה'!$B$6="הכל",מלאי!B333='לוח בקרה'!$B$6),OR('לוח בקרה'!$B$7="הכל",מלאי!F333='לוח בקרה'!$B$7,מלאי!G333='לוח בקרה'!$B$7),OR('לוח בקרה'!$B$8="הכל",מלאי!T333='לוח בקרה'!$B$8),OR('לוח בקרה'!$B$9="הכל",מלאי!Q333='לוח בקרה'!$B$9),OR('לוח בקרה'!$E$4="הכל",מלאי!J333='לוח בקרה'!$E$4),OR('לוח בקרה'!$E$5="הכל",מלאי!L333='לוח בקרה'!$E$5),OR('לוח בקרה'!$E$6="הכל",מלאי!O333='לוח בקרה'!$E$6),OR('לוח בקרה'!$E$7="הכל",מלאי!R333='לוח בקרה'!$E$7),OR('לוח בקרה'!$E$8="הכל",'לוח בקרה'!$E$8="",מלאי!W333='לוח בקרה'!$E$8),OR('לוח בקרה'!$E$9="הכל",'לוח בקרה'!$E$9="",ISNUMBER(SEARCH('לוח בקרה'!$E$9,מלאי!C333)))),1,0)</f>
        <v>0</v>
      </c>
      <c r="AE333" t="e">
        <f>IF(AND(מלאי!D333&lt;&gt;"",OR('לוח בקרה טכנו-מבצעי'!$B$4="הכל",מלאי!Z333='לוח בקרה טכנו-מבצעי'!$B$4,מלאי!AA333='לוח בקרה טכנו-מבצעי'!$B$4,מלאי!AB333='לוח בקרה טכנו-מבצעי'!$B$4,מלאי!AC333='לוח בקרה טכנו-מבצעי'!$B$4),OR('לוח בקרה טכנו-מבצעי'!$B$5="הכל",מלאי!A333='לוח בקרה טכנו-מבצעי'!$B$5),OR('לוח בקרה טכנו-מבצעי'!$B$6="הכל",מלאי!B333='לוח בקרה טכנו-מבצעי'!$B$6),OR('לוח בקרה טכנו-מבצעי'!$B$7="הכל",מלאי!F333='לוח בקרה טכנו-מבצעי'!$B$7,מלאי!G333='לוח בקרה טכנו-מבצעי'!$B$7),OR('לוח בקרה טכנו-מבצעי'!$B$8="הכל",מלאי!T333='לוח בקרה טכנו-מבצעי'!$B$8),OR('לוח בקרה טכנו-מבצעי'!$B$9="הכל",מלאי!Q333='לוח בקרה טכנו-מבצעי'!$B$9),OR('לוח בקרה טכנו-מבצעי'!$E$4="הכל",מלאי!J333='לוח בקרה טכנו-מבצעי'!$E$4),OR('לוח בקרה טכנו-מבצעי'!$E$5="הכל",מלאי!L333='לוח בקרה טכנו-מבצעי'!$E$5),OR('לוח בקרה טכנו-מבצעי'!$E$6="הכל",מלאי!O333='לוח בקרה טכנו-מבצעי'!$E$6),OR('לוח בקרה טכנו-מבצעי'!$E$7="הכל",מלאי!R333='לוח בקרה טכנו-מבצעי'!$E$7),OR('לוח בקרה טכנו-מבצעי'!$E$8="הכל",'לוח בקרה טכנו-מבצעי'!$E$8="",מלאי!W333='לוח בקרה טכנו-מבצעי'!$E$8),OR('לוח בקרה טכנו-מבצעי'!$E$9="הכל",'לוח בקרה טכנו-מבצעי'!$E$9="",ISNUMBER(SEARCH('לוח בקרה טכנו-מבצעי'!$E$9,מלאי!C333))),OR('לוח בקרה טכנו-מבצעי'!$B$10="הכל",מלאי!#REF!='לוח בקרה טכנו-מבצעי'!$B$10)),1,0)</f>
        <v>#REF!</v>
      </c>
      <c r="AF333" t="str">
        <f>IF(AD333=1,COUNTIF($AD$3:$AD333,1),"")</f>
        <v/>
      </c>
      <c r="AG333" t="e">
        <f>IF(AE333=1,COUNTIF($AE$3:$AE333,1),"")</f>
        <v>#REF!</v>
      </c>
    </row>
    <row r="334" spans="1:33" ht="15" customHeight="1" x14ac:dyDescent="0.25">
      <c r="A334" s="17"/>
      <c r="B334" s="17"/>
      <c r="C334" s="17"/>
      <c r="D334" s="17"/>
      <c r="E334" s="17" t="str">
        <f>IFERROR(INDEX(הגדרות!$I$2:$I$47,MATCH(B334,הגדרות!$H$2:$H$47,0)),"")</f>
        <v/>
      </c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t="str">
        <f>IFERROR(INDEX(הגדרות!$B$2:$B$17,MATCH(H334,הגדרות!$A$2:$A$17,0)),"")</f>
        <v/>
      </c>
      <c r="AA334" t="str">
        <f>IFERROR(INDEX(הגדרות!$C$2:$C$17,MATCH(H334,הגדרות!$A$2:$A$17,0)),"")</f>
        <v/>
      </c>
      <c r="AB334" t="str">
        <f>IFERROR(INDEX(הגדרות!$B$2:$B$17,MATCH(I334,הגדרות!$A$2:$A$17,0)),"")</f>
        <v/>
      </c>
      <c r="AC334" t="str">
        <f>IFERROR(INDEX(הגדרות!$C$2:$C$17,MATCH(I334,הגדרות!$A$2:$A$17,0)),"")</f>
        <v/>
      </c>
      <c r="AD334">
        <f>IF(AND(מלאי!D334&lt;&gt;"",OR('לוח בקרה'!$B$4="הכל",מלאי!Z334='לוח בקרה'!$B$4,מלאי!AA334='לוח בקרה'!$B$4,מלאי!AB334='לוח בקרה'!$B$4,מלאי!AC334='לוח בקרה'!$B$4),OR('לוח בקרה'!$B$5="הכל",מלאי!A334='לוח בקרה'!$B$5),OR('לוח בקרה'!$B$6="הכל",מלאי!B334='לוח בקרה'!$B$6),OR('לוח בקרה'!$B$7="הכל",מלאי!F334='לוח בקרה'!$B$7,מלאי!G334='לוח בקרה'!$B$7),OR('לוח בקרה'!$B$8="הכל",מלאי!T334='לוח בקרה'!$B$8),OR('לוח בקרה'!$B$9="הכל",מלאי!Q334='לוח בקרה'!$B$9),OR('לוח בקרה'!$E$4="הכל",מלאי!J334='לוח בקרה'!$E$4),OR('לוח בקרה'!$E$5="הכל",מלאי!L334='לוח בקרה'!$E$5),OR('לוח בקרה'!$E$6="הכל",מלאי!O334='לוח בקרה'!$E$6),OR('לוח בקרה'!$E$7="הכל",מלאי!R334='לוח בקרה'!$E$7),OR('לוח בקרה'!$E$8="הכל",'לוח בקרה'!$E$8="",מלאי!W334='לוח בקרה'!$E$8),OR('לוח בקרה'!$E$9="הכל",'לוח בקרה'!$E$9="",ISNUMBER(SEARCH('לוח בקרה'!$E$9,מלאי!C334)))),1,0)</f>
        <v>0</v>
      </c>
      <c r="AE334" t="e">
        <f>IF(AND(מלאי!D334&lt;&gt;"",OR('לוח בקרה טכנו-מבצעי'!$B$4="הכל",מלאי!Z334='לוח בקרה טכנו-מבצעי'!$B$4,מלאי!AA334='לוח בקרה טכנו-מבצעי'!$B$4,מלאי!AB334='לוח בקרה טכנו-מבצעי'!$B$4,מלאי!AC334='לוח בקרה טכנו-מבצעי'!$B$4),OR('לוח בקרה טכנו-מבצעי'!$B$5="הכל",מלאי!A334='לוח בקרה טכנו-מבצעי'!$B$5),OR('לוח בקרה טכנו-מבצעי'!$B$6="הכל",מלאי!B334='לוח בקרה טכנו-מבצעי'!$B$6),OR('לוח בקרה טכנו-מבצעי'!$B$7="הכל",מלאי!F334='לוח בקרה טכנו-מבצעי'!$B$7,מלאי!G334='לוח בקרה טכנו-מבצעי'!$B$7),OR('לוח בקרה טכנו-מבצעי'!$B$8="הכל",מלאי!T334='לוח בקרה טכנו-מבצעי'!$B$8),OR('לוח בקרה טכנו-מבצעי'!$B$9="הכל",מלאי!Q334='לוח בקרה טכנו-מבצעי'!$B$9),OR('לוח בקרה טכנו-מבצעי'!$E$4="הכל",מלאי!J334='לוח בקרה טכנו-מבצעי'!$E$4),OR('לוח בקרה טכנו-מבצעי'!$E$5="הכל",מלאי!L334='לוח בקרה טכנו-מבצעי'!$E$5),OR('לוח בקרה טכנו-מבצעי'!$E$6="הכל",מלאי!O334='לוח בקרה טכנו-מבצעי'!$E$6),OR('לוח בקרה טכנו-מבצעי'!$E$7="הכל",מלאי!R334='לוח בקרה טכנו-מבצעי'!$E$7),OR('לוח בקרה טכנו-מבצעי'!$E$8="הכל",'לוח בקרה טכנו-מבצעי'!$E$8="",מלאי!W334='לוח בקרה טכנו-מבצעי'!$E$8),OR('לוח בקרה טכנו-מבצעי'!$E$9="הכל",'לוח בקרה טכנו-מבצעי'!$E$9="",ISNUMBER(SEARCH('לוח בקרה טכנו-מבצעי'!$E$9,מלאי!C334))),OR('לוח בקרה טכנו-מבצעי'!$B$10="הכל",מלאי!#REF!='לוח בקרה טכנו-מבצעי'!$B$10)),1,0)</f>
        <v>#REF!</v>
      </c>
      <c r="AF334" t="str">
        <f>IF(AD334=1,COUNTIF($AD$3:$AD334,1),"")</f>
        <v/>
      </c>
      <c r="AG334" t="e">
        <f>IF(AE334=1,COUNTIF($AE$3:$AE334,1),"")</f>
        <v>#REF!</v>
      </c>
    </row>
    <row r="335" spans="1:33" ht="15" customHeight="1" x14ac:dyDescent="0.25">
      <c r="A335" s="19"/>
      <c r="B335" s="19"/>
      <c r="C335" s="19"/>
      <c r="D335" s="19"/>
      <c r="E335" s="19" t="str">
        <f>IFERROR(INDEX(הגדרות!$I$2:$I$47,MATCH(B335,הגדרות!$H$2:$H$47,0)),"")</f>
        <v/>
      </c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t="str">
        <f>IFERROR(INDEX(הגדרות!$B$2:$B$17,MATCH(H335,הגדרות!$A$2:$A$17,0)),"")</f>
        <v/>
      </c>
      <c r="AA335" t="str">
        <f>IFERROR(INDEX(הגדרות!$C$2:$C$17,MATCH(H335,הגדרות!$A$2:$A$17,0)),"")</f>
        <v/>
      </c>
      <c r="AB335" t="str">
        <f>IFERROR(INDEX(הגדרות!$B$2:$B$17,MATCH(I335,הגדרות!$A$2:$A$17,0)),"")</f>
        <v/>
      </c>
      <c r="AC335" t="str">
        <f>IFERROR(INDEX(הגדרות!$C$2:$C$17,MATCH(I335,הגדרות!$A$2:$A$17,0)),"")</f>
        <v/>
      </c>
      <c r="AD335">
        <f>IF(AND(מלאי!D335&lt;&gt;"",OR('לוח בקרה'!$B$4="הכל",מלאי!Z335='לוח בקרה'!$B$4,מלאי!AA335='לוח בקרה'!$B$4,מלאי!AB335='לוח בקרה'!$B$4,מלאי!AC335='לוח בקרה'!$B$4),OR('לוח בקרה'!$B$5="הכל",מלאי!A335='לוח בקרה'!$B$5),OR('לוח בקרה'!$B$6="הכל",מלאי!B335='לוח בקרה'!$B$6),OR('לוח בקרה'!$B$7="הכל",מלאי!F335='לוח בקרה'!$B$7,מלאי!G335='לוח בקרה'!$B$7),OR('לוח בקרה'!$B$8="הכל",מלאי!T335='לוח בקרה'!$B$8),OR('לוח בקרה'!$B$9="הכל",מלאי!Q335='לוח בקרה'!$B$9),OR('לוח בקרה'!$E$4="הכל",מלאי!J335='לוח בקרה'!$E$4),OR('לוח בקרה'!$E$5="הכל",מלאי!L335='לוח בקרה'!$E$5),OR('לוח בקרה'!$E$6="הכל",מלאי!O335='לוח בקרה'!$E$6),OR('לוח בקרה'!$E$7="הכל",מלאי!R335='לוח בקרה'!$E$7),OR('לוח בקרה'!$E$8="הכל",'לוח בקרה'!$E$8="",מלאי!W335='לוח בקרה'!$E$8),OR('לוח בקרה'!$E$9="הכל",'לוח בקרה'!$E$9="",ISNUMBER(SEARCH('לוח בקרה'!$E$9,מלאי!C335)))),1,0)</f>
        <v>0</v>
      </c>
      <c r="AE335" t="e">
        <f>IF(AND(מלאי!D335&lt;&gt;"",OR('לוח בקרה טכנו-מבצעי'!$B$4="הכל",מלאי!Z335='לוח בקרה טכנו-מבצעי'!$B$4,מלאי!AA335='לוח בקרה טכנו-מבצעי'!$B$4,מלאי!AB335='לוח בקרה טכנו-מבצעי'!$B$4,מלאי!AC335='לוח בקרה טכנו-מבצעי'!$B$4),OR('לוח בקרה טכנו-מבצעי'!$B$5="הכל",מלאי!A335='לוח בקרה טכנו-מבצעי'!$B$5),OR('לוח בקרה טכנו-מבצעי'!$B$6="הכל",מלאי!B335='לוח בקרה טכנו-מבצעי'!$B$6),OR('לוח בקרה טכנו-מבצעי'!$B$7="הכל",מלאי!F335='לוח בקרה טכנו-מבצעי'!$B$7,מלאי!G335='לוח בקרה טכנו-מבצעי'!$B$7),OR('לוח בקרה טכנו-מבצעי'!$B$8="הכל",מלאי!T335='לוח בקרה טכנו-מבצעי'!$B$8),OR('לוח בקרה טכנו-מבצעי'!$B$9="הכל",מלאי!Q335='לוח בקרה טכנו-מבצעי'!$B$9),OR('לוח בקרה טכנו-מבצעי'!$E$4="הכל",מלאי!J335='לוח בקרה טכנו-מבצעי'!$E$4),OR('לוח בקרה טכנו-מבצעי'!$E$5="הכל",מלאי!L335='לוח בקרה טכנו-מבצעי'!$E$5),OR('לוח בקרה טכנו-מבצעי'!$E$6="הכל",מלאי!O335='לוח בקרה טכנו-מבצעי'!$E$6),OR('לוח בקרה טכנו-מבצעי'!$E$7="הכל",מלאי!R335='לוח בקרה טכנו-מבצעי'!$E$7),OR('לוח בקרה טכנו-מבצעי'!$E$8="הכל",'לוח בקרה טכנו-מבצעי'!$E$8="",מלאי!W335='לוח בקרה טכנו-מבצעי'!$E$8),OR('לוח בקרה טכנו-מבצעי'!$E$9="הכל",'לוח בקרה טכנו-מבצעי'!$E$9="",ISNUMBER(SEARCH('לוח בקרה טכנו-מבצעי'!$E$9,מלאי!C335))),OR('לוח בקרה טכנו-מבצעי'!$B$10="הכל",מלאי!#REF!='לוח בקרה טכנו-מבצעי'!$B$10)),1,0)</f>
        <v>#REF!</v>
      </c>
      <c r="AF335" t="str">
        <f>IF(AD335=1,COUNTIF($AD$3:$AD335,1),"")</f>
        <v/>
      </c>
      <c r="AG335" t="e">
        <f>IF(AE335=1,COUNTIF($AE$3:$AE335,1),"")</f>
        <v>#REF!</v>
      </c>
    </row>
    <row r="336" spans="1:33" ht="15" customHeight="1" x14ac:dyDescent="0.25">
      <c r="A336" s="17"/>
      <c r="B336" s="17"/>
      <c r="C336" s="17"/>
      <c r="D336" s="17"/>
      <c r="E336" s="17" t="str">
        <f>IFERROR(INDEX(הגדרות!$I$2:$I$47,MATCH(B336,הגדרות!$H$2:$H$47,0)),"")</f>
        <v/>
      </c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t="str">
        <f>IFERROR(INDEX(הגדרות!$B$2:$B$17,MATCH(H336,הגדרות!$A$2:$A$17,0)),"")</f>
        <v/>
      </c>
      <c r="AA336" t="str">
        <f>IFERROR(INDEX(הגדרות!$C$2:$C$17,MATCH(H336,הגדרות!$A$2:$A$17,0)),"")</f>
        <v/>
      </c>
      <c r="AB336" t="str">
        <f>IFERROR(INDEX(הגדרות!$B$2:$B$17,MATCH(I336,הגדרות!$A$2:$A$17,0)),"")</f>
        <v/>
      </c>
      <c r="AC336" t="str">
        <f>IFERROR(INDEX(הגדרות!$C$2:$C$17,MATCH(I336,הגדרות!$A$2:$A$17,0)),"")</f>
        <v/>
      </c>
      <c r="AD336">
        <f>IF(AND(מלאי!D336&lt;&gt;"",OR('לוח בקרה'!$B$4="הכל",מלאי!Z336='לוח בקרה'!$B$4,מלאי!AA336='לוח בקרה'!$B$4,מלאי!AB336='לוח בקרה'!$B$4,מלאי!AC336='לוח בקרה'!$B$4),OR('לוח בקרה'!$B$5="הכל",מלאי!A336='לוח בקרה'!$B$5),OR('לוח בקרה'!$B$6="הכל",מלאי!B336='לוח בקרה'!$B$6),OR('לוח בקרה'!$B$7="הכל",מלאי!F336='לוח בקרה'!$B$7,מלאי!G336='לוח בקרה'!$B$7),OR('לוח בקרה'!$B$8="הכל",מלאי!T336='לוח בקרה'!$B$8),OR('לוח בקרה'!$B$9="הכל",מלאי!Q336='לוח בקרה'!$B$9),OR('לוח בקרה'!$E$4="הכל",מלאי!J336='לוח בקרה'!$E$4),OR('לוח בקרה'!$E$5="הכל",מלאי!L336='לוח בקרה'!$E$5),OR('לוח בקרה'!$E$6="הכל",מלאי!O336='לוח בקרה'!$E$6),OR('לוח בקרה'!$E$7="הכל",מלאי!R336='לוח בקרה'!$E$7),OR('לוח בקרה'!$E$8="הכל",'לוח בקרה'!$E$8="",מלאי!W336='לוח בקרה'!$E$8),OR('לוח בקרה'!$E$9="הכל",'לוח בקרה'!$E$9="",ISNUMBER(SEARCH('לוח בקרה'!$E$9,מלאי!C336)))),1,0)</f>
        <v>0</v>
      </c>
      <c r="AE336" t="e">
        <f>IF(AND(מלאי!D336&lt;&gt;"",OR('לוח בקרה טכנו-מבצעי'!$B$4="הכל",מלאי!Z336='לוח בקרה טכנו-מבצעי'!$B$4,מלאי!AA336='לוח בקרה טכנו-מבצעי'!$B$4,מלאי!AB336='לוח בקרה טכנו-מבצעי'!$B$4,מלאי!AC336='לוח בקרה טכנו-מבצעי'!$B$4),OR('לוח בקרה טכנו-מבצעי'!$B$5="הכל",מלאי!A336='לוח בקרה טכנו-מבצעי'!$B$5),OR('לוח בקרה טכנו-מבצעי'!$B$6="הכל",מלאי!B336='לוח בקרה טכנו-מבצעי'!$B$6),OR('לוח בקרה טכנו-מבצעי'!$B$7="הכל",מלאי!F336='לוח בקרה טכנו-מבצעי'!$B$7,מלאי!G336='לוח בקרה טכנו-מבצעי'!$B$7),OR('לוח בקרה טכנו-מבצעי'!$B$8="הכל",מלאי!T336='לוח בקרה טכנו-מבצעי'!$B$8),OR('לוח בקרה טכנו-מבצעי'!$B$9="הכל",מלאי!Q336='לוח בקרה טכנו-מבצעי'!$B$9),OR('לוח בקרה טכנו-מבצעי'!$E$4="הכל",מלאי!J336='לוח בקרה טכנו-מבצעי'!$E$4),OR('לוח בקרה טכנו-מבצעי'!$E$5="הכל",מלאי!L336='לוח בקרה טכנו-מבצעי'!$E$5),OR('לוח בקרה טכנו-מבצעי'!$E$6="הכל",מלאי!O336='לוח בקרה טכנו-מבצעי'!$E$6),OR('לוח בקרה טכנו-מבצעי'!$E$7="הכל",מלאי!R336='לוח בקרה טכנו-מבצעי'!$E$7),OR('לוח בקרה טכנו-מבצעי'!$E$8="הכל",'לוח בקרה טכנו-מבצעי'!$E$8="",מלאי!W336='לוח בקרה טכנו-מבצעי'!$E$8),OR('לוח בקרה טכנו-מבצעי'!$E$9="הכל",'לוח בקרה טכנו-מבצעי'!$E$9="",ISNUMBER(SEARCH('לוח בקרה טכנו-מבצעי'!$E$9,מלאי!C336))),OR('לוח בקרה טכנו-מבצעי'!$B$10="הכל",מלאי!#REF!='לוח בקרה טכנו-מבצעי'!$B$10)),1,0)</f>
        <v>#REF!</v>
      </c>
      <c r="AF336" t="str">
        <f>IF(AD336=1,COUNTIF($AD$3:$AD336,1),"")</f>
        <v/>
      </c>
      <c r="AG336" t="e">
        <f>IF(AE336=1,COUNTIF($AE$3:$AE336,1),"")</f>
        <v>#REF!</v>
      </c>
    </row>
    <row r="337" spans="1:33" ht="15" customHeight="1" x14ac:dyDescent="0.25">
      <c r="A337" s="19"/>
      <c r="B337" s="19"/>
      <c r="C337" s="19"/>
      <c r="D337" s="19"/>
      <c r="E337" s="19" t="str">
        <f>IFERROR(INDEX(הגדרות!$I$2:$I$47,MATCH(B337,הגדרות!$H$2:$H$47,0)),"")</f>
        <v/>
      </c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t="str">
        <f>IFERROR(INDEX(הגדרות!$B$2:$B$17,MATCH(H337,הגדרות!$A$2:$A$17,0)),"")</f>
        <v/>
      </c>
      <c r="AA337" t="str">
        <f>IFERROR(INDEX(הגדרות!$C$2:$C$17,MATCH(H337,הגדרות!$A$2:$A$17,0)),"")</f>
        <v/>
      </c>
      <c r="AB337" t="str">
        <f>IFERROR(INDEX(הגדרות!$B$2:$B$17,MATCH(I337,הגדרות!$A$2:$A$17,0)),"")</f>
        <v/>
      </c>
      <c r="AC337" t="str">
        <f>IFERROR(INDEX(הגדרות!$C$2:$C$17,MATCH(I337,הגדרות!$A$2:$A$17,0)),"")</f>
        <v/>
      </c>
      <c r="AD337">
        <f>IF(AND(מלאי!D337&lt;&gt;"",OR('לוח בקרה'!$B$4="הכל",מלאי!Z337='לוח בקרה'!$B$4,מלאי!AA337='לוח בקרה'!$B$4,מלאי!AB337='לוח בקרה'!$B$4,מלאי!AC337='לוח בקרה'!$B$4),OR('לוח בקרה'!$B$5="הכל",מלאי!A337='לוח בקרה'!$B$5),OR('לוח בקרה'!$B$6="הכל",מלאי!B337='לוח בקרה'!$B$6),OR('לוח בקרה'!$B$7="הכל",מלאי!F337='לוח בקרה'!$B$7,מלאי!G337='לוח בקרה'!$B$7),OR('לוח בקרה'!$B$8="הכל",מלאי!T337='לוח בקרה'!$B$8),OR('לוח בקרה'!$B$9="הכל",מלאי!Q337='לוח בקרה'!$B$9),OR('לוח בקרה'!$E$4="הכל",מלאי!J337='לוח בקרה'!$E$4),OR('לוח בקרה'!$E$5="הכל",מלאי!L337='לוח בקרה'!$E$5),OR('לוח בקרה'!$E$6="הכל",מלאי!O337='לוח בקרה'!$E$6),OR('לוח בקרה'!$E$7="הכל",מלאי!R337='לוח בקרה'!$E$7),OR('לוח בקרה'!$E$8="הכל",'לוח בקרה'!$E$8="",מלאי!W337='לוח בקרה'!$E$8),OR('לוח בקרה'!$E$9="הכל",'לוח בקרה'!$E$9="",ISNUMBER(SEARCH('לוח בקרה'!$E$9,מלאי!C337)))),1,0)</f>
        <v>0</v>
      </c>
      <c r="AE337" t="e">
        <f>IF(AND(מלאי!D337&lt;&gt;"",OR('לוח בקרה טכנו-מבצעי'!$B$4="הכל",מלאי!Z337='לוח בקרה טכנו-מבצעי'!$B$4,מלאי!AA337='לוח בקרה טכנו-מבצעי'!$B$4,מלאי!AB337='לוח בקרה טכנו-מבצעי'!$B$4,מלאי!AC337='לוח בקרה טכנו-מבצעי'!$B$4),OR('לוח בקרה טכנו-מבצעי'!$B$5="הכל",מלאי!A337='לוח בקרה טכנו-מבצעי'!$B$5),OR('לוח בקרה טכנו-מבצעי'!$B$6="הכל",מלאי!B337='לוח בקרה טכנו-מבצעי'!$B$6),OR('לוח בקרה טכנו-מבצעי'!$B$7="הכל",מלאי!F337='לוח בקרה טכנו-מבצעי'!$B$7,מלאי!G337='לוח בקרה טכנו-מבצעי'!$B$7),OR('לוח בקרה טכנו-מבצעי'!$B$8="הכל",מלאי!T337='לוח בקרה טכנו-מבצעי'!$B$8),OR('לוח בקרה טכנו-מבצעי'!$B$9="הכל",מלאי!Q337='לוח בקרה טכנו-מבצעי'!$B$9),OR('לוח בקרה טכנו-מבצעי'!$E$4="הכל",מלאי!J337='לוח בקרה טכנו-מבצעי'!$E$4),OR('לוח בקרה טכנו-מבצעי'!$E$5="הכל",מלאי!L337='לוח בקרה טכנו-מבצעי'!$E$5),OR('לוח בקרה טכנו-מבצעי'!$E$6="הכל",מלאי!O337='לוח בקרה טכנו-מבצעי'!$E$6),OR('לוח בקרה טכנו-מבצעי'!$E$7="הכל",מלאי!R337='לוח בקרה טכנו-מבצעי'!$E$7),OR('לוח בקרה טכנו-מבצעי'!$E$8="הכל",'לוח בקרה טכנו-מבצעי'!$E$8="",מלאי!W337='לוח בקרה טכנו-מבצעי'!$E$8),OR('לוח בקרה טכנו-מבצעי'!$E$9="הכל",'לוח בקרה טכנו-מבצעי'!$E$9="",ISNUMBER(SEARCH('לוח בקרה טכנו-מבצעי'!$E$9,מלאי!C337))),OR('לוח בקרה טכנו-מבצעי'!$B$10="הכל",מלאי!#REF!='לוח בקרה טכנו-מבצעי'!$B$10)),1,0)</f>
        <v>#REF!</v>
      </c>
      <c r="AF337" t="str">
        <f>IF(AD337=1,COUNTIF($AD$3:$AD337,1),"")</f>
        <v/>
      </c>
      <c r="AG337" t="e">
        <f>IF(AE337=1,COUNTIF($AE$3:$AE337,1),"")</f>
        <v>#REF!</v>
      </c>
    </row>
    <row r="338" spans="1:33" ht="15" customHeight="1" x14ac:dyDescent="0.25">
      <c r="A338" s="17"/>
      <c r="B338" s="17"/>
      <c r="C338" s="17"/>
      <c r="D338" s="17"/>
      <c r="E338" s="17" t="str">
        <f>IFERROR(INDEX(הגדרות!$I$2:$I$47,MATCH(B338,הגדרות!$H$2:$H$47,0)),"")</f>
        <v/>
      </c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t="str">
        <f>IFERROR(INDEX(הגדרות!$B$2:$B$17,MATCH(H338,הגדרות!$A$2:$A$17,0)),"")</f>
        <v/>
      </c>
      <c r="AA338" t="str">
        <f>IFERROR(INDEX(הגדרות!$C$2:$C$17,MATCH(H338,הגדרות!$A$2:$A$17,0)),"")</f>
        <v/>
      </c>
      <c r="AB338" t="str">
        <f>IFERROR(INDEX(הגדרות!$B$2:$B$17,MATCH(I338,הגדרות!$A$2:$A$17,0)),"")</f>
        <v/>
      </c>
      <c r="AC338" t="str">
        <f>IFERROR(INDEX(הגדרות!$C$2:$C$17,MATCH(I338,הגדרות!$A$2:$A$17,0)),"")</f>
        <v/>
      </c>
      <c r="AD338">
        <f>IF(AND(מלאי!D338&lt;&gt;"",OR('לוח בקרה'!$B$4="הכל",מלאי!Z338='לוח בקרה'!$B$4,מלאי!AA338='לוח בקרה'!$B$4,מלאי!AB338='לוח בקרה'!$B$4,מלאי!AC338='לוח בקרה'!$B$4),OR('לוח בקרה'!$B$5="הכל",מלאי!A338='לוח בקרה'!$B$5),OR('לוח בקרה'!$B$6="הכל",מלאי!B338='לוח בקרה'!$B$6),OR('לוח בקרה'!$B$7="הכל",מלאי!F338='לוח בקרה'!$B$7,מלאי!G338='לוח בקרה'!$B$7),OR('לוח בקרה'!$B$8="הכל",מלאי!T338='לוח בקרה'!$B$8),OR('לוח בקרה'!$B$9="הכל",מלאי!Q338='לוח בקרה'!$B$9),OR('לוח בקרה'!$E$4="הכל",מלאי!J338='לוח בקרה'!$E$4),OR('לוח בקרה'!$E$5="הכל",מלאי!L338='לוח בקרה'!$E$5),OR('לוח בקרה'!$E$6="הכל",מלאי!O338='לוח בקרה'!$E$6),OR('לוח בקרה'!$E$7="הכל",מלאי!R338='לוח בקרה'!$E$7),OR('לוח בקרה'!$E$8="הכל",'לוח בקרה'!$E$8="",מלאי!W338='לוח בקרה'!$E$8),OR('לוח בקרה'!$E$9="הכל",'לוח בקרה'!$E$9="",ISNUMBER(SEARCH('לוח בקרה'!$E$9,מלאי!C338)))),1,0)</f>
        <v>0</v>
      </c>
      <c r="AE338" t="e">
        <f>IF(AND(מלאי!D338&lt;&gt;"",OR('לוח בקרה טכנו-מבצעי'!$B$4="הכל",מלאי!Z338='לוח בקרה טכנו-מבצעי'!$B$4,מלאי!AA338='לוח בקרה טכנו-מבצעי'!$B$4,מלאי!AB338='לוח בקרה טכנו-מבצעי'!$B$4,מלאי!AC338='לוח בקרה טכנו-מבצעי'!$B$4),OR('לוח בקרה טכנו-מבצעי'!$B$5="הכל",מלאי!A338='לוח בקרה טכנו-מבצעי'!$B$5),OR('לוח בקרה טכנו-מבצעי'!$B$6="הכל",מלאי!B338='לוח בקרה טכנו-מבצעי'!$B$6),OR('לוח בקרה טכנו-מבצעי'!$B$7="הכל",מלאי!F338='לוח בקרה טכנו-מבצעי'!$B$7,מלאי!G338='לוח בקרה טכנו-מבצעי'!$B$7),OR('לוח בקרה טכנו-מבצעי'!$B$8="הכל",מלאי!T338='לוח בקרה טכנו-מבצעי'!$B$8),OR('לוח בקרה טכנו-מבצעי'!$B$9="הכל",מלאי!Q338='לוח בקרה טכנו-מבצעי'!$B$9),OR('לוח בקרה טכנו-מבצעי'!$E$4="הכל",מלאי!J338='לוח בקרה טכנו-מבצעי'!$E$4),OR('לוח בקרה טכנו-מבצעי'!$E$5="הכל",מלאי!L338='לוח בקרה טכנו-מבצעי'!$E$5),OR('לוח בקרה טכנו-מבצעי'!$E$6="הכל",מלאי!O338='לוח בקרה טכנו-מבצעי'!$E$6),OR('לוח בקרה טכנו-מבצעי'!$E$7="הכל",מלאי!R338='לוח בקרה טכנו-מבצעי'!$E$7),OR('לוח בקרה טכנו-מבצעי'!$E$8="הכל",'לוח בקרה טכנו-מבצעי'!$E$8="",מלאי!W338='לוח בקרה טכנו-מבצעי'!$E$8),OR('לוח בקרה טכנו-מבצעי'!$E$9="הכל",'לוח בקרה טכנו-מבצעי'!$E$9="",ISNUMBER(SEARCH('לוח בקרה טכנו-מבצעי'!$E$9,מלאי!C338))),OR('לוח בקרה טכנו-מבצעי'!$B$10="הכל",מלאי!#REF!='לוח בקרה טכנו-מבצעי'!$B$10)),1,0)</f>
        <v>#REF!</v>
      </c>
      <c r="AF338" t="str">
        <f>IF(AD338=1,COUNTIF($AD$3:$AD338,1),"")</f>
        <v/>
      </c>
      <c r="AG338" t="e">
        <f>IF(AE338=1,COUNTIF($AE$3:$AE338,1),"")</f>
        <v>#REF!</v>
      </c>
    </row>
    <row r="339" spans="1:33" ht="15" customHeight="1" x14ac:dyDescent="0.25">
      <c r="A339" s="19"/>
      <c r="B339" s="19"/>
      <c r="C339" s="19"/>
      <c r="D339" s="19"/>
      <c r="E339" s="19" t="str">
        <f>IFERROR(INDEX(הגדרות!$I$2:$I$47,MATCH(B339,הגדרות!$H$2:$H$47,0)),"")</f>
        <v/>
      </c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t="str">
        <f>IFERROR(INDEX(הגדרות!$B$2:$B$17,MATCH(H339,הגדרות!$A$2:$A$17,0)),"")</f>
        <v/>
      </c>
      <c r="AA339" t="str">
        <f>IFERROR(INDEX(הגדרות!$C$2:$C$17,MATCH(H339,הגדרות!$A$2:$A$17,0)),"")</f>
        <v/>
      </c>
      <c r="AB339" t="str">
        <f>IFERROR(INDEX(הגדרות!$B$2:$B$17,MATCH(I339,הגדרות!$A$2:$A$17,0)),"")</f>
        <v/>
      </c>
      <c r="AC339" t="str">
        <f>IFERROR(INDEX(הגדרות!$C$2:$C$17,MATCH(I339,הגדרות!$A$2:$A$17,0)),"")</f>
        <v/>
      </c>
      <c r="AD339">
        <f>IF(AND(מלאי!D339&lt;&gt;"",OR('לוח בקרה'!$B$4="הכל",מלאי!Z339='לוח בקרה'!$B$4,מלאי!AA339='לוח בקרה'!$B$4,מלאי!AB339='לוח בקרה'!$B$4,מלאי!AC339='לוח בקרה'!$B$4),OR('לוח בקרה'!$B$5="הכל",מלאי!A339='לוח בקרה'!$B$5),OR('לוח בקרה'!$B$6="הכל",מלאי!B339='לוח בקרה'!$B$6),OR('לוח בקרה'!$B$7="הכל",מלאי!F339='לוח בקרה'!$B$7,מלאי!G339='לוח בקרה'!$B$7),OR('לוח בקרה'!$B$8="הכל",מלאי!T339='לוח בקרה'!$B$8),OR('לוח בקרה'!$B$9="הכל",מלאי!Q339='לוח בקרה'!$B$9),OR('לוח בקרה'!$E$4="הכל",מלאי!J339='לוח בקרה'!$E$4),OR('לוח בקרה'!$E$5="הכל",מלאי!L339='לוח בקרה'!$E$5),OR('לוח בקרה'!$E$6="הכל",מלאי!O339='לוח בקרה'!$E$6),OR('לוח בקרה'!$E$7="הכל",מלאי!R339='לוח בקרה'!$E$7),OR('לוח בקרה'!$E$8="הכל",'לוח בקרה'!$E$8="",מלאי!W339='לוח בקרה'!$E$8),OR('לוח בקרה'!$E$9="הכל",'לוח בקרה'!$E$9="",ISNUMBER(SEARCH('לוח בקרה'!$E$9,מלאי!C339)))),1,0)</f>
        <v>0</v>
      </c>
      <c r="AE339" t="e">
        <f>IF(AND(מלאי!D339&lt;&gt;"",OR('לוח בקרה טכנו-מבצעי'!$B$4="הכל",מלאי!Z339='לוח בקרה טכנו-מבצעי'!$B$4,מלאי!AA339='לוח בקרה טכנו-מבצעי'!$B$4,מלאי!AB339='לוח בקרה טכנו-מבצעי'!$B$4,מלאי!AC339='לוח בקרה טכנו-מבצעי'!$B$4),OR('לוח בקרה טכנו-מבצעי'!$B$5="הכל",מלאי!A339='לוח בקרה טכנו-מבצעי'!$B$5),OR('לוח בקרה טכנו-מבצעי'!$B$6="הכל",מלאי!B339='לוח בקרה טכנו-מבצעי'!$B$6),OR('לוח בקרה טכנו-מבצעי'!$B$7="הכל",מלאי!F339='לוח בקרה טכנו-מבצעי'!$B$7,מלאי!G339='לוח בקרה טכנו-מבצעי'!$B$7),OR('לוח בקרה טכנו-מבצעי'!$B$8="הכל",מלאי!T339='לוח בקרה טכנו-מבצעי'!$B$8),OR('לוח בקרה טכנו-מבצעי'!$B$9="הכל",מלאי!Q339='לוח בקרה טכנו-מבצעי'!$B$9),OR('לוח בקרה טכנו-מבצעי'!$E$4="הכל",מלאי!J339='לוח בקרה טכנו-מבצעי'!$E$4),OR('לוח בקרה טכנו-מבצעי'!$E$5="הכל",מלאי!L339='לוח בקרה טכנו-מבצעי'!$E$5),OR('לוח בקרה טכנו-מבצעי'!$E$6="הכל",מלאי!O339='לוח בקרה טכנו-מבצעי'!$E$6),OR('לוח בקרה טכנו-מבצעי'!$E$7="הכל",מלאי!R339='לוח בקרה טכנו-מבצעי'!$E$7),OR('לוח בקרה טכנו-מבצעי'!$E$8="הכל",'לוח בקרה טכנו-מבצעי'!$E$8="",מלאי!W339='לוח בקרה טכנו-מבצעי'!$E$8),OR('לוח בקרה טכנו-מבצעי'!$E$9="הכל",'לוח בקרה טכנו-מבצעי'!$E$9="",ISNUMBER(SEARCH('לוח בקרה טכנו-מבצעי'!$E$9,מלאי!C339))),OR('לוח בקרה טכנו-מבצעי'!$B$10="הכל",מלאי!#REF!='לוח בקרה טכנו-מבצעי'!$B$10)),1,0)</f>
        <v>#REF!</v>
      </c>
      <c r="AF339" t="str">
        <f>IF(AD339=1,COUNTIF($AD$3:$AD339,1),"")</f>
        <v/>
      </c>
      <c r="AG339" t="e">
        <f>IF(AE339=1,COUNTIF($AE$3:$AE339,1),"")</f>
        <v>#REF!</v>
      </c>
    </row>
    <row r="340" spans="1:33" ht="15" customHeight="1" x14ac:dyDescent="0.25">
      <c r="A340" s="17"/>
      <c r="B340" s="17"/>
      <c r="C340" s="17"/>
      <c r="D340" s="17"/>
      <c r="E340" s="17" t="str">
        <f>IFERROR(INDEX(הגדרות!$I$2:$I$47,MATCH(B340,הגדרות!$H$2:$H$47,0)),"")</f>
        <v/>
      </c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t="str">
        <f>IFERROR(INDEX(הגדרות!$B$2:$B$17,MATCH(H340,הגדרות!$A$2:$A$17,0)),"")</f>
        <v/>
      </c>
      <c r="AA340" t="str">
        <f>IFERROR(INDEX(הגדרות!$C$2:$C$17,MATCH(H340,הגדרות!$A$2:$A$17,0)),"")</f>
        <v/>
      </c>
      <c r="AB340" t="str">
        <f>IFERROR(INDEX(הגדרות!$B$2:$B$17,MATCH(I340,הגדרות!$A$2:$A$17,0)),"")</f>
        <v/>
      </c>
      <c r="AC340" t="str">
        <f>IFERROR(INDEX(הגדרות!$C$2:$C$17,MATCH(I340,הגדרות!$A$2:$A$17,0)),"")</f>
        <v/>
      </c>
      <c r="AD340">
        <f>IF(AND(מלאי!D340&lt;&gt;"",OR('לוח בקרה'!$B$4="הכל",מלאי!Z340='לוח בקרה'!$B$4,מלאי!AA340='לוח בקרה'!$B$4,מלאי!AB340='לוח בקרה'!$B$4,מלאי!AC340='לוח בקרה'!$B$4),OR('לוח בקרה'!$B$5="הכל",מלאי!A340='לוח בקרה'!$B$5),OR('לוח בקרה'!$B$6="הכל",מלאי!B340='לוח בקרה'!$B$6),OR('לוח בקרה'!$B$7="הכל",מלאי!F340='לוח בקרה'!$B$7,מלאי!G340='לוח בקרה'!$B$7),OR('לוח בקרה'!$B$8="הכל",מלאי!T340='לוח בקרה'!$B$8),OR('לוח בקרה'!$B$9="הכל",מלאי!Q340='לוח בקרה'!$B$9),OR('לוח בקרה'!$E$4="הכל",מלאי!J340='לוח בקרה'!$E$4),OR('לוח בקרה'!$E$5="הכל",מלאי!L340='לוח בקרה'!$E$5),OR('לוח בקרה'!$E$6="הכל",מלאי!O340='לוח בקרה'!$E$6),OR('לוח בקרה'!$E$7="הכל",מלאי!R340='לוח בקרה'!$E$7),OR('לוח בקרה'!$E$8="הכל",'לוח בקרה'!$E$8="",מלאי!W340='לוח בקרה'!$E$8),OR('לוח בקרה'!$E$9="הכל",'לוח בקרה'!$E$9="",ISNUMBER(SEARCH('לוח בקרה'!$E$9,מלאי!C340)))),1,0)</f>
        <v>0</v>
      </c>
      <c r="AE340" t="e">
        <f>IF(AND(מלאי!D340&lt;&gt;"",OR('לוח בקרה טכנו-מבצעי'!$B$4="הכל",מלאי!Z340='לוח בקרה טכנו-מבצעי'!$B$4,מלאי!AA340='לוח בקרה טכנו-מבצעי'!$B$4,מלאי!AB340='לוח בקרה טכנו-מבצעי'!$B$4,מלאי!AC340='לוח בקרה טכנו-מבצעי'!$B$4),OR('לוח בקרה טכנו-מבצעי'!$B$5="הכל",מלאי!A340='לוח בקרה טכנו-מבצעי'!$B$5),OR('לוח בקרה טכנו-מבצעי'!$B$6="הכל",מלאי!B340='לוח בקרה טכנו-מבצעי'!$B$6),OR('לוח בקרה טכנו-מבצעי'!$B$7="הכל",מלאי!F340='לוח בקרה טכנו-מבצעי'!$B$7,מלאי!G340='לוח בקרה טכנו-מבצעי'!$B$7),OR('לוח בקרה טכנו-מבצעי'!$B$8="הכל",מלאי!T340='לוח בקרה טכנו-מבצעי'!$B$8),OR('לוח בקרה טכנו-מבצעי'!$B$9="הכל",מלאי!Q340='לוח בקרה טכנו-מבצעי'!$B$9),OR('לוח בקרה טכנו-מבצעי'!$E$4="הכל",מלאי!J340='לוח בקרה טכנו-מבצעי'!$E$4),OR('לוח בקרה טכנו-מבצעי'!$E$5="הכל",מלאי!L340='לוח בקרה טכנו-מבצעי'!$E$5),OR('לוח בקרה טכנו-מבצעי'!$E$6="הכל",מלאי!O340='לוח בקרה טכנו-מבצעי'!$E$6),OR('לוח בקרה טכנו-מבצעי'!$E$7="הכל",מלאי!R340='לוח בקרה טכנו-מבצעי'!$E$7),OR('לוח בקרה טכנו-מבצעי'!$E$8="הכל",'לוח בקרה טכנו-מבצעי'!$E$8="",מלאי!W340='לוח בקרה טכנו-מבצעי'!$E$8),OR('לוח בקרה טכנו-מבצעי'!$E$9="הכל",'לוח בקרה טכנו-מבצעי'!$E$9="",ISNUMBER(SEARCH('לוח בקרה טכנו-מבצעי'!$E$9,מלאי!C340))),OR('לוח בקרה טכנו-מבצעי'!$B$10="הכל",מלאי!#REF!='לוח בקרה טכנו-מבצעי'!$B$10)),1,0)</f>
        <v>#REF!</v>
      </c>
      <c r="AF340" t="str">
        <f>IF(AD340=1,COUNTIF($AD$3:$AD340,1),"")</f>
        <v/>
      </c>
      <c r="AG340" t="e">
        <f>IF(AE340=1,COUNTIF($AE$3:$AE340,1),"")</f>
        <v>#REF!</v>
      </c>
    </row>
    <row r="341" spans="1:33" ht="15" customHeight="1" x14ac:dyDescent="0.25">
      <c r="A341" s="19"/>
      <c r="B341" s="19"/>
      <c r="C341" s="19"/>
      <c r="D341" s="19"/>
      <c r="E341" s="19" t="str">
        <f>IFERROR(INDEX(הגדרות!$I$2:$I$47,MATCH(B341,הגדרות!$H$2:$H$47,0)),"")</f>
        <v/>
      </c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t="str">
        <f>IFERROR(INDEX(הגדרות!$B$2:$B$17,MATCH(H341,הגדרות!$A$2:$A$17,0)),"")</f>
        <v/>
      </c>
      <c r="AA341" t="str">
        <f>IFERROR(INDEX(הגדרות!$C$2:$C$17,MATCH(H341,הגדרות!$A$2:$A$17,0)),"")</f>
        <v/>
      </c>
      <c r="AB341" t="str">
        <f>IFERROR(INDEX(הגדרות!$B$2:$B$17,MATCH(I341,הגדרות!$A$2:$A$17,0)),"")</f>
        <v/>
      </c>
      <c r="AC341" t="str">
        <f>IFERROR(INDEX(הגדרות!$C$2:$C$17,MATCH(I341,הגדרות!$A$2:$A$17,0)),"")</f>
        <v/>
      </c>
      <c r="AD341">
        <f>IF(AND(מלאי!D341&lt;&gt;"",OR('לוח בקרה'!$B$4="הכל",מלאי!Z341='לוח בקרה'!$B$4,מלאי!AA341='לוח בקרה'!$B$4,מלאי!AB341='לוח בקרה'!$B$4,מלאי!AC341='לוח בקרה'!$B$4),OR('לוח בקרה'!$B$5="הכל",מלאי!A341='לוח בקרה'!$B$5),OR('לוח בקרה'!$B$6="הכל",מלאי!B341='לוח בקרה'!$B$6),OR('לוח בקרה'!$B$7="הכל",מלאי!F341='לוח בקרה'!$B$7,מלאי!G341='לוח בקרה'!$B$7),OR('לוח בקרה'!$B$8="הכל",מלאי!T341='לוח בקרה'!$B$8),OR('לוח בקרה'!$B$9="הכל",מלאי!Q341='לוח בקרה'!$B$9),OR('לוח בקרה'!$E$4="הכל",מלאי!J341='לוח בקרה'!$E$4),OR('לוח בקרה'!$E$5="הכל",מלאי!L341='לוח בקרה'!$E$5),OR('לוח בקרה'!$E$6="הכל",מלאי!O341='לוח בקרה'!$E$6),OR('לוח בקרה'!$E$7="הכל",מלאי!R341='לוח בקרה'!$E$7),OR('לוח בקרה'!$E$8="הכל",'לוח בקרה'!$E$8="",מלאי!W341='לוח בקרה'!$E$8),OR('לוח בקרה'!$E$9="הכל",'לוח בקרה'!$E$9="",ISNUMBER(SEARCH('לוח בקרה'!$E$9,מלאי!C341)))),1,0)</f>
        <v>0</v>
      </c>
      <c r="AE341" t="e">
        <f>IF(AND(מלאי!D341&lt;&gt;"",OR('לוח בקרה טכנו-מבצעי'!$B$4="הכל",מלאי!Z341='לוח בקרה טכנו-מבצעי'!$B$4,מלאי!AA341='לוח בקרה טכנו-מבצעי'!$B$4,מלאי!AB341='לוח בקרה טכנו-מבצעי'!$B$4,מלאי!AC341='לוח בקרה טכנו-מבצעי'!$B$4),OR('לוח בקרה טכנו-מבצעי'!$B$5="הכל",מלאי!A341='לוח בקרה טכנו-מבצעי'!$B$5),OR('לוח בקרה טכנו-מבצעי'!$B$6="הכל",מלאי!B341='לוח בקרה טכנו-מבצעי'!$B$6),OR('לוח בקרה טכנו-מבצעי'!$B$7="הכל",מלאי!F341='לוח בקרה טכנו-מבצעי'!$B$7,מלאי!G341='לוח בקרה טכנו-מבצעי'!$B$7),OR('לוח בקרה טכנו-מבצעי'!$B$8="הכל",מלאי!T341='לוח בקרה טכנו-מבצעי'!$B$8),OR('לוח בקרה טכנו-מבצעי'!$B$9="הכל",מלאי!Q341='לוח בקרה טכנו-מבצעי'!$B$9),OR('לוח בקרה טכנו-מבצעי'!$E$4="הכל",מלאי!J341='לוח בקרה טכנו-מבצעי'!$E$4),OR('לוח בקרה טכנו-מבצעי'!$E$5="הכל",מלאי!L341='לוח בקרה טכנו-מבצעי'!$E$5),OR('לוח בקרה טכנו-מבצעי'!$E$6="הכל",מלאי!O341='לוח בקרה טכנו-מבצעי'!$E$6),OR('לוח בקרה טכנו-מבצעי'!$E$7="הכל",מלאי!R341='לוח בקרה טכנו-מבצעי'!$E$7),OR('לוח בקרה טכנו-מבצעי'!$E$8="הכל",'לוח בקרה טכנו-מבצעי'!$E$8="",מלאי!W341='לוח בקרה טכנו-מבצעי'!$E$8),OR('לוח בקרה טכנו-מבצעי'!$E$9="הכל",'לוח בקרה טכנו-מבצעי'!$E$9="",ISNUMBER(SEARCH('לוח בקרה טכנו-מבצעי'!$E$9,מלאי!C341))),OR('לוח בקרה טכנו-מבצעי'!$B$10="הכל",מלאי!#REF!='לוח בקרה טכנו-מבצעי'!$B$10)),1,0)</f>
        <v>#REF!</v>
      </c>
      <c r="AF341" t="str">
        <f>IF(AD341=1,COUNTIF($AD$3:$AD341,1),"")</f>
        <v/>
      </c>
      <c r="AG341" t="e">
        <f>IF(AE341=1,COUNTIF($AE$3:$AE341,1),"")</f>
        <v>#REF!</v>
      </c>
    </row>
    <row r="342" spans="1:33" ht="15" customHeight="1" x14ac:dyDescent="0.25">
      <c r="A342" s="17"/>
      <c r="B342" s="17"/>
      <c r="C342" s="17"/>
      <c r="D342" s="17"/>
      <c r="E342" s="17" t="str">
        <f>IFERROR(INDEX(הגדרות!$I$2:$I$47,MATCH(B342,הגדרות!$H$2:$H$47,0)),"")</f>
        <v/>
      </c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t="str">
        <f>IFERROR(INDEX(הגדרות!$B$2:$B$17,MATCH(H342,הגדרות!$A$2:$A$17,0)),"")</f>
        <v/>
      </c>
      <c r="AA342" t="str">
        <f>IFERROR(INDEX(הגדרות!$C$2:$C$17,MATCH(H342,הגדרות!$A$2:$A$17,0)),"")</f>
        <v/>
      </c>
      <c r="AB342" t="str">
        <f>IFERROR(INDEX(הגדרות!$B$2:$B$17,MATCH(I342,הגדרות!$A$2:$A$17,0)),"")</f>
        <v/>
      </c>
      <c r="AC342" t="str">
        <f>IFERROR(INDEX(הגדרות!$C$2:$C$17,MATCH(I342,הגדרות!$A$2:$A$17,0)),"")</f>
        <v/>
      </c>
      <c r="AD342">
        <f>IF(AND(מלאי!D342&lt;&gt;"",OR('לוח בקרה'!$B$4="הכל",מלאי!Z342='לוח בקרה'!$B$4,מלאי!AA342='לוח בקרה'!$B$4,מלאי!AB342='לוח בקרה'!$B$4,מלאי!AC342='לוח בקרה'!$B$4),OR('לוח בקרה'!$B$5="הכל",מלאי!A342='לוח בקרה'!$B$5),OR('לוח בקרה'!$B$6="הכל",מלאי!B342='לוח בקרה'!$B$6),OR('לוח בקרה'!$B$7="הכל",מלאי!F342='לוח בקרה'!$B$7,מלאי!G342='לוח בקרה'!$B$7),OR('לוח בקרה'!$B$8="הכל",מלאי!T342='לוח בקרה'!$B$8),OR('לוח בקרה'!$B$9="הכל",מלאי!Q342='לוח בקרה'!$B$9),OR('לוח בקרה'!$E$4="הכל",מלאי!J342='לוח בקרה'!$E$4),OR('לוח בקרה'!$E$5="הכל",מלאי!L342='לוח בקרה'!$E$5),OR('לוח בקרה'!$E$6="הכל",מלאי!O342='לוח בקרה'!$E$6),OR('לוח בקרה'!$E$7="הכל",מלאי!R342='לוח בקרה'!$E$7),OR('לוח בקרה'!$E$8="הכל",'לוח בקרה'!$E$8="",מלאי!W342='לוח בקרה'!$E$8),OR('לוח בקרה'!$E$9="הכל",'לוח בקרה'!$E$9="",ISNUMBER(SEARCH('לוח בקרה'!$E$9,מלאי!C342)))),1,0)</f>
        <v>0</v>
      </c>
      <c r="AE342" t="e">
        <f>IF(AND(מלאי!D342&lt;&gt;"",OR('לוח בקרה טכנו-מבצעי'!$B$4="הכל",מלאי!Z342='לוח בקרה טכנו-מבצעי'!$B$4,מלאי!AA342='לוח בקרה טכנו-מבצעי'!$B$4,מלאי!AB342='לוח בקרה טכנו-מבצעי'!$B$4,מלאי!AC342='לוח בקרה טכנו-מבצעי'!$B$4),OR('לוח בקרה טכנו-מבצעי'!$B$5="הכל",מלאי!A342='לוח בקרה טכנו-מבצעי'!$B$5),OR('לוח בקרה טכנו-מבצעי'!$B$6="הכל",מלאי!B342='לוח בקרה טכנו-מבצעי'!$B$6),OR('לוח בקרה טכנו-מבצעי'!$B$7="הכל",מלאי!F342='לוח בקרה טכנו-מבצעי'!$B$7,מלאי!G342='לוח בקרה טכנו-מבצעי'!$B$7),OR('לוח בקרה טכנו-מבצעי'!$B$8="הכל",מלאי!T342='לוח בקרה טכנו-מבצעי'!$B$8),OR('לוח בקרה טכנו-מבצעי'!$B$9="הכל",מלאי!Q342='לוח בקרה טכנו-מבצעי'!$B$9),OR('לוח בקרה טכנו-מבצעי'!$E$4="הכל",מלאי!J342='לוח בקרה טכנו-מבצעי'!$E$4),OR('לוח בקרה טכנו-מבצעי'!$E$5="הכל",מלאי!L342='לוח בקרה טכנו-מבצעי'!$E$5),OR('לוח בקרה טכנו-מבצעי'!$E$6="הכל",מלאי!O342='לוח בקרה טכנו-מבצעי'!$E$6),OR('לוח בקרה טכנו-מבצעי'!$E$7="הכל",מלאי!R342='לוח בקרה טכנו-מבצעי'!$E$7),OR('לוח בקרה טכנו-מבצעי'!$E$8="הכל",'לוח בקרה טכנו-מבצעי'!$E$8="",מלאי!W342='לוח בקרה טכנו-מבצעי'!$E$8),OR('לוח בקרה טכנו-מבצעי'!$E$9="הכל",'לוח בקרה טכנו-מבצעי'!$E$9="",ISNUMBER(SEARCH('לוח בקרה טכנו-מבצעי'!$E$9,מלאי!C342))),OR('לוח בקרה טכנו-מבצעי'!$B$10="הכל",מלאי!#REF!='לוח בקרה טכנו-מבצעי'!$B$10)),1,0)</f>
        <v>#REF!</v>
      </c>
      <c r="AF342" t="str">
        <f>IF(AD342=1,COUNTIF($AD$3:$AD342,1),"")</f>
        <v/>
      </c>
      <c r="AG342" t="e">
        <f>IF(AE342=1,COUNTIF($AE$3:$AE342,1),"")</f>
        <v>#REF!</v>
      </c>
    </row>
    <row r="343" spans="1:33" ht="15" customHeight="1" x14ac:dyDescent="0.25">
      <c r="A343" s="19"/>
      <c r="B343" s="19"/>
      <c r="C343" s="19"/>
      <c r="D343" s="19"/>
      <c r="E343" s="19" t="str">
        <f>IFERROR(INDEX(הגדרות!$I$2:$I$47,MATCH(B343,הגדרות!$H$2:$H$47,0)),"")</f>
        <v/>
      </c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t="str">
        <f>IFERROR(INDEX(הגדרות!$B$2:$B$17,MATCH(H343,הגדרות!$A$2:$A$17,0)),"")</f>
        <v/>
      </c>
      <c r="AA343" t="str">
        <f>IFERROR(INDEX(הגדרות!$C$2:$C$17,MATCH(H343,הגדרות!$A$2:$A$17,0)),"")</f>
        <v/>
      </c>
      <c r="AB343" t="str">
        <f>IFERROR(INDEX(הגדרות!$B$2:$B$17,MATCH(I343,הגדרות!$A$2:$A$17,0)),"")</f>
        <v/>
      </c>
      <c r="AC343" t="str">
        <f>IFERROR(INDEX(הגדרות!$C$2:$C$17,MATCH(I343,הגדרות!$A$2:$A$17,0)),"")</f>
        <v/>
      </c>
      <c r="AD343">
        <f>IF(AND(מלאי!D343&lt;&gt;"",OR('לוח בקרה'!$B$4="הכל",מלאי!Z343='לוח בקרה'!$B$4,מלאי!AA343='לוח בקרה'!$B$4,מלאי!AB343='לוח בקרה'!$B$4,מלאי!AC343='לוח בקרה'!$B$4),OR('לוח בקרה'!$B$5="הכל",מלאי!A343='לוח בקרה'!$B$5),OR('לוח בקרה'!$B$6="הכל",מלאי!B343='לוח בקרה'!$B$6),OR('לוח בקרה'!$B$7="הכל",מלאי!F343='לוח בקרה'!$B$7,מלאי!G343='לוח בקרה'!$B$7),OR('לוח בקרה'!$B$8="הכל",מלאי!T343='לוח בקרה'!$B$8),OR('לוח בקרה'!$B$9="הכל",מלאי!Q343='לוח בקרה'!$B$9),OR('לוח בקרה'!$E$4="הכל",מלאי!J343='לוח בקרה'!$E$4),OR('לוח בקרה'!$E$5="הכל",מלאי!L343='לוח בקרה'!$E$5),OR('לוח בקרה'!$E$6="הכל",מלאי!O343='לוח בקרה'!$E$6),OR('לוח בקרה'!$E$7="הכל",מלאי!R343='לוח בקרה'!$E$7),OR('לוח בקרה'!$E$8="הכל",'לוח בקרה'!$E$8="",מלאי!W343='לוח בקרה'!$E$8),OR('לוח בקרה'!$E$9="הכל",'לוח בקרה'!$E$9="",ISNUMBER(SEARCH('לוח בקרה'!$E$9,מלאי!C343)))),1,0)</f>
        <v>0</v>
      </c>
      <c r="AE343" t="e">
        <f>IF(AND(מלאי!D343&lt;&gt;"",OR('לוח בקרה טכנו-מבצעי'!$B$4="הכל",מלאי!Z343='לוח בקרה טכנו-מבצעי'!$B$4,מלאי!AA343='לוח בקרה טכנו-מבצעי'!$B$4,מלאי!AB343='לוח בקרה טכנו-מבצעי'!$B$4,מלאי!AC343='לוח בקרה טכנו-מבצעי'!$B$4),OR('לוח בקרה טכנו-מבצעי'!$B$5="הכל",מלאי!A343='לוח בקרה טכנו-מבצעי'!$B$5),OR('לוח בקרה טכנו-מבצעי'!$B$6="הכל",מלאי!B343='לוח בקרה טכנו-מבצעי'!$B$6),OR('לוח בקרה טכנו-מבצעי'!$B$7="הכל",מלאי!F343='לוח בקרה טכנו-מבצעי'!$B$7,מלאי!G343='לוח בקרה טכנו-מבצעי'!$B$7),OR('לוח בקרה טכנו-מבצעי'!$B$8="הכל",מלאי!T343='לוח בקרה טכנו-מבצעי'!$B$8),OR('לוח בקרה טכנו-מבצעי'!$B$9="הכל",מלאי!Q343='לוח בקרה טכנו-מבצעי'!$B$9),OR('לוח בקרה טכנו-מבצעי'!$E$4="הכל",מלאי!J343='לוח בקרה טכנו-מבצעי'!$E$4),OR('לוח בקרה טכנו-מבצעי'!$E$5="הכל",מלאי!L343='לוח בקרה טכנו-מבצעי'!$E$5),OR('לוח בקרה טכנו-מבצעי'!$E$6="הכל",מלאי!O343='לוח בקרה טכנו-מבצעי'!$E$6),OR('לוח בקרה טכנו-מבצעי'!$E$7="הכל",מלאי!R343='לוח בקרה טכנו-מבצעי'!$E$7),OR('לוח בקרה טכנו-מבצעי'!$E$8="הכל",'לוח בקרה טכנו-מבצעי'!$E$8="",מלאי!W343='לוח בקרה טכנו-מבצעי'!$E$8),OR('לוח בקרה טכנו-מבצעי'!$E$9="הכל",'לוח בקרה טכנו-מבצעי'!$E$9="",ISNUMBER(SEARCH('לוח בקרה טכנו-מבצעי'!$E$9,מלאי!C343))),OR('לוח בקרה טכנו-מבצעי'!$B$10="הכל",מלאי!#REF!='לוח בקרה טכנו-מבצעי'!$B$10)),1,0)</f>
        <v>#REF!</v>
      </c>
      <c r="AF343" t="str">
        <f>IF(AD343=1,COUNTIF($AD$3:$AD343,1),"")</f>
        <v/>
      </c>
      <c r="AG343" t="e">
        <f>IF(AE343=1,COUNTIF($AE$3:$AE343,1),"")</f>
        <v>#REF!</v>
      </c>
    </row>
    <row r="344" spans="1:33" ht="15" customHeight="1" x14ac:dyDescent="0.25">
      <c r="A344" s="17"/>
      <c r="B344" s="17"/>
      <c r="C344" s="17"/>
      <c r="D344" s="17"/>
      <c r="E344" s="17" t="str">
        <f>IFERROR(INDEX(הגדרות!$I$2:$I$47,MATCH(B344,הגדרות!$H$2:$H$47,0)),"")</f>
        <v/>
      </c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t="str">
        <f>IFERROR(INDEX(הגדרות!$B$2:$B$17,MATCH(H344,הגדרות!$A$2:$A$17,0)),"")</f>
        <v/>
      </c>
      <c r="AA344" t="str">
        <f>IFERROR(INDEX(הגדרות!$C$2:$C$17,MATCH(H344,הגדרות!$A$2:$A$17,0)),"")</f>
        <v/>
      </c>
      <c r="AB344" t="str">
        <f>IFERROR(INDEX(הגדרות!$B$2:$B$17,MATCH(I344,הגדרות!$A$2:$A$17,0)),"")</f>
        <v/>
      </c>
      <c r="AC344" t="str">
        <f>IFERROR(INDEX(הגדרות!$C$2:$C$17,MATCH(I344,הגדרות!$A$2:$A$17,0)),"")</f>
        <v/>
      </c>
      <c r="AD344">
        <f>IF(AND(מלאי!D344&lt;&gt;"",OR('לוח בקרה'!$B$4="הכל",מלאי!Z344='לוח בקרה'!$B$4,מלאי!AA344='לוח בקרה'!$B$4,מלאי!AB344='לוח בקרה'!$B$4,מלאי!AC344='לוח בקרה'!$B$4),OR('לוח בקרה'!$B$5="הכל",מלאי!A344='לוח בקרה'!$B$5),OR('לוח בקרה'!$B$6="הכל",מלאי!B344='לוח בקרה'!$B$6),OR('לוח בקרה'!$B$7="הכל",מלאי!F344='לוח בקרה'!$B$7,מלאי!G344='לוח בקרה'!$B$7),OR('לוח בקרה'!$B$8="הכל",מלאי!T344='לוח בקרה'!$B$8),OR('לוח בקרה'!$B$9="הכל",מלאי!Q344='לוח בקרה'!$B$9),OR('לוח בקרה'!$E$4="הכל",מלאי!J344='לוח בקרה'!$E$4),OR('לוח בקרה'!$E$5="הכל",מלאי!L344='לוח בקרה'!$E$5),OR('לוח בקרה'!$E$6="הכל",מלאי!O344='לוח בקרה'!$E$6),OR('לוח בקרה'!$E$7="הכל",מלאי!R344='לוח בקרה'!$E$7),OR('לוח בקרה'!$E$8="הכל",'לוח בקרה'!$E$8="",מלאי!W344='לוח בקרה'!$E$8),OR('לוח בקרה'!$E$9="הכל",'לוח בקרה'!$E$9="",ISNUMBER(SEARCH('לוח בקרה'!$E$9,מלאי!C344)))),1,0)</f>
        <v>0</v>
      </c>
      <c r="AE344" t="e">
        <f>IF(AND(מלאי!D344&lt;&gt;"",OR('לוח בקרה טכנו-מבצעי'!$B$4="הכל",מלאי!Z344='לוח בקרה טכנו-מבצעי'!$B$4,מלאי!AA344='לוח בקרה טכנו-מבצעי'!$B$4,מלאי!AB344='לוח בקרה טכנו-מבצעי'!$B$4,מלאי!AC344='לוח בקרה טכנו-מבצעי'!$B$4),OR('לוח בקרה טכנו-מבצעי'!$B$5="הכל",מלאי!A344='לוח בקרה טכנו-מבצעי'!$B$5),OR('לוח בקרה טכנו-מבצעי'!$B$6="הכל",מלאי!B344='לוח בקרה טכנו-מבצעי'!$B$6),OR('לוח בקרה טכנו-מבצעי'!$B$7="הכל",מלאי!F344='לוח בקרה טכנו-מבצעי'!$B$7,מלאי!G344='לוח בקרה טכנו-מבצעי'!$B$7),OR('לוח בקרה טכנו-מבצעי'!$B$8="הכל",מלאי!T344='לוח בקרה טכנו-מבצעי'!$B$8),OR('לוח בקרה טכנו-מבצעי'!$B$9="הכל",מלאי!Q344='לוח בקרה טכנו-מבצעי'!$B$9),OR('לוח בקרה טכנו-מבצעי'!$E$4="הכל",מלאי!J344='לוח בקרה טכנו-מבצעי'!$E$4),OR('לוח בקרה טכנו-מבצעי'!$E$5="הכל",מלאי!L344='לוח בקרה טכנו-מבצעי'!$E$5),OR('לוח בקרה טכנו-מבצעי'!$E$6="הכל",מלאי!O344='לוח בקרה טכנו-מבצעי'!$E$6),OR('לוח בקרה טכנו-מבצעי'!$E$7="הכל",מלאי!R344='לוח בקרה טכנו-מבצעי'!$E$7),OR('לוח בקרה טכנו-מבצעי'!$E$8="הכל",'לוח בקרה טכנו-מבצעי'!$E$8="",מלאי!W344='לוח בקרה טכנו-מבצעי'!$E$8),OR('לוח בקרה טכנו-מבצעי'!$E$9="הכל",'לוח בקרה טכנו-מבצעי'!$E$9="",ISNUMBER(SEARCH('לוח בקרה טכנו-מבצעי'!$E$9,מלאי!C344))),OR('לוח בקרה טכנו-מבצעי'!$B$10="הכל",מלאי!#REF!='לוח בקרה טכנו-מבצעי'!$B$10)),1,0)</f>
        <v>#REF!</v>
      </c>
      <c r="AF344" t="str">
        <f>IF(AD344=1,COUNTIF($AD$3:$AD344,1),"")</f>
        <v/>
      </c>
      <c r="AG344" t="e">
        <f>IF(AE344=1,COUNTIF($AE$3:$AE344,1),"")</f>
        <v>#REF!</v>
      </c>
    </row>
    <row r="345" spans="1:33" ht="15" customHeight="1" x14ac:dyDescent="0.25">
      <c r="A345" s="19"/>
      <c r="B345" s="19"/>
      <c r="C345" s="19"/>
      <c r="D345" s="19"/>
      <c r="E345" s="19" t="str">
        <f>IFERROR(INDEX(הגדרות!$I$2:$I$47,MATCH(B345,הגדרות!$H$2:$H$47,0)),"")</f>
        <v/>
      </c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t="str">
        <f>IFERROR(INDEX(הגדרות!$B$2:$B$17,MATCH(H345,הגדרות!$A$2:$A$17,0)),"")</f>
        <v/>
      </c>
      <c r="AA345" t="str">
        <f>IFERROR(INDEX(הגדרות!$C$2:$C$17,MATCH(H345,הגדרות!$A$2:$A$17,0)),"")</f>
        <v/>
      </c>
      <c r="AB345" t="str">
        <f>IFERROR(INDEX(הגדרות!$B$2:$B$17,MATCH(I345,הגדרות!$A$2:$A$17,0)),"")</f>
        <v/>
      </c>
      <c r="AC345" t="str">
        <f>IFERROR(INDEX(הגדרות!$C$2:$C$17,MATCH(I345,הגדרות!$A$2:$A$17,0)),"")</f>
        <v/>
      </c>
      <c r="AD345">
        <f>IF(AND(מלאי!D345&lt;&gt;"",OR('לוח בקרה'!$B$4="הכל",מלאי!Z345='לוח בקרה'!$B$4,מלאי!AA345='לוח בקרה'!$B$4,מלאי!AB345='לוח בקרה'!$B$4,מלאי!AC345='לוח בקרה'!$B$4),OR('לוח בקרה'!$B$5="הכל",מלאי!A345='לוח בקרה'!$B$5),OR('לוח בקרה'!$B$6="הכל",מלאי!B345='לוח בקרה'!$B$6),OR('לוח בקרה'!$B$7="הכל",מלאי!F345='לוח בקרה'!$B$7,מלאי!G345='לוח בקרה'!$B$7),OR('לוח בקרה'!$B$8="הכל",מלאי!T345='לוח בקרה'!$B$8),OR('לוח בקרה'!$B$9="הכל",מלאי!Q345='לוח בקרה'!$B$9),OR('לוח בקרה'!$E$4="הכל",מלאי!J345='לוח בקרה'!$E$4),OR('לוח בקרה'!$E$5="הכל",מלאי!L345='לוח בקרה'!$E$5),OR('לוח בקרה'!$E$6="הכל",מלאי!O345='לוח בקרה'!$E$6),OR('לוח בקרה'!$E$7="הכל",מלאי!R345='לוח בקרה'!$E$7),OR('לוח בקרה'!$E$8="הכל",'לוח בקרה'!$E$8="",מלאי!W345='לוח בקרה'!$E$8),OR('לוח בקרה'!$E$9="הכל",'לוח בקרה'!$E$9="",ISNUMBER(SEARCH('לוח בקרה'!$E$9,מלאי!C345)))),1,0)</f>
        <v>0</v>
      </c>
      <c r="AE345" t="e">
        <f>IF(AND(מלאי!D345&lt;&gt;"",OR('לוח בקרה טכנו-מבצעי'!$B$4="הכל",מלאי!Z345='לוח בקרה טכנו-מבצעי'!$B$4,מלאי!AA345='לוח בקרה טכנו-מבצעי'!$B$4,מלאי!AB345='לוח בקרה טכנו-מבצעי'!$B$4,מלאי!AC345='לוח בקרה טכנו-מבצעי'!$B$4),OR('לוח בקרה טכנו-מבצעי'!$B$5="הכל",מלאי!A345='לוח בקרה טכנו-מבצעי'!$B$5),OR('לוח בקרה טכנו-מבצעי'!$B$6="הכל",מלאי!B345='לוח בקרה טכנו-מבצעי'!$B$6),OR('לוח בקרה טכנו-מבצעי'!$B$7="הכל",מלאי!F345='לוח בקרה טכנו-מבצעי'!$B$7,מלאי!G345='לוח בקרה טכנו-מבצעי'!$B$7),OR('לוח בקרה טכנו-מבצעי'!$B$8="הכל",מלאי!T345='לוח בקרה טכנו-מבצעי'!$B$8),OR('לוח בקרה טכנו-מבצעי'!$B$9="הכל",מלאי!Q345='לוח בקרה טכנו-מבצעי'!$B$9),OR('לוח בקרה טכנו-מבצעי'!$E$4="הכל",מלאי!J345='לוח בקרה טכנו-מבצעי'!$E$4),OR('לוח בקרה טכנו-מבצעי'!$E$5="הכל",מלאי!L345='לוח בקרה טכנו-מבצעי'!$E$5),OR('לוח בקרה טכנו-מבצעי'!$E$6="הכל",מלאי!O345='לוח בקרה טכנו-מבצעי'!$E$6),OR('לוח בקרה טכנו-מבצעי'!$E$7="הכל",מלאי!R345='לוח בקרה טכנו-מבצעי'!$E$7),OR('לוח בקרה טכנו-מבצעי'!$E$8="הכל",'לוח בקרה טכנו-מבצעי'!$E$8="",מלאי!W345='לוח בקרה טכנו-מבצעי'!$E$8),OR('לוח בקרה טכנו-מבצעי'!$E$9="הכל",'לוח בקרה טכנו-מבצעי'!$E$9="",ISNUMBER(SEARCH('לוח בקרה טכנו-מבצעי'!$E$9,מלאי!C345))),OR('לוח בקרה טכנו-מבצעי'!$B$10="הכל",מלאי!#REF!='לוח בקרה טכנו-מבצעי'!$B$10)),1,0)</f>
        <v>#REF!</v>
      </c>
      <c r="AF345" t="str">
        <f>IF(AD345=1,COUNTIF($AD$3:$AD345,1),"")</f>
        <v/>
      </c>
      <c r="AG345" t="e">
        <f>IF(AE345=1,COUNTIF($AE$3:$AE345,1),"")</f>
        <v>#REF!</v>
      </c>
    </row>
    <row r="346" spans="1:33" ht="15" customHeight="1" x14ac:dyDescent="0.25">
      <c r="A346" s="17"/>
      <c r="B346" s="17"/>
      <c r="C346" s="17"/>
      <c r="D346" s="17"/>
      <c r="E346" s="17" t="str">
        <f>IFERROR(INDEX(הגדרות!$I$2:$I$47,MATCH(B346,הגדרות!$H$2:$H$47,0)),"")</f>
        <v/>
      </c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t="str">
        <f>IFERROR(INDEX(הגדרות!$B$2:$B$17,MATCH(H346,הגדרות!$A$2:$A$17,0)),"")</f>
        <v/>
      </c>
      <c r="AA346" t="str">
        <f>IFERROR(INDEX(הגדרות!$C$2:$C$17,MATCH(H346,הגדרות!$A$2:$A$17,0)),"")</f>
        <v/>
      </c>
      <c r="AB346" t="str">
        <f>IFERROR(INDEX(הגדרות!$B$2:$B$17,MATCH(I346,הגדרות!$A$2:$A$17,0)),"")</f>
        <v/>
      </c>
      <c r="AC346" t="str">
        <f>IFERROR(INDEX(הגדרות!$C$2:$C$17,MATCH(I346,הגדרות!$A$2:$A$17,0)),"")</f>
        <v/>
      </c>
      <c r="AD346">
        <f>IF(AND(מלאי!D346&lt;&gt;"",OR('לוח בקרה'!$B$4="הכל",מלאי!Z346='לוח בקרה'!$B$4,מלאי!AA346='לוח בקרה'!$B$4,מלאי!AB346='לוח בקרה'!$B$4,מלאי!AC346='לוח בקרה'!$B$4),OR('לוח בקרה'!$B$5="הכל",מלאי!A346='לוח בקרה'!$B$5),OR('לוח בקרה'!$B$6="הכל",מלאי!B346='לוח בקרה'!$B$6),OR('לוח בקרה'!$B$7="הכל",מלאי!F346='לוח בקרה'!$B$7,מלאי!G346='לוח בקרה'!$B$7),OR('לוח בקרה'!$B$8="הכל",מלאי!T346='לוח בקרה'!$B$8),OR('לוח בקרה'!$B$9="הכל",מלאי!Q346='לוח בקרה'!$B$9),OR('לוח בקרה'!$E$4="הכל",מלאי!J346='לוח בקרה'!$E$4),OR('לוח בקרה'!$E$5="הכל",מלאי!L346='לוח בקרה'!$E$5),OR('לוח בקרה'!$E$6="הכל",מלאי!O346='לוח בקרה'!$E$6),OR('לוח בקרה'!$E$7="הכל",מלאי!R346='לוח בקרה'!$E$7),OR('לוח בקרה'!$E$8="הכל",'לוח בקרה'!$E$8="",מלאי!W346='לוח בקרה'!$E$8),OR('לוח בקרה'!$E$9="הכל",'לוח בקרה'!$E$9="",ISNUMBER(SEARCH('לוח בקרה'!$E$9,מלאי!C346)))),1,0)</f>
        <v>0</v>
      </c>
      <c r="AE346" t="e">
        <f>IF(AND(מלאי!D346&lt;&gt;"",OR('לוח בקרה טכנו-מבצעי'!$B$4="הכל",מלאי!Z346='לוח בקרה טכנו-מבצעי'!$B$4,מלאי!AA346='לוח בקרה טכנו-מבצעי'!$B$4,מלאי!AB346='לוח בקרה טכנו-מבצעי'!$B$4,מלאי!AC346='לוח בקרה טכנו-מבצעי'!$B$4),OR('לוח בקרה טכנו-מבצעי'!$B$5="הכל",מלאי!A346='לוח בקרה טכנו-מבצעי'!$B$5),OR('לוח בקרה טכנו-מבצעי'!$B$6="הכל",מלאי!B346='לוח בקרה טכנו-מבצעי'!$B$6),OR('לוח בקרה טכנו-מבצעי'!$B$7="הכל",מלאי!F346='לוח בקרה טכנו-מבצעי'!$B$7,מלאי!G346='לוח בקרה טכנו-מבצעי'!$B$7),OR('לוח בקרה טכנו-מבצעי'!$B$8="הכל",מלאי!T346='לוח בקרה טכנו-מבצעי'!$B$8),OR('לוח בקרה טכנו-מבצעי'!$B$9="הכל",מלאי!Q346='לוח בקרה טכנו-מבצעי'!$B$9),OR('לוח בקרה טכנו-מבצעי'!$E$4="הכל",מלאי!J346='לוח בקרה טכנו-מבצעי'!$E$4),OR('לוח בקרה טכנו-מבצעי'!$E$5="הכל",מלאי!L346='לוח בקרה טכנו-מבצעי'!$E$5),OR('לוח בקרה טכנו-מבצעי'!$E$6="הכל",מלאי!O346='לוח בקרה טכנו-מבצעי'!$E$6),OR('לוח בקרה טכנו-מבצעי'!$E$7="הכל",מלאי!R346='לוח בקרה טכנו-מבצעי'!$E$7),OR('לוח בקרה טכנו-מבצעי'!$E$8="הכל",'לוח בקרה טכנו-מבצעי'!$E$8="",מלאי!W346='לוח בקרה טכנו-מבצעי'!$E$8),OR('לוח בקרה טכנו-מבצעי'!$E$9="הכל",'לוח בקרה טכנו-מבצעי'!$E$9="",ISNUMBER(SEARCH('לוח בקרה טכנו-מבצעי'!$E$9,מלאי!C346))),OR('לוח בקרה טכנו-מבצעי'!$B$10="הכל",מלאי!#REF!='לוח בקרה טכנו-מבצעי'!$B$10)),1,0)</f>
        <v>#REF!</v>
      </c>
      <c r="AF346" t="str">
        <f>IF(AD346=1,COUNTIF($AD$3:$AD346,1),"")</f>
        <v/>
      </c>
      <c r="AG346" t="e">
        <f>IF(AE346=1,COUNTIF($AE$3:$AE346,1),"")</f>
        <v>#REF!</v>
      </c>
    </row>
    <row r="347" spans="1:33" ht="15" customHeight="1" x14ac:dyDescent="0.25">
      <c r="A347" s="19"/>
      <c r="B347" s="19"/>
      <c r="C347" s="19"/>
      <c r="D347" s="19"/>
      <c r="E347" s="19" t="str">
        <f>IFERROR(INDEX(הגדרות!$I$2:$I$47,MATCH(B347,הגדרות!$H$2:$H$47,0)),"")</f>
        <v/>
      </c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t="str">
        <f>IFERROR(INDEX(הגדרות!$B$2:$B$17,MATCH(H347,הגדרות!$A$2:$A$17,0)),"")</f>
        <v/>
      </c>
      <c r="AA347" t="str">
        <f>IFERROR(INDEX(הגדרות!$C$2:$C$17,MATCH(H347,הגדרות!$A$2:$A$17,0)),"")</f>
        <v/>
      </c>
      <c r="AB347" t="str">
        <f>IFERROR(INDEX(הגדרות!$B$2:$B$17,MATCH(I347,הגדרות!$A$2:$A$17,0)),"")</f>
        <v/>
      </c>
      <c r="AC347" t="str">
        <f>IFERROR(INDEX(הגדרות!$C$2:$C$17,MATCH(I347,הגדרות!$A$2:$A$17,0)),"")</f>
        <v/>
      </c>
      <c r="AD347">
        <f>IF(AND(מלאי!D347&lt;&gt;"",OR('לוח בקרה'!$B$4="הכל",מלאי!Z347='לוח בקרה'!$B$4,מלאי!AA347='לוח בקרה'!$B$4,מלאי!AB347='לוח בקרה'!$B$4,מלאי!AC347='לוח בקרה'!$B$4),OR('לוח בקרה'!$B$5="הכל",מלאי!A347='לוח בקרה'!$B$5),OR('לוח בקרה'!$B$6="הכל",מלאי!B347='לוח בקרה'!$B$6),OR('לוח בקרה'!$B$7="הכל",מלאי!F347='לוח בקרה'!$B$7,מלאי!G347='לוח בקרה'!$B$7),OR('לוח בקרה'!$B$8="הכל",מלאי!T347='לוח בקרה'!$B$8),OR('לוח בקרה'!$B$9="הכל",מלאי!Q347='לוח בקרה'!$B$9),OR('לוח בקרה'!$E$4="הכל",מלאי!J347='לוח בקרה'!$E$4),OR('לוח בקרה'!$E$5="הכל",מלאי!L347='לוח בקרה'!$E$5),OR('לוח בקרה'!$E$6="הכל",מלאי!O347='לוח בקרה'!$E$6),OR('לוח בקרה'!$E$7="הכל",מלאי!R347='לוח בקרה'!$E$7),OR('לוח בקרה'!$E$8="הכל",'לוח בקרה'!$E$8="",מלאי!W347='לוח בקרה'!$E$8),OR('לוח בקרה'!$E$9="הכל",'לוח בקרה'!$E$9="",ISNUMBER(SEARCH('לוח בקרה'!$E$9,מלאי!C347)))),1,0)</f>
        <v>0</v>
      </c>
      <c r="AE347" t="e">
        <f>IF(AND(מלאי!D347&lt;&gt;"",OR('לוח בקרה טכנו-מבצעי'!$B$4="הכל",מלאי!Z347='לוח בקרה טכנו-מבצעי'!$B$4,מלאי!AA347='לוח בקרה טכנו-מבצעי'!$B$4,מלאי!AB347='לוח בקרה טכנו-מבצעי'!$B$4,מלאי!AC347='לוח בקרה טכנו-מבצעי'!$B$4),OR('לוח בקרה טכנו-מבצעי'!$B$5="הכל",מלאי!A347='לוח בקרה טכנו-מבצעי'!$B$5),OR('לוח בקרה טכנו-מבצעי'!$B$6="הכל",מלאי!B347='לוח בקרה טכנו-מבצעי'!$B$6),OR('לוח בקרה טכנו-מבצעי'!$B$7="הכל",מלאי!F347='לוח בקרה טכנו-מבצעי'!$B$7,מלאי!G347='לוח בקרה טכנו-מבצעי'!$B$7),OR('לוח בקרה טכנו-מבצעי'!$B$8="הכל",מלאי!T347='לוח בקרה טכנו-מבצעי'!$B$8),OR('לוח בקרה טכנו-מבצעי'!$B$9="הכל",מלאי!Q347='לוח בקרה טכנו-מבצעי'!$B$9),OR('לוח בקרה טכנו-מבצעי'!$E$4="הכל",מלאי!J347='לוח בקרה טכנו-מבצעי'!$E$4),OR('לוח בקרה טכנו-מבצעי'!$E$5="הכל",מלאי!L347='לוח בקרה טכנו-מבצעי'!$E$5),OR('לוח בקרה טכנו-מבצעי'!$E$6="הכל",מלאי!O347='לוח בקרה טכנו-מבצעי'!$E$6),OR('לוח בקרה טכנו-מבצעי'!$E$7="הכל",מלאי!R347='לוח בקרה טכנו-מבצעי'!$E$7),OR('לוח בקרה טכנו-מבצעי'!$E$8="הכל",'לוח בקרה טכנו-מבצעי'!$E$8="",מלאי!W347='לוח בקרה טכנו-מבצעי'!$E$8),OR('לוח בקרה טכנו-מבצעי'!$E$9="הכל",'לוח בקרה טכנו-מבצעי'!$E$9="",ISNUMBER(SEARCH('לוח בקרה טכנו-מבצעי'!$E$9,מלאי!C347))),OR('לוח בקרה טכנו-מבצעי'!$B$10="הכל",מלאי!#REF!='לוח בקרה טכנו-מבצעי'!$B$10)),1,0)</f>
        <v>#REF!</v>
      </c>
      <c r="AF347" t="str">
        <f>IF(AD347=1,COUNTIF($AD$3:$AD347,1),"")</f>
        <v/>
      </c>
      <c r="AG347" t="e">
        <f>IF(AE347=1,COUNTIF($AE$3:$AE347,1),"")</f>
        <v>#REF!</v>
      </c>
    </row>
    <row r="348" spans="1:33" ht="15" customHeight="1" x14ac:dyDescent="0.25">
      <c r="A348" s="17"/>
      <c r="B348" s="17"/>
      <c r="C348" s="17"/>
      <c r="D348" s="17"/>
      <c r="E348" s="17" t="str">
        <f>IFERROR(INDEX(הגדרות!$I$2:$I$47,MATCH(B348,הגדרות!$H$2:$H$47,0)),"")</f>
        <v/>
      </c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t="str">
        <f>IFERROR(INDEX(הגדרות!$B$2:$B$17,MATCH(H348,הגדרות!$A$2:$A$17,0)),"")</f>
        <v/>
      </c>
      <c r="AA348" t="str">
        <f>IFERROR(INDEX(הגדרות!$C$2:$C$17,MATCH(H348,הגדרות!$A$2:$A$17,0)),"")</f>
        <v/>
      </c>
      <c r="AB348" t="str">
        <f>IFERROR(INDEX(הגדרות!$B$2:$B$17,MATCH(I348,הגדרות!$A$2:$A$17,0)),"")</f>
        <v/>
      </c>
      <c r="AC348" t="str">
        <f>IFERROR(INDEX(הגדרות!$C$2:$C$17,MATCH(I348,הגדרות!$A$2:$A$17,0)),"")</f>
        <v/>
      </c>
      <c r="AD348">
        <f>IF(AND(מלאי!D348&lt;&gt;"",OR('לוח בקרה'!$B$4="הכל",מלאי!Z348='לוח בקרה'!$B$4,מלאי!AA348='לוח בקרה'!$B$4,מלאי!AB348='לוח בקרה'!$B$4,מלאי!AC348='לוח בקרה'!$B$4),OR('לוח בקרה'!$B$5="הכל",מלאי!A348='לוח בקרה'!$B$5),OR('לוח בקרה'!$B$6="הכל",מלאי!B348='לוח בקרה'!$B$6),OR('לוח בקרה'!$B$7="הכל",מלאי!F348='לוח בקרה'!$B$7,מלאי!G348='לוח בקרה'!$B$7),OR('לוח בקרה'!$B$8="הכל",מלאי!T348='לוח בקרה'!$B$8),OR('לוח בקרה'!$B$9="הכל",מלאי!Q348='לוח בקרה'!$B$9),OR('לוח בקרה'!$E$4="הכל",מלאי!J348='לוח בקרה'!$E$4),OR('לוח בקרה'!$E$5="הכל",מלאי!L348='לוח בקרה'!$E$5),OR('לוח בקרה'!$E$6="הכל",מלאי!O348='לוח בקרה'!$E$6),OR('לוח בקרה'!$E$7="הכל",מלאי!R348='לוח בקרה'!$E$7),OR('לוח בקרה'!$E$8="הכל",'לוח בקרה'!$E$8="",מלאי!W348='לוח בקרה'!$E$8),OR('לוח בקרה'!$E$9="הכל",'לוח בקרה'!$E$9="",ISNUMBER(SEARCH('לוח בקרה'!$E$9,מלאי!C348)))),1,0)</f>
        <v>0</v>
      </c>
      <c r="AE348" t="e">
        <f>IF(AND(מלאי!D348&lt;&gt;"",OR('לוח בקרה טכנו-מבצעי'!$B$4="הכל",מלאי!Z348='לוח בקרה טכנו-מבצעי'!$B$4,מלאי!AA348='לוח בקרה טכנו-מבצעי'!$B$4,מלאי!AB348='לוח בקרה טכנו-מבצעי'!$B$4,מלאי!AC348='לוח בקרה טכנו-מבצעי'!$B$4),OR('לוח בקרה טכנו-מבצעי'!$B$5="הכל",מלאי!A348='לוח בקרה טכנו-מבצעי'!$B$5),OR('לוח בקרה טכנו-מבצעי'!$B$6="הכל",מלאי!B348='לוח בקרה טכנו-מבצעי'!$B$6),OR('לוח בקרה טכנו-מבצעי'!$B$7="הכל",מלאי!F348='לוח בקרה טכנו-מבצעי'!$B$7,מלאי!G348='לוח בקרה טכנו-מבצעי'!$B$7),OR('לוח בקרה טכנו-מבצעי'!$B$8="הכל",מלאי!T348='לוח בקרה טכנו-מבצעי'!$B$8),OR('לוח בקרה טכנו-מבצעי'!$B$9="הכל",מלאי!Q348='לוח בקרה טכנו-מבצעי'!$B$9),OR('לוח בקרה טכנו-מבצעי'!$E$4="הכל",מלאי!J348='לוח בקרה טכנו-מבצעי'!$E$4),OR('לוח בקרה טכנו-מבצעי'!$E$5="הכל",מלאי!L348='לוח בקרה טכנו-מבצעי'!$E$5),OR('לוח בקרה טכנו-מבצעי'!$E$6="הכל",מלאי!O348='לוח בקרה טכנו-מבצעי'!$E$6),OR('לוח בקרה טכנו-מבצעי'!$E$7="הכל",מלאי!R348='לוח בקרה טכנו-מבצעי'!$E$7),OR('לוח בקרה טכנו-מבצעי'!$E$8="הכל",'לוח בקרה טכנו-מבצעי'!$E$8="",מלאי!W348='לוח בקרה טכנו-מבצעי'!$E$8),OR('לוח בקרה טכנו-מבצעי'!$E$9="הכל",'לוח בקרה טכנו-מבצעי'!$E$9="",ISNUMBER(SEARCH('לוח בקרה טכנו-מבצעי'!$E$9,מלאי!C348))),OR('לוח בקרה טכנו-מבצעי'!$B$10="הכל",מלאי!#REF!='לוח בקרה טכנו-מבצעי'!$B$10)),1,0)</f>
        <v>#REF!</v>
      </c>
      <c r="AF348" t="str">
        <f>IF(AD348=1,COUNTIF($AD$3:$AD348,1),"")</f>
        <v/>
      </c>
      <c r="AG348" t="e">
        <f>IF(AE348=1,COUNTIF($AE$3:$AE348,1),"")</f>
        <v>#REF!</v>
      </c>
    </row>
    <row r="349" spans="1:33" ht="15" customHeight="1" x14ac:dyDescent="0.25">
      <c r="A349" s="19"/>
      <c r="B349" s="19"/>
      <c r="C349" s="19"/>
      <c r="D349" s="19"/>
      <c r="E349" s="19" t="str">
        <f>IFERROR(INDEX(הגדרות!$I$2:$I$47,MATCH(B349,הגדרות!$H$2:$H$47,0)),"")</f>
        <v/>
      </c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t="str">
        <f>IFERROR(INDEX(הגדרות!$B$2:$B$17,MATCH(H349,הגדרות!$A$2:$A$17,0)),"")</f>
        <v/>
      </c>
      <c r="AA349" t="str">
        <f>IFERROR(INDEX(הגדרות!$C$2:$C$17,MATCH(H349,הגדרות!$A$2:$A$17,0)),"")</f>
        <v/>
      </c>
      <c r="AB349" t="str">
        <f>IFERROR(INDEX(הגדרות!$B$2:$B$17,MATCH(I349,הגדרות!$A$2:$A$17,0)),"")</f>
        <v/>
      </c>
      <c r="AC349" t="str">
        <f>IFERROR(INDEX(הגדרות!$C$2:$C$17,MATCH(I349,הגדרות!$A$2:$A$17,0)),"")</f>
        <v/>
      </c>
      <c r="AD349">
        <f>IF(AND(מלאי!D349&lt;&gt;"",OR('לוח בקרה'!$B$4="הכל",מלאי!Z349='לוח בקרה'!$B$4,מלאי!AA349='לוח בקרה'!$B$4,מלאי!AB349='לוח בקרה'!$B$4,מלאי!AC349='לוח בקרה'!$B$4),OR('לוח בקרה'!$B$5="הכל",מלאי!A349='לוח בקרה'!$B$5),OR('לוח בקרה'!$B$6="הכל",מלאי!B349='לוח בקרה'!$B$6),OR('לוח בקרה'!$B$7="הכל",מלאי!F349='לוח בקרה'!$B$7,מלאי!G349='לוח בקרה'!$B$7),OR('לוח בקרה'!$B$8="הכל",מלאי!T349='לוח בקרה'!$B$8),OR('לוח בקרה'!$B$9="הכל",מלאי!Q349='לוח בקרה'!$B$9),OR('לוח בקרה'!$E$4="הכל",מלאי!J349='לוח בקרה'!$E$4),OR('לוח בקרה'!$E$5="הכל",מלאי!L349='לוח בקרה'!$E$5),OR('לוח בקרה'!$E$6="הכל",מלאי!O349='לוח בקרה'!$E$6),OR('לוח בקרה'!$E$7="הכל",מלאי!R349='לוח בקרה'!$E$7),OR('לוח בקרה'!$E$8="הכל",'לוח בקרה'!$E$8="",מלאי!W349='לוח בקרה'!$E$8),OR('לוח בקרה'!$E$9="הכל",'לוח בקרה'!$E$9="",ISNUMBER(SEARCH('לוח בקרה'!$E$9,מלאי!C349)))),1,0)</f>
        <v>0</v>
      </c>
      <c r="AE349" t="e">
        <f>IF(AND(מלאי!D349&lt;&gt;"",OR('לוח בקרה טכנו-מבצעי'!$B$4="הכל",מלאי!Z349='לוח בקרה טכנו-מבצעי'!$B$4,מלאי!AA349='לוח בקרה טכנו-מבצעי'!$B$4,מלאי!AB349='לוח בקרה טכנו-מבצעי'!$B$4,מלאי!AC349='לוח בקרה טכנו-מבצעי'!$B$4),OR('לוח בקרה טכנו-מבצעי'!$B$5="הכל",מלאי!A349='לוח בקרה טכנו-מבצעי'!$B$5),OR('לוח בקרה טכנו-מבצעי'!$B$6="הכל",מלאי!B349='לוח בקרה טכנו-מבצעי'!$B$6),OR('לוח בקרה טכנו-מבצעי'!$B$7="הכל",מלאי!F349='לוח בקרה טכנו-מבצעי'!$B$7,מלאי!G349='לוח בקרה טכנו-מבצעי'!$B$7),OR('לוח בקרה טכנו-מבצעי'!$B$8="הכל",מלאי!T349='לוח בקרה טכנו-מבצעי'!$B$8),OR('לוח בקרה טכנו-מבצעי'!$B$9="הכל",מלאי!Q349='לוח בקרה טכנו-מבצעי'!$B$9),OR('לוח בקרה טכנו-מבצעי'!$E$4="הכל",מלאי!J349='לוח בקרה טכנו-מבצעי'!$E$4),OR('לוח בקרה טכנו-מבצעי'!$E$5="הכל",מלאי!L349='לוח בקרה טכנו-מבצעי'!$E$5),OR('לוח בקרה טכנו-מבצעי'!$E$6="הכל",מלאי!O349='לוח בקרה טכנו-מבצעי'!$E$6),OR('לוח בקרה טכנו-מבצעי'!$E$7="הכל",מלאי!R349='לוח בקרה טכנו-מבצעי'!$E$7),OR('לוח בקרה טכנו-מבצעי'!$E$8="הכל",'לוח בקרה טכנו-מבצעי'!$E$8="",מלאי!W349='לוח בקרה טכנו-מבצעי'!$E$8),OR('לוח בקרה טכנו-מבצעי'!$E$9="הכל",'לוח בקרה טכנו-מבצעי'!$E$9="",ISNUMBER(SEARCH('לוח בקרה טכנו-מבצעי'!$E$9,מלאי!C349))),OR('לוח בקרה טכנו-מבצעי'!$B$10="הכל",מלאי!#REF!='לוח בקרה טכנו-מבצעי'!$B$10)),1,0)</f>
        <v>#REF!</v>
      </c>
      <c r="AF349" t="str">
        <f>IF(AD349=1,COUNTIF($AD$3:$AD349,1),"")</f>
        <v/>
      </c>
      <c r="AG349" t="e">
        <f>IF(AE349=1,COUNTIF($AE$3:$AE349,1),"")</f>
        <v>#REF!</v>
      </c>
    </row>
    <row r="350" spans="1:33" ht="15" customHeight="1" x14ac:dyDescent="0.25">
      <c r="A350" s="17"/>
      <c r="B350" s="17"/>
      <c r="C350" s="17"/>
      <c r="D350" s="17"/>
      <c r="E350" s="17" t="str">
        <f>IFERROR(INDEX(הגדרות!$I$2:$I$47,MATCH(B350,הגדרות!$H$2:$H$47,0)),"")</f>
        <v/>
      </c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t="str">
        <f>IFERROR(INDEX(הגדרות!$B$2:$B$17,MATCH(H350,הגדרות!$A$2:$A$17,0)),"")</f>
        <v/>
      </c>
      <c r="AA350" t="str">
        <f>IFERROR(INDEX(הגדרות!$C$2:$C$17,MATCH(H350,הגדרות!$A$2:$A$17,0)),"")</f>
        <v/>
      </c>
      <c r="AB350" t="str">
        <f>IFERROR(INDEX(הגדרות!$B$2:$B$17,MATCH(I350,הגדרות!$A$2:$A$17,0)),"")</f>
        <v/>
      </c>
      <c r="AC350" t="str">
        <f>IFERROR(INDEX(הגדרות!$C$2:$C$17,MATCH(I350,הגדרות!$A$2:$A$17,0)),"")</f>
        <v/>
      </c>
      <c r="AD350">
        <f>IF(AND(מלאי!D350&lt;&gt;"",OR('לוח בקרה'!$B$4="הכל",מלאי!Z350='לוח בקרה'!$B$4,מלאי!AA350='לוח בקרה'!$B$4,מלאי!AB350='לוח בקרה'!$B$4,מלאי!AC350='לוח בקרה'!$B$4),OR('לוח בקרה'!$B$5="הכל",מלאי!A350='לוח בקרה'!$B$5),OR('לוח בקרה'!$B$6="הכל",מלאי!B350='לוח בקרה'!$B$6),OR('לוח בקרה'!$B$7="הכל",מלאי!F350='לוח בקרה'!$B$7,מלאי!G350='לוח בקרה'!$B$7),OR('לוח בקרה'!$B$8="הכל",מלאי!T350='לוח בקרה'!$B$8),OR('לוח בקרה'!$B$9="הכל",מלאי!Q350='לוח בקרה'!$B$9),OR('לוח בקרה'!$E$4="הכל",מלאי!J350='לוח בקרה'!$E$4),OR('לוח בקרה'!$E$5="הכל",מלאי!L350='לוח בקרה'!$E$5),OR('לוח בקרה'!$E$6="הכל",מלאי!O350='לוח בקרה'!$E$6),OR('לוח בקרה'!$E$7="הכל",מלאי!R350='לוח בקרה'!$E$7),OR('לוח בקרה'!$E$8="הכל",'לוח בקרה'!$E$8="",מלאי!W350='לוח בקרה'!$E$8),OR('לוח בקרה'!$E$9="הכל",'לוח בקרה'!$E$9="",ISNUMBER(SEARCH('לוח בקרה'!$E$9,מלאי!C350)))),1,0)</f>
        <v>0</v>
      </c>
      <c r="AE350" t="e">
        <f>IF(AND(מלאי!D350&lt;&gt;"",OR('לוח בקרה טכנו-מבצעי'!$B$4="הכל",מלאי!Z350='לוח בקרה טכנו-מבצעי'!$B$4,מלאי!AA350='לוח בקרה טכנו-מבצעי'!$B$4,מלאי!AB350='לוח בקרה טכנו-מבצעי'!$B$4,מלאי!AC350='לוח בקרה טכנו-מבצעי'!$B$4),OR('לוח בקרה טכנו-מבצעי'!$B$5="הכל",מלאי!A350='לוח בקרה טכנו-מבצעי'!$B$5),OR('לוח בקרה טכנו-מבצעי'!$B$6="הכל",מלאי!B350='לוח בקרה טכנו-מבצעי'!$B$6),OR('לוח בקרה טכנו-מבצעי'!$B$7="הכל",מלאי!F350='לוח בקרה טכנו-מבצעי'!$B$7,מלאי!G350='לוח בקרה טכנו-מבצעי'!$B$7),OR('לוח בקרה טכנו-מבצעי'!$B$8="הכל",מלאי!T350='לוח בקרה טכנו-מבצעי'!$B$8),OR('לוח בקרה טכנו-מבצעי'!$B$9="הכל",מלאי!Q350='לוח בקרה טכנו-מבצעי'!$B$9),OR('לוח בקרה טכנו-מבצעי'!$E$4="הכל",מלאי!J350='לוח בקרה טכנו-מבצעי'!$E$4),OR('לוח בקרה טכנו-מבצעי'!$E$5="הכל",מלאי!L350='לוח בקרה טכנו-מבצעי'!$E$5),OR('לוח בקרה טכנו-מבצעי'!$E$6="הכל",מלאי!O350='לוח בקרה טכנו-מבצעי'!$E$6),OR('לוח בקרה טכנו-מבצעי'!$E$7="הכל",מלאי!R350='לוח בקרה טכנו-מבצעי'!$E$7),OR('לוח בקרה טכנו-מבצעי'!$E$8="הכל",'לוח בקרה טכנו-מבצעי'!$E$8="",מלאי!W350='לוח בקרה טכנו-מבצעי'!$E$8),OR('לוח בקרה טכנו-מבצעי'!$E$9="הכל",'לוח בקרה טכנו-מבצעי'!$E$9="",ISNUMBER(SEARCH('לוח בקרה טכנו-מבצעי'!$E$9,מלאי!C350))),OR('לוח בקרה טכנו-מבצעי'!$B$10="הכל",מלאי!#REF!='לוח בקרה טכנו-מבצעי'!$B$10)),1,0)</f>
        <v>#REF!</v>
      </c>
      <c r="AF350" t="str">
        <f>IF(AD350=1,COUNTIF($AD$3:$AD350,1),"")</f>
        <v/>
      </c>
      <c r="AG350" t="e">
        <f>IF(AE350=1,COUNTIF($AE$3:$AE350,1),"")</f>
        <v>#REF!</v>
      </c>
    </row>
    <row r="351" spans="1:33" ht="15" customHeight="1" x14ac:dyDescent="0.25">
      <c r="A351" s="19"/>
      <c r="B351" s="19"/>
      <c r="C351" s="19"/>
      <c r="D351" s="19"/>
      <c r="E351" s="19" t="str">
        <f>IFERROR(INDEX(הגדרות!$I$2:$I$47,MATCH(B351,הגדרות!$H$2:$H$47,0)),"")</f>
        <v/>
      </c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t="str">
        <f>IFERROR(INDEX(הגדרות!$B$2:$B$17,MATCH(H351,הגדרות!$A$2:$A$17,0)),"")</f>
        <v/>
      </c>
      <c r="AA351" t="str">
        <f>IFERROR(INDEX(הגדרות!$C$2:$C$17,MATCH(H351,הגדרות!$A$2:$A$17,0)),"")</f>
        <v/>
      </c>
      <c r="AB351" t="str">
        <f>IFERROR(INDEX(הגדרות!$B$2:$B$17,MATCH(I351,הגדרות!$A$2:$A$17,0)),"")</f>
        <v/>
      </c>
      <c r="AC351" t="str">
        <f>IFERROR(INDEX(הגדרות!$C$2:$C$17,MATCH(I351,הגדרות!$A$2:$A$17,0)),"")</f>
        <v/>
      </c>
      <c r="AD351">
        <f>IF(AND(מלאי!D351&lt;&gt;"",OR('לוח בקרה'!$B$4="הכל",מלאי!Z351='לוח בקרה'!$B$4,מלאי!AA351='לוח בקרה'!$B$4,מלאי!AB351='לוח בקרה'!$B$4,מלאי!AC351='לוח בקרה'!$B$4),OR('לוח בקרה'!$B$5="הכל",מלאי!A351='לוח בקרה'!$B$5),OR('לוח בקרה'!$B$6="הכל",מלאי!B351='לוח בקרה'!$B$6),OR('לוח בקרה'!$B$7="הכל",מלאי!F351='לוח בקרה'!$B$7,מלאי!G351='לוח בקרה'!$B$7),OR('לוח בקרה'!$B$8="הכל",מלאי!T351='לוח בקרה'!$B$8),OR('לוח בקרה'!$B$9="הכל",מלאי!Q351='לוח בקרה'!$B$9),OR('לוח בקרה'!$E$4="הכל",מלאי!J351='לוח בקרה'!$E$4),OR('לוח בקרה'!$E$5="הכל",מלאי!L351='לוח בקרה'!$E$5),OR('לוח בקרה'!$E$6="הכל",מלאי!O351='לוח בקרה'!$E$6),OR('לוח בקרה'!$E$7="הכל",מלאי!R351='לוח בקרה'!$E$7),OR('לוח בקרה'!$E$8="הכל",'לוח בקרה'!$E$8="",מלאי!W351='לוח בקרה'!$E$8),OR('לוח בקרה'!$E$9="הכל",'לוח בקרה'!$E$9="",ISNUMBER(SEARCH('לוח בקרה'!$E$9,מלאי!C351)))),1,0)</f>
        <v>0</v>
      </c>
      <c r="AE351" t="e">
        <f>IF(AND(מלאי!D351&lt;&gt;"",OR('לוח בקרה טכנו-מבצעי'!$B$4="הכל",מלאי!Z351='לוח בקרה טכנו-מבצעי'!$B$4,מלאי!AA351='לוח בקרה טכנו-מבצעי'!$B$4,מלאי!AB351='לוח בקרה טכנו-מבצעי'!$B$4,מלאי!AC351='לוח בקרה טכנו-מבצעי'!$B$4),OR('לוח בקרה טכנו-מבצעי'!$B$5="הכל",מלאי!A351='לוח בקרה טכנו-מבצעי'!$B$5),OR('לוח בקרה טכנו-מבצעי'!$B$6="הכל",מלאי!B351='לוח בקרה טכנו-מבצעי'!$B$6),OR('לוח בקרה טכנו-מבצעי'!$B$7="הכל",מלאי!F351='לוח בקרה טכנו-מבצעי'!$B$7,מלאי!G351='לוח בקרה טכנו-מבצעי'!$B$7),OR('לוח בקרה טכנו-מבצעי'!$B$8="הכל",מלאי!T351='לוח בקרה טכנו-מבצעי'!$B$8),OR('לוח בקרה טכנו-מבצעי'!$B$9="הכל",מלאי!Q351='לוח בקרה טכנו-מבצעי'!$B$9),OR('לוח בקרה טכנו-מבצעי'!$E$4="הכל",מלאי!J351='לוח בקרה טכנו-מבצעי'!$E$4),OR('לוח בקרה טכנו-מבצעי'!$E$5="הכל",מלאי!L351='לוח בקרה טכנו-מבצעי'!$E$5),OR('לוח בקרה טכנו-מבצעי'!$E$6="הכל",מלאי!O351='לוח בקרה טכנו-מבצעי'!$E$6),OR('לוח בקרה טכנו-מבצעי'!$E$7="הכל",מלאי!R351='לוח בקרה טכנו-מבצעי'!$E$7),OR('לוח בקרה טכנו-מבצעי'!$E$8="הכל",'לוח בקרה טכנו-מבצעי'!$E$8="",מלאי!W351='לוח בקרה טכנו-מבצעי'!$E$8),OR('לוח בקרה טכנו-מבצעי'!$E$9="הכל",'לוח בקרה טכנו-מבצעי'!$E$9="",ISNUMBER(SEARCH('לוח בקרה טכנו-מבצעי'!$E$9,מלאי!C351))),OR('לוח בקרה טכנו-מבצעי'!$B$10="הכל",מלאי!#REF!='לוח בקרה טכנו-מבצעי'!$B$10)),1,0)</f>
        <v>#REF!</v>
      </c>
      <c r="AF351" t="str">
        <f>IF(AD351=1,COUNTIF($AD$3:$AD351,1),"")</f>
        <v/>
      </c>
      <c r="AG351" t="e">
        <f>IF(AE351=1,COUNTIF($AE$3:$AE351,1),"")</f>
        <v>#REF!</v>
      </c>
    </row>
    <row r="352" spans="1:33" ht="15" customHeight="1" x14ac:dyDescent="0.25">
      <c r="A352" s="17"/>
      <c r="B352" s="17"/>
      <c r="C352" s="17"/>
      <c r="D352" s="17"/>
      <c r="E352" s="17" t="str">
        <f>IFERROR(INDEX(הגדרות!$I$2:$I$47,MATCH(B352,הגדרות!$H$2:$H$47,0)),"")</f>
        <v/>
      </c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t="str">
        <f>IFERROR(INDEX(הגדרות!$B$2:$B$17,MATCH(H352,הגדרות!$A$2:$A$17,0)),"")</f>
        <v/>
      </c>
      <c r="AA352" t="str">
        <f>IFERROR(INDEX(הגדרות!$C$2:$C$17,MATCH(H352,הגדרות!$A$2:$A$17,0)),"")</f>
        <v/>
      </c>
      <c r="AB352" t="str">
        <f>IFERROR(INDEX(הגדרות!$B$2:$B$17,MATCH(I352,הגדרות!$A$2:$A$17,0)),"")</f>
        <v/>
      </c>
      <c r="AC352" t="str">
        <f>IFERROR(INDEX(הגדרות!$C$2:$C$17,MATCH(I352,הגדרות!$A$2:$A$17,0)),"")</f>
        <v/>
      </c>
      <c r="AD352">
        <f>IF(AND(מלאי!D352&lt;&gt;"",OR('לוח בקרה'!$B$4="הכל",מלאי!Z352='לוח בקרה'!$B$4,מלאי!AA352='לוח בקרה'!$B$4,מלאי!AB352='לוח בקרה'!$B$4,מלאי!AC352='לוח בקרה'!$B$4),OR('לוח בקרה'!$B$5="הכל",מלאי!A352='לוח בקרה'!$B$5),OR('לוח בקרה'!$B$6="הכל",מלאי!B352='לוח בקרה'!$B$6),OR('לוח בקרה'!$B$7="הכל",מלאי!F352='לוח בקרה'!$B$7,מלאי!G352='לוח בקרה'!$B$7),OR('לוח בקרה'!$B$8="הכל",מלאי!T352='לוח בקרה'!$B$8),OR('לוח בקרה'!$B$9="הכל",מלאי!Q352='לוח בקרה'!$B$9),OR('לוח בקרה'!$E$4="הכל",מלאי!J352='לוח בקרה'!$E$4),OR('לוח בקרה'!$E$5="הכל",מלאי!L352='לוח בקרה'!$E$5),OR('לוח בקרה'!$E$6="הכל",מלאי!O352='לוח בקרה'!$E$6),OR('לוח בקרה'!$E$7="הכל",מלאי!R352='לוח בקרה'!$E$7),OR('לוח בקרה'!$E$8="הכל",'לוח בקרה'!$E$8="",מלאי!W352='לוח בקרה'!$E$8),OR('לוח בקרה'!$E$9="הכל",'לוח בקרה'!$E$9="",ISNUMBER(SEARCH('לוח בקרה'!$E$9,מלאי!C352)))),1,0)</f>
        <v>0</v>
      </c>
      <c r="AE352" t="e">
        <f>IF(AND(מלאי!D352&lt;&gt;"",OR('לוח בקרה טכנו-מבצעי'!$B$4="הכל",מלאי!Z352='לוח בקרה טכנו-מבצעי'!$B$4,מלאי!AA352='לוח בקרה טכנו-מבצעי'!$B$4,מלאי!AB352='לוח בקרה טכנו-מבצעי'!$B$4,מלאי!AC352='לוח בקרה טכנו-מבצעי'!$B$4),OR('לוח בקרה טכנו-מבצעי'!$B$5="הכל",מלאי!A352='לוח בקרה טכנו-מבצעי'!$B$5),OR('לוח בקרה טכנו-מבצעי'!$B$6="הכל",מלאי!B352='לוח בקרה טכנו-מבצעי'!$B$6),OR('לוח בקרה טכנו-מבצעי'!$B$7="הכל",מלאי!F352='לוח בקרה טכנו-מבצעי'!$B$7,מלאי!G352='לוח בקרה טכנו-מבצעי'!$B$7),OR('לוח בקרה טכנו-מבצעי'!$B$8="הכל",מלאי!T352='לוח בקרה טכנו-מבצעי'!$B$8),OR('לוח בקרה טכנו-מבצעי'!$B$9="הכל",מלאי!Q352='לוח בקרה טכנו-מבצעי'!$B$9),OR('לוח בקרה טכנו-מבצעי'!$E$4="הכל",מלאי!J352='לוח בקרה טכנו-מבצעי'!$E$4),OR('לוח בקרה טכנו-מבצעי'!$E$5="הכל",מלאי!L352='לוח בקרה טכנו-מבצעי'!$E$5),OR('לוח בקרה טכנו-מבצעי'!$E$6="הכל",מלאי!O352='לוח בקרה טכנו-מבצעי'!$E$6),OR('לוח בקרה טכנו-מבצעי'!$E$7="הכל",מלאי!R352='לוח בקרה טכנו-מבצעי'!$E$7),OR('לוח בקרה טכנו-מבצעי'!$E$8="הכל",'לוח בקרה טכנו-מבצעי'!$E$8="",מלאי!W352='לוח בקרה טכנו-מבצעי'!$E$8),OR('לוח בקרה טכנו-מבצעי'!$E$9="הכל",'לוח בקרה טכנו-מבצעי'!$E$9="",ISNUMBER(SEARCH('לוח בקרה טכנו-מבצעי'!$E$9,מלאי!C352))),OR('לוח בקרה טכנו-מבצעי'!$B$10="הכל",מלאי!#REF!='לוח בקרה טכנו-מבצעי'!$B$10)),1,0)</f>
        <v>#REF!</v>
      </c>
      <c r="AF352" t="str">
        <f>IF(AD352=1,COUNTIF($AD$3:$AD352,1),"")</f>
        <v/>
      </c>
      <c r="AG352" t="e">
        <f>IF(AE352=1,COUNTIF($AE$3:$AE352,1),"")</f>
        <v>#REF!</v>
      </c>
    </row>
    <row r="353" spans="1:33" ht="15" customHeight="1" x14ac:dyDescent="0.25">
      <c r="A353" s="19"/>
      <c r="B353" s="19"/>
      <c r="C353" s="19"/>
      <c r="D353" s="19"/>
      <c r="E353" s="19" t="str">
        <f>IFERROR(INDEX(הגדרות!$I$2:$I$47,MATCH(B353,הגדרות!$H$2:$H$47,0)),"")</f>
        <v/>
      </c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t="str">
        <f>IFERROR(INDEX(הגדרות!$B$2:$B$17,MATCH(H353,הגדרות!$A$2:$A$17,0)),"")</f>
        <v/>
      </c>
      <c r="AA353" t="str">
        <f>IFERROR(INDEX(הגדרות!$C$2:$C$17,MATCH(H353,הגדרות!$A$2:$A$17,0)),"")</f>
        <v/>
      </c>
      <c r="AB353" t="str">
        <f>IFERROR(INDEX(הגדרות!$B$2:$B$17,MATCH(I353,הגדרות!$A$2:$A$17,0)),"")</f>
        <v/>
      </c>
      <c r="AC353" t="str">
        <f>IFERROR(INDEX(הגדרות!$C$2:$C$17,MATCH(I353,הגדרות!$A$2:$A$17,0)),"")</f>
        <v/>
      </c>
      <c r="AD353">
        <f>IF(AND(מלאי!D353&lt;&gt;"",OR('לוח בקרה'!$B$4="הכל",מלאי!Z353='לוח בקרה'!$B$4,מלאי!AA353='לוח בקרה'!$B$4,מלאי!AB353='לוח בקרה'!$B$4,מלאי!AC353='לוח בקרה'!$B$4),OR('לוח בקרה'!$B$5="הכל",מלאי!A353='לוח בקרה'!$B$5),OR('לוח בקרה'!$B$6="הכל",מלאי!B353='לוח בקרה'!$B$6),OR('לוח בקרה'!$B$7="הכל",מלאי!F353='לוח בקרה'!$B$7,מלאי!G353='לוח בקרה'!$B$7),OR('לוח בקרה'!$B$8="הכל",מלאי!T353='לוח בקרה'!$B$8),OR('לוח בקרה'!$B$9="הכל",מלאי!Q353='לוח בקרה'!$B$9),OR('לוח בקרה'!$E$4="הכל",מלאי!J353='לוח בקרה'!$E$4),OR('לוח בקרה'!$E$5="הכל",מלאי!L353='לוח בקרה'!$E$5),OR('לוח בקרה'!$E$6="הכל",מלאי!O353='לוח בקרה'!$E$6),OR('לוח בקרה'!$E$7="הכל",מלאי!R353='לוח בקרה'!$E$7),OR('לוח בקרה'!$E$8="הכל",'לוח בקרה'!$E$8="",מלאי!W353='לוח בקרה'!$E$8),OR('לוח בקרה'!$E$9="הכל",'לוח בקרה'!$E$9="",ISNUMBER(SEARCH('לוח בקרה'!$E$9,מלאי!C353)))),1,0)</f>
        <v>0</v>
      </c>
      <c r="AE353" t="e">
        <f>IF(AND(מלאי!D353&lt;&gt;"",OR('לוח בקרה טכנו-מבצעי'!$B$4="הכל",מלאי!Z353='לוח בקרה טכנו-מבצעי'!$B$4,מלאי!AA353='לוח בקרה טכנו-מבצעי'!$B$4,מלאי!AB353='לוח בקרה טכנו-מבצעי'!$B$4,מלאי!AC353='לוח בקרה טכנו-מבצעי'!$B$4),OR('לוח בקרה טכנו-מבצעי'!$B$5="הכל",מלאי!A353='לוח בקרה טכנו-מבצעי'!$B$5),OR('לוח בקרה טכנו-מבצעי'!$B$6="הכל",מלאי!B353='לוח בקרה טכנו-מבצעי'!$B$6),OR('לוח בקרה טכנו-מבצעי'!$B$7="הכל",מלאי!F353='לוח בקרה טכנו-מבצעי'!$B$7,מלאי!G353='לוח בקרה טכנו-מבצעי'!$B$7),OR('לוח בקרה טכנו-מבצעי'!$B$8="הכל",מלאי!T353='לוח בקרה טכנו-מבצעי'!$B$8),OR('לוח בקרה טכנו-מבצעי'!$B$9="הכל",מלאי!Q353='לוח בקרה טכנו-מבצעי'!$B$9),OR('לוח בקרה טכנו-מבצעי'!$E$4="הכל",מלאי!J353='לוח בקרה טכנו-מבצעי'!$E$4),OR('לוח בקרה טכנו-מבצעי'!$E$5="הכל",מלאי!L353='לוח בקרה טכנו-מבצעי'!$E$5),OR('לוח בקרה טכנו-מבצעי'!$E$6="הכל",מלאי!O353='לוח בקרה טכנו-מבצעי'!$E$6),OR('לוח בקרה טכנו-מבצעי'!$E$7="הכל",מלאי!R353='לוח בקרה טכנו-מבצעי'!$E$7),OR('לוח בקרה טכנו-מבצעי'!$E$8="הכל",'לוח בקרה טכנו-מבצעי'!$E$8="",מלאי!W353='לוח בקרה טכנו-מבצעי'!$E$8),OR('לוח בקרה טכנו-מבצעי'!$E$9="הכל",'לוח בקרה טכנו-מבצעי'!$E$9="",ISNUMBER(SEARCH('לוח בקרה טכנו-מבצעי'!$E$9,מלאי!C353))),OR('לוח בקרה טכנו-מבצעי'!$B$10="הכל",מלאי!#REF!='לוח בקרה טכנו-מבצעי'!$B$10)),1,0)</f>
        <v>#REF!</v>
      </c>
      <c r="AF353" t="str">
        <f>IF(AD353=1,COUNTIF($AD$3:$AD353,1),"")</f>
        <v/>
      </c>
      <c r="AG353" t="e">
        <f>IF(AE353=1,COUNTIF($AE$3:$AE353,1),"")</f>
        <v>#REF!</v>
      </c>
    </row>
    <row r="354" spans="1:33" ht="15" customHeight="1" x14ac:dyDescent="0.25">
      <c r="A354" s="17"/>
      <c r="B354" s="17"/>
      <c r="C354" s="17"/>
      <c r="D354" s="17"/>
      <c r="E354" s="17" t="str">
        <f>IFERROR(INDEX(הגדרות!$I$2:$I$47,MATCH(B354,הגדרות!$H$2:$H$47,0)),"")</f>
        <v/>
      </c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t="str">
        <f>IFERROR(INDEX(הגדרות!$B$2:$B$17,MATCH(H354,הגדרות!$A$2:$A$17,0)),"")</f>
        <v/>
      </c>
      <c r="AA354" t="str">
        <f>IFERROR(INDEX(הגדרות!$C$2:$C$17,MATCH(H354,הגדרות!$A$2:$A$17,0)),"")</f>
        <v/>
      </c>
      <c r="AB354" t="str">
        <f>IFERROR(INDEX(הגדרות!$B$2:$B$17,MATCH(I354,הגדרות!$A$2:$A$17,0)),"")</f>
        <v/>
      </c>
      <c r="AC354" t="str">
        <f>IFERROR(INDEX(הגדרות!$C$2:$C$17,MATCH(I354,הגדרות!$A$2:$A$17,0)),"")</f>
        <v/>
      </c>
      <c r="AD354">
        <f>IF(AND(מלאי!D354&lt;&gt;"",OR('לוח בקרה'!$B$4="הכל",מלאי!Z354='לוח בקרה'!$B$4,מלאי!AA354='לוח בקרה'!$B$4,מלאי!AB354='לוח בקרה'!$B$4,מלאי!AC354='לוח בקרה'!$B$4),OR('לוח בקרה'!$B$5="הכל",מלאי!A354='לוח בקרה'!$B$5),OR('לוח בקרה'!$B$6="הכל",מלאי!B354='לוח בקרה'!$B$6),OR('לוח בקרה'!$B$7="הכל",מלאי!F354='לוח בקרה'!$B$7,מלאי!G354='לוח בקרה'!$B$7),OR('לוח בקרה'!$B$8="הכל",מלאי!T354='לוח בקרה'!$B$8),OR('לוח בקרה'!$B$9="הכל",מלאי!Q354='לוח בקרה'!$B$9),OR('לוח בקרה'!$E$4="הכל",מלאי!J354='לוח בקרה'!$E$4),OR('לוח בקרה'!$E$5="הכל",מלאי!L354='לוח בקרה'!$E$5),OR('לוח בקרה'!$E$6="הכל",מלאי!O354='לוח בקרה'!$E$6),OR('לוח בקרה'!$E$7="הכל",מלאי!R354='לוח בקרה'!$E$7),OR('לוח בקרה'!$E$8="הכל",'לוח בקרה'!$E$8="",מלאי!W354='לוח בקרה'!$E$8),OR('לוח בקרה'!$E$9="הכל",'לוח בקרה'!$E$9="",ISNUMBER(SEARCH('לוח בקרה'!$E$9,מלאי!C354)))),1,0)</f>
        <v>0</v>
      </c>
      <c r="AE354" t="e">
        <f>IF(AND(מלאי!D354&lt;&gt;"",OR('לוח בקרה טכנו-מבצעי'!$B$4="הכל",מלאי!Z354='לוח בקרה טכנו-מבצעי'!$B$4,מלאי!AA354='לוח בקרה טכנו-מבצעי'!$B$4,מלאי!AB354='לוח בקרה טכנו-מבצעי'!$B$4,מלאי!AC354='לוח בקרה טכנו-מבצעי'!$B$4),OR('לוח בקרה טכנו-מבצעי'!$B$5="הכל",מלאי!A354='לוח בקרה טכנו-מבצעי'!$B$5),OR('לוח בקרה טכנו-מבצעי'!$B$6="הכל",מלאי!B354='לוח בקרה טכנו-מבצעי'!$B$6),OR('לוח בקרה טכנו-מבצעי'!$B$7="הכל",מלאי!F354='לוח בקרה טכנו-מבצעי'!$B$7,מלאי!G354='לוח בקרה טכנו-מבצעי'!$B$7),OR('לוח בקרה טכנו-מבצעי'!$B$8="הכל",מלאי!T354='לוח בקרה טכנו-מבצעי'!$B$8),OR('לוח בקרה טכנו-מבצעי'!$B$9="הכל",מלאי!Q354='לוח בקרה טכנו-מבצעי'!$B$9),OR('לוח בקרה טכנו-מבצעי'!$E$4="הכל",מלאי!J354='לוח בקרה טכנו-מבצעי'!$E$4),OR('לוח בקרה טכנו-מבצעי'!$E$5="הכל",מלאי!L354='לוח בקרה טכנו-מבצעי'!$E$5),OR('לוח בקרה טכנו-מבצעי'!$E$6="הכל",מלאי!O354='לוח בקרה טכנו-מבצעי'!$E$6),OR('לוח בקרה טכנו-מבצעי'!$E$7="הכל",מלאי!R354='לוח בקרה טכנו-מבצעי'!$E$7),OR('לוח בקרה טכנו-מבצעי'!$E$8="הכל",'לוח בקרה טכנו-מבצעי'!$E$8="",מלאי!W354='לוח בקרה טכנו-מבצעי'!$E$8),OR('לוח בקרה טכנו-מבצעי'!$E$9="הכל",'לוח בקרה טכנו-מבצעי'!$E$9="",ISNUMBER(SEARCH('לוח בקרה טכנו-מבצעי'!$E$9,מלאי!C354))),OR('לוח בקרה טכנו-מבצעי'!$B$10="הכל",מלאי!#REF!='לוח בקרה טכנו-מבצעי'!$B$10)),1,0)</f>
        <v>#REF!</v>
      </c>
      <c r="AF354" t="str">
        <f>IF(AD354=1,COUNTIF($AD$3:$AD354,1),"")</f>
        <v/>
      </c>
      <c r="AG354" t="e">
        <f>IF(AE354=1,COUNTIF($AE$3:$AE354,1),"")</f>
        <v>#REF!</v>
      </c>
    </row>
    <row r="355" spans="1:33" ht="15" customHeight="1" x14ac:dyDescent="0.25">
      <c r="A355" s="19"/>
      <c r="B355" s="19"/>
      <c r="C355" s="19"/>
      <c r="D355" s="19"/>
      <c r="E355" s="19" t="str">
        <f>IFERROR(INDEX(הגדרות!$I$2:$I$47,MATCH(B355,הגדרות!$H$2:$H$47,0)),"")</f>
        <v/>
      </c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t="str">
        <f>IFERROR(INDEX(הגדרות!$B$2:$B$17,MATCH(H355,הגדרות!$A$2:$A$17,0)),"")</f>
        <v/>
      </c>
      <c r="AA355" t="str">
        <f>IFERROR(INDEX(הגדרות!$C$2:$C$17,MATCH(H355,הגדרות!$A$2:$A$17,0)),"")</f>
        <v/>
      </c>
      <c r="AB355" t="str">
        <f>IFERROR(INDEX(הגדרות!$B$2:$B$17,MATCH(I355,הגדרות!$A$2:$A$17,0)),"")</f>
        <v/>
      </c>
      <c r="AC355" t="str">
        <f>IFERROR(INDEX(הגדרות!$C$2:$C$17,MATCH(I355,הגדרות!$A$2:$A$17,0)),"")</f>
        <v/>
      </c>
      <c r="AD355">
        <f>IF(AND(מלאי!D355&lt;&gt;"",OR('לוח בקרה'!$B$4="הכל",מלאי!Z355='לוח בקרה'!$B$4,מלאי!AA355='לוח בקרה'!$B$4,מלאי!AB355='לוח בקרה'!$B$4,מלאי!AC355='לוח בקרה'!$B$4),OR('לוח בקרה'!$B$5="הכל",מלאי!A355='לוח בקרה'!$B$5),OR('לוח בקרה'!$B$6="הכל",מלאי!B355='לוח בקרה'!$B$6),OR('לוח בקרה'!$B$7="הכל",מלאי!F355='לוח בקרה'!$B$7,מלאי!G355='לוח בקרה'!$B$7),OR('לוח בקרה'!$B$8="הכל",מלאי!T355='לוח בקרה'!$B$8),OR('לוח בקרה'!$B$9="הכל",מלאי!Q355='לוח בקרה'!$B$9),OR('לוח בקרה'!$E$4="הכל",מלאי!J355='לוח בקרה'!$E$4),OR('לוח בקרה'!$E$5="הכל",מלאי!L355='לוח בקרה'!$E$5),OR('לוח בקרה'!$E$6="הכל",מלאי!O355='לוח בקרה'!$E$6),OR('לוח בקרה'!$E$7="הכל",מלאי!R355='לוח בקרה'!$E$7),OR('לוח בקרה'!$E$8="הכל",'לוח בקרה'!$E$8="",מלאי!W355='לוח בקרה'!$E$8),OR('לוח בקרה'!$E$9="הכל",'לוח בקרה'!$E$9="",ISNUMBER(SEARCH('לוח בקרה'!$E$9,מלאי!C355)))),1,0)</f>
        <v>0</v>
      </c>
      <c r="AE355" t="e">
        <f>IF(AND(מלאי!D355&lt;&gt;"",OR('לוח בקרה טכנו-מבצעי'!$B$4="הכל",מלאי!Z355='לוח בקרה טכנו-מבצעי'!$B$4,מלאי!AA355='לוח בקרה טכנו-מבצעי'!$B$4,מלאי!AB355='לוח בקרה טכנו-מבצעי'!$B$4,מלאי!AC355='לוח בקרה טכנו-מבצעי'!$B$4),OR('לוח בקרה טכנו-מבצעי'!$B$5="הכל",מלאי!A355='לוח בקרה טכנו-מבצעי'!$B$5),OR('לוח בקרה טכנו-מבצעי'!$B$6="הכל",מלאי!B355='לוח בקרה טכנו-מבצעי'!$B$6),OR('לוח בקרה טכנו-מבצעי'!$B$7="הכל",מלאי!F355='לוח בקרה טכנו-מבצעי'!$B$7,מלאי!G355='לוח בקרה טכנו-מבצעי'!$B$7),OR('לוח בקרה טכנו-מבצעי'!$B$8="הכל",מלאי!T355='לוח בקרה טכנו-מבצעי'!$B$8),OR('לוח בקרה טכנו-מבצעי'!$B$9="הכל",מלאי!Q355='לוח בקרה טכנו-מבצעי'!$B$9),OR('לוח בקרה טכנו-מבצעי'!$E$4="הכל",מלאי!J355='לוח בקרה טכנו-מבצעי'!$E$4),OR('לוח בקרה טכנו-מבצעי'!$E$5="הכל",מלאי!L355='לוח בקרה טכנו-מבצעי'!$E$5),OR('לוח בקרה טכנו-מבצעי'!$E$6="הכל",מלאי!O355='לוח בקרה טכנו-מבצעי'!$E$6),OR('לוח בקרה טכנו-מבצעי'!$E$7="הכל",מלאי!R355='לוח בקרה טכנו-מבצעי'!$E$7),OR('לוח בקרה טכנו-מבצעי'!$E$8="הכל",'לוח בקרה טכנו-מבצעי'!$E$8="",מלאי!W355='לוח בקרה טכנו-מבצעי'!$E$8),OR('לוח בקרה טכנו-מבצעי'!$E$9="הכל",'לוח בקרה טכנו-מבצעי'!$E$9="",ISNUMBER(SEARCH('לוח בקרה טכנו-מבצעי'!$E$9,מלאי!C355))),OR('לוח בקרה טכנו-מבצעי'!$B$10="הכל",מלאי!#REF!='לוח בקרה טכנו-מבצעי'!$B$10)),1,0)</f>
        <v>#REF!</v>
      </c>
      <c r="AF355" t="str">
        <f>IF(AD355=1,COUNTIF($AD$3:$AD355,1),"")</f>
        <v/>
      </c>
      <c r="AG355" t="e">
        <f>IF(AE355=1,COUNTIF($AE$3:$AE355,1),"")</f>
        <v>#REF!</v>
      </c>
    </row>
    <row r="356" spans="1:33" ht="15" customHeight="1" x14ac:dyDescent="0.25">
      <c r="A356" s="17"/>
      <c r="B356" s="17"/>
      <c r="C356" s="17"/>
      <c r="D356" s="17"/>
      <c r="E356" s="17" t="str">
        <f>IFERROR(INDEX(הגדרות!$I$2:$I$47,MATCH(B356,הגדרות!$H$2:$H$47,0)),"")</f>
        <v/>
      </c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t="str">
        <f>IFERROR(INDEX(הגדרות!$B$2:$B$17,MATCH(H356,הגדרות!$A$2:$A$17,0)),"")</f>
        <v/>
      </c>
      <c r="AA356" t="str">
        <f>IFERROR(INDEX(הגדרות!$C$2:$C$17,MATCH(H356,הגדרות!$A$2:$A$17,0)),"")</f>
        <v/>
      </c>
      <c r="AB356" t="str">
        <f>IFERROR(INDEX(הגדרות!$B$2:$B$17,MATCH(I356,הגדרות!$A$2:$A$17,0)),"")</f>
        <v/>
      </c>
      <c r="AC356" t="str">
        <f>IFERROR(INDEX(הגדרות!$C$2:$C$17,MATCH(I356,הגדרות!$A$2:$A$17,0)),"")</f>
        <v/>
      </c>
      <c r="AD356">
        <f>IF(AND(מלאי!D356&lt;&gt;"",OR('לוח בקרה'!$B$4="הכל",מלאי!Z356='לוח בקרה'!$B$4,מלאי!AA356='לוח בקרה'!$B$4,מלאי!AB356='לוח בקרה'!$B$4,מלאי!AC356='לוח בקרה'!$B$4),OR('לוח בקרה'!$B$5="הכל",מלאי!A356='לוח בקרה'!$B$5),OR('לוח בקרה'!$B$6="הכל",מלאי!B356='לוח בקרה'!$B$6),OR('לוח בקרה'!$B$7="הכל",מלאי!F356='לוח בקרה'!$B$7,מלאי!G356='לוח בקרה'!$B$7),OR('לוח בקרה'!$B$8="הכל",מלאי!T356='לוח בקרה'!$B$8),OR('לוח בקרה'!$B$9="הכל",מלאי!Q356='לוח בקרה'!$B$9),OR('לוח בקרה'!$E$4="הכל",מלאי!J356='לוח בקרה'!$E$4),OR('לוח בקרה'!$E$5="הכל",מלאי!L356='לוח בקרה'!$E$5),OR('לוח בקרה'!$E$6="הכל",מלאי!O356='לוח בקרה'!$E$6),OR('לוח בקרה'!$E$7="הכל",מלאי!R356='לוח בקרה'!$E$7),OR('לוח בקרה'!$E$8="הכל",'לוח בקרה'!$E$8="",מלאי!W356='לוח בקרה'!$E$8),OR('לוח בקרה'!$E$9="הכל",'לוח בקרה'!$E$9="",ISNUMBER(SEARCH('לוח בקרה'!$E$9,מלאי!C356)))),1,0)</f>
        <v>0</v>
      </c>
      <c r="AE356" t="e">
        <f>IF(AND(מלאי!D356&lt;&gt;"",OR('לוח בקרה טכנו-מבצעי'!$B$4="הכל",מלאי!Z356='לוח בקרה טכנו-מבצעי'!$B$4,מלאי!AA356='לוח בקרה טכנו-מבצעי'!$B$4,מלאי!AB356='לוח בקרה טכנו-מבצעי'!$B$4,מלאי!AC356='לוח בקרה טכנו-מבצעי'!$B$4),OR('לוח בקרה טכנו-מבצעי'!$B$5="הכל",מלאי!A356='לוח בקרה טכנו-מבצעי'!$B$5),OR('לוח בקרה טכנו-מבצעי'!$B$6="הכל",מלאי!B356='לוח בקרה טכנו-מבצעי'!$B$6),OR('לוח בקרה טכנו-מבצעי'!$B$7="הכל",מלאי!F356='לוח בקרה טכנו-מבצעי'!$B$7,מלאי!G356='לוח בקרה טכנו-מבצעי'!$B$7),OR('לוח בקרה טכנו-מבצעי'!$B$8="הכל",מלאי!T356='לוח בקרה טכנו-מבצעי'!$B$8),OR('לוח בקרה טכנו-מבצעי'!$B$9="הכל",מלאי!Q356='לוח בקרה טכנו-מבצעי'!$B$9),OR('לוח בקרה טכנו-מבצעי'!$E$4="הכל",מלאי!J356='לוח בקרה טכנו-מבצעי'!$E$4),OR('לוח בקרה טכנו-מבצעי'!$E$5="הכל",מלאי!L356='לוח בקרה טכנו-מבצעי'!$E$5),OR('לוח בקרה טכנו-מבצעי'!$E$6="הכל",מלאי!O356='לוח בקרה טכנו-מבצעי'!$E$6),OR('לוח בקרה טכנו-מבצעי'!$E$7="הכל",מלאי!R356='לוח בקרה טכנו-מבצעי'!$E$7),OR('לוח בקרה טכנו-מבצעי'!$E$8="הכל",'לוח בקרה טכנו-מבצעי'!$E$8="",מלאי!W356='לוח בקרה טכנו-מבצעי'!$E$8),OR('לוח בקרה טכנו-מבצעי'!$E$9="הכל",'לוח בקרה טכנו-מבצעי'!$E$9="",ISNUMBER(SEARCH('לוח בקרה טכנו-מבצעי'!$E$9,מלאי!C356))),OR('לוח בקרה טכנו-מבצעי'!$B$10="הכל",מלאי!#REF!='לוח בקרה טכנו-מבצעי'!$B$10)),1,0)</f>
        <v>#REF!</v>
      </c>
      <c r="AF356" t="str">
        <f>IF(AD356=1,COUNTIF($AD$3:$AD356,1),"")</f>
        <v/>
      </c>
      <c r="AG356" t="e">
        <f>IF(AE356=1,COUNTIF($AE$3:$AE356,1),"")</f>
        <v>#REF!</v>
      </c>
    </row>
    <row r="357" spans="1:33" ht="15" customHeight="1" x14ac:dyDescent="0.25">
      <c r="A357" s="19"/>
      <c r="B357" s="19"/>
      <c r="C357" s="19"/>
      <c r="D357" s="19"/>
      <c r="E357" s="19" t="str">
        <f>IFERROR(INDEX(הגדרות!$I$2:$I$47,MATCH(B357,הגדרות!$H$2:$H$47,0)),"")</f>
        <v/>
      </c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t="str">
        <f>IFERROR(INDEX(הגדרות!$B$2:$B$17,MATCH(H357,הגדרות!$A$2:$A$17,0)),"")</f>
        <v/>
      </c>
      <c r="AA357" t="str">
        <f>IFERROR(INDEX(הגדרות!$C$2:$C$17,MATCH(H357,הגדרות!$A$2:$A$17,0)),"")</f>
        <v/>
      </c>
      <c r="AB357" t="str">
        <f>IFERROR(INDEX(הגדרות!$B$2:$B$17,MATCH(I357,הגדרות!$A$2:$A$17,0)),"")</f>
        <v/>
      </c>
      <c r="AC357" t="str">
        <f>IFERROR(INDEX(הגדרות!$C$2:$C$17,MATCH(I357,הגדרות!$A$2:$A$17,0)),"")</f>
        <v/>
      </c>
      <c r="AD357">
        <f>IF(AND(מלאי!D357&lt;&gt;"",OR('לוח בקרה'!$B$4="הכל",מלאי!Z357='לוח בקרה'!$B$4,מלאי!AA357='לוח בקרה'!$B$4,מלאי!AB357='לוח בקרה'!$B$4,מלאי!AC357='לוח בקרה'!$B$4),OR('לוח בקרה'!$B$5="הכל",מלאי!A357='לוח בקרה'!$B$5),OR('לוח בקרה'!$B$6="הכל",מלאי!B357='לוח בקרה'!$B$6),OR('לוח בקרה'!$B$7="הכל",מלאי!F357='לוח בקרה'!$B$7,מלאי!G357='לוח בקרה'!$B$7),OR('לוח בקרה'!$B$8="הכל",מלאי!T357='לוח בקרה'!$B$8),OR('לוח בקרה'!$B$9="הכל",מלאי!Q357='לוח בקרה'!$B$9),OR('לוח בקרה'!$E$4="הכל",מלאי!J357='לוח בקרה'!$E$4),OR('לוח בקרה'!$E$5="הכל",מלאי!L357='לוח בקרה'!$E$5),OR('לוח בקרה'!$E$6="הכל",מלאי!O357='לוח בקרה'!$E$6),OR('לוח בקרה'!$E$7="הכל",מלאי!R357='לוח בקרה'!$E$7),OR('לוח בקרה'!$E$8="הכל",'לוח בקרה'!$E$8="",מלאי!W357='לוח בקרה'!$E$8),OR('לוח בקרה'!$E$9="הכל",'לוח בקרה'!$E$9="",ISNUMBER(SEARCH('לוח בקרה'!$E$9,מלאי!C357)))),1,0)</f>
        <v>0</v>
      </c>
      <c r="AE357" t="e">
        <f>IF(AND(מלאי!D357&lt;&gt;"",OR('לוח בקרה טכנו-מבצעי'!$B$4="הכל",מלאי!Z357='לוח בקרה טכנו-מבצעי'!$B$4,מלאי!AA357='לוח בקרה טכנו-מבצעי'!$B$4,מלאי!AB357='לוח בקרה טכנו-מבצעי'!$B$4,מלאי!AC357='לוח בקרה טכנו-מבצעי'!$B$4),OR('לוח בקרה טכנו-מבצעי'!$B$5="הכל",מלאי!A357='לוח בקרה טכנו-מבצעי'!$B$5),OR('לוח בקרה טכנו-מבצעי'!$B$6="הכל",מלאי!B357='לוח בקרה טכנו-מבצעי'!$B$6),OR('לוח בקרה טכנו-מבצעי'!$B$7="הכל",מלאי!F357='לוח בקרה טכנו-מבצעי'!$B$7,מלאי!G357='לוח בקרה טכנו-מבצעי'!$B$7),OR('לוח בקרה טכנו-מבצעי'!$B$8="הכל",מלאי!T357='לוח בקרה טכנו-מבצעי'!$B$8),OR('לוח בקרה טכנו-מבצעי'!$B$9="הכל",מלאי!Q357='לוח בקרה טכנו-מבצעי'!$B$9),OR('לוח בקרה טכנו-מבצעי'!$E$4="הכל",מלאי!J357='לוח בקרה טכנו-מבצעי'!$E$4),OR('לוח בקרה טכנו-מבצעי'!$E$5="הכל",מלאי!L357='לוח בקרה טכנו-מבצעי'!$E$5),OR('לוח בקרה טכנו-מבצעי'!$E$6="הכל",מלאי!O357='לוח בקרה טכנו-מבצעי'!$E$6),OR('לוח בקרה טכנו-מבצעי'!$E$7="הכל",מלאי!R357='לוח בקרה טכנו-מבצעי'!$E$7),OR('לוח בקרה טכנו-מבצעי'!$E$8="הכל",'לוח בקרה טכנו-מבצעי'!$E$8="",מלאי!W357='לוח בקרה טכנו-מבצעי'!$E$8),OR('לוח בקרה טכנו-מבצעי'!$E$9="הכל",'לוח בקרה טכנו-מבצעי'!$E$9="",ISNUMBER(SEARCH('לוח בקרה טכנו-מבצעי'!$E$9,מלאי!C357))),OR('לוח בקרה טכנו-מבצעי'!$B$10="הכל",מלאי!#REF!='לוח בקרה טכנו-מבצעי'!$B$10)),1,0)</f>
        <v>#REF!</v>
      </c>
      <c r="AF357" t="str">
        <f>IF(AD357=1,COUNTIF($AD$3:$AD357,1),"")</f>
        <v/>
      </c>
      <c r="AG357" t="e">
        <f>IF(AE357=1,COUNTIF($AE$3:$AE357,1),"")</f>
        <v>#REF!</v>
      </c>
    </row>
  </sheetData>
  <sheetProtection sort="0" autoFilter="0"/>
  <autoFilter ref="B1:B357" xr:uid="{00000000-0001-0000-0200-000000000000}"/>
  <sortState xmlns:xlrd2="http://schemas.microsoft.com/office/spreadsheetml/2017/richdata2" ref="A28:AG43">
    <sortCondition descending="1" ref="D2:D361"/>
  </sortState>
  <mergeCells count="7">
    <mergeCell ref="A1:B1"/>
    <mergeCell ref="V1:Y1"/>
    <mergeCell ref="F1:G1"/>
    <mergeCell ref="J1:P1"/>
    <mergeCell ref="C1:E1"/>
    <mergeCell ref="H1:I1"/>
    <mergeCell ref="Q1:S1"/>
  </mergeCells>
  <phoneticPr fontId="24" type="noConversion"/>
  <conditionalFormatting sqref="J3:N357">
    <cfRule type="cellIs" dxfId="16" priority="6" operator="equal">
      <formula>"כן"</formula>
    </cfRule>
    <cfRule type="cellIs" dxfId="15" priority="7" operator="equal">
      <formula>"לא"</formula>
    </cfRule>
  </conditionalFormatting>
  <conditionalFormatting sqref="O3:O357">
    <cfRule type="cellIs" dxfId="14" priority="16" operator="equal">
      <formula>"לא"</formula>
    </cfRule>
  </conditionalFormatting>
  <conditionalFormatting sqref="Q3:Q357">
    <cfRule type="cellIs" dxfId="13" priority="17" operator="equal">
      <formula>"כן"</formula>
    </cfRule>
  </conditionalFormatting>
  <conditionalFormatting sqref="S3:S357">
    <cfRule type="cellIs" dxfId="12" priority="18" operator="equal">
      <formula>"כן"</formula>
    </cfRule>
  </conditionalFormatting>
  <conditionalFormatting sqref="T3:T357">
    <cfRule type="cellIs" dxfId="11" priority="2" operator="equal">
      <formula>"במלאי"</formula>
    </cfRule>
    <cfRule type="cellIs" dxfId="10" priority="3" operator="equal">
      <formula>"מושאל"</formula>
    </cfRule>
    <cfRule type="cellIs" dxfId="9" priority="4" operator="equal">
      <formula>"בחדר תצוגה"</formula>
    </cfRule>
    <cfRule type="cellIs" dxfId="8" priority="5" operator="equal">
      <formula>"בתיק הדגמה"</formula>
    </cfRule>
  </conditionalFormatting>
  <dataValidations count="3">
    <dataValidation type="list" allowBlank="1" showErrorMessage="1" sqref="J3:O357 S3:S357 Q3:Q357" xr:uid="{00000000-0002-0000-0200-000008000000}">
      <formula1>"כן,לא"</formula1>
      <formula2>0</formula2>
    </dataValidation>
    <dataValidation type="custom" showErrorMessage="1" errorTitle="מזהה כפול" error="מזהה ייחודי זה כבר קיים!" sqref="D103:D107 D3:D92 D155:D156 D112:D151 D109 D160:D357" xr:uid="{00000000-0002-0000-0200-000009000000}">
      <formula1>COUNTIF($D$3:$D$357,D3)&lt;=1</formula1>
      <formula2>0</formula2>
    </dataValidation>
    <dataValidation allowBlank="1" showErrorMessage="1" sqref="V1:V1048576" xr:uid="{C6DA28AF-6657-4535-9987-0DA0CAB3495A}"/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errorTitle="ערך לא חוקי" error="יש לבחור מהרשימה בלבד" xr:uid="{00000000-0002-0000-0200-000001000000}">
          <x14:formula1>
            <xm:f>הגדרות!$H$3:$H$47</xm:f>
          </x14:formula1>
          <x14:formula2>
            <xm:f>0</xm:f>
          </x14:formula2>
          <xm:sqref>B268:B357</xm:sqref>
        </x14:dataValidation>
        <x14:dataValidation type="list" allowBlank="1" showErrorMessage="1" errorTitle="ערך לא חוקי" error="יש לבחור מהרשימה בלבד" xr:uid="{00000000-0002-0000-0200-000002000000}">
          <x14:formula1>
            <xm:f>הגדרות!$L$3:$L$15</xm:f>
          </x14:formula1>
          <x14:formula2>
            <xm:f>0</xm:f>
          </x14:formula2>
          <xm:sqref>F215:F357 G3:G357</xm:sqref>
        </x14:dataValidation>
        <x14:dataValidation type="list" allowBlank="1" showErrorMessage="1" errorTitle="ערך לא חוקי" error="יש לבחור מהרשימה בלבד" xr:uid="{00000000-0002-0000-0200-000004000000}">
          <x14:formula1>
            <xm:f>הגדרות!$M$2:$M$17</xm:f>
          </x14:formula1>
          <x14:formula2>
            <xm:f>0</xm:f>
          </x14:formula2>
          <xm:sqref>H336:I357</xm:sqref>
        </x14:dataValidation>
        <x14:dataValidation type="list" allowBlank="1" showErrorMessage="1" errorTitle="ערך לא חוקי" error="יש לבחור מהרשימה בלבד" xr:uid="{0EDA66D7-8EE7-4E74-BB57-0CD53F11A96F}">
          <x14:formula1>
            <xm:f>הגדרות!$M$2:$M$18</xm:f>
          </x14:formula1>
          <xm:sqref>H3:I121 H122 H123:I335</xm:sqref>
        </x14:dataValidation>
        <x14:dataValidation type="list" allowBlank="1" showErrorMessage="1" errorTitle="ערך לא חוקי" error="יש לבחור מהרשימה בלבד" xr:uid="{00000000-0002-0000-0200-000000000000}">
          <x14:formula1>
            <xm:f>הגדרות!$G$3:$G$10</xm:f>
          </x14:formula1>
          <x14:formula2>
            <xm:f>0</xm:f>
          </x14:formula2>
          <xm:sqref>A3:A357</xm:sqref>
        </x14:dataValidation>
        <x14:dataValidation type="list" allowBlank="1" showErrorMessage="1" errorTitle="ערך לא חוקי" error="יש לבחור מהרשימה בלבד" xr:uid="{00000000-0002-0000-0200-000006000000}">
          <x14:formula1>
            <xm:f>הגדרות!$N$3:$N$6</xm:f>
          </x14:formula1>
          <x14:formula2>
            <xm:f>0</xm:f>
          </x14:formula2>
          <xm:sqref>T3:T357</xm:sqref>
        </x14:dataValidation>
        <x14:dataValidation type="list" allowBlank="1" showErrorMessage="1" errorTitle="ערך לא חוקי" error="יש לבחור מהרשימה בלבד" xr:uid="{00000000-0002-0000-0200-000007000000}">
          <x14:formula1>
            <xm:f>הגדרות!$P$3:$P$9</xm:f>
          </x14:formula1>
          <x14:formula2>
            <xm:f>0</xm:f>
          </x14:formula2>
          <xm:sqref>R3:R357</xm:sqref>
        </x14:dataValidation>
        <x14:dataValidation type="list" allowBlank="1" showErrorMessage="1" errorTitle="ערך לא חוקי" error="יש לבחור מהרשימה בלבד" xr:uid="{6E2F4F3A-8A06-48F0-AF07-1E0221F27F7F}">
          <x14:formula1>
            <xm:f>הגדרות!$L$3:$L$18</xm:f>
          </x14:formula1>
          <xm:sqref>F3:F214</xm:sqref>
        </x14:dataValidation>
        <x14:dataValidation type="list" allowBlank="1" showInputMessage="1" showErrorMessage="1" xr:uid="{3667D052-2722-4C1D-A803-DCA530933B3D}">
          <x14:formula1>
            <xm:f>הגדרות!$H$3:$H$70</xm:f>
          </x14:formula1>
          <xm:sqref>B3:B267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54"/>
  <sheetViews>
    <sheetView rightToLeft="1" zoomScaleNormal="100" workbookViewId="0">
      <pane ySplit="4" topLeftCell="A5" activePane="bottomLeft" state="frozen"/>
      <selection pane="bottomLeft" activeCell="E23" sqref="E23"/>
    </sheetView>
  </sheetViews>
  <sheetFormatPr defaultColWidth="8.7109375" defaultRowHeight="15" x14ac:dyDescent="0.25"/>
  <cols>
    <col min="1" max="1" width="8" customWidth="1"/>
    <col min="2" max="2" width="14" customWidth="1"/>
    <col min="3" max="3" width="22" customWidth="1"/>
    <col min="4" max="5" width="18" customWidth="1"/>
    <col min="6" max="6" width="14" customWidth="1"/>
    <col min="7" max="10" width="16" customWidth="1"/>
    <col min="11" max="11" width="12" customWidth="1"/>
    <col min="12" max="12" width="14" customWidth="1"/>
    <col min="13" max="13" width="26" customWidth="1"/>
    <col min="14" max="14" width="8" hidden="1" customWidth="1"/>
  </cols>
  <sheetData>
    <row r="1" spans="1:14" ht="15.75" customHeight="1" x14ac:dyDescent="0.25">
      <c r="A1" s="64" t="s">
        <v>122</v>
      </c>
      <c r="B1" s="57"/>
      <c r="C1" s="57"/>
      <c r="D1" s="57"/>
      <c r="E1" s="57"/>
      <c r="F1" s="57"/>
      <c r="G1" s="57"/>
      <c r="H1" s="57"/>
    </row>
    <row r="2" spans="1:14" ht="15" customHeight="1" x14ac:dyDescent="0.25">
      <c r="A2" s="4" t="s">
        <v>123</v>
      </c>
      <c r="B2" s="2" t="s">
        <v>3</v>
      </c>
      <c r="C2" s="4" t="s">
        <v>124</v>
      </c>
      <c r="D2" s="2" t="s">
        <v>3</v>
      </c>
      <c r="E2" s="4" t="s">
        <v>125</v>
      </c>
      <c r="F2" s="2" t="s">
        <v>3</v>
      </c>
      <c r="G2" s="4" t="s">
        <v>11</v>
      </c>
      <c r="H2" s="2" t="s">
        <v>3</v>
      </c>
    </row>
    <row r="4" spans="1:14" ht="26.25" customHeight="1" x14ac:dyDescent="0.25">
      <c r="A4" s="16" t="s">
        <v>126</v>
      </c>
      <c r="B4" s="16" t="s">
        <v>127</v>
      </c>
      <c r="C4" s="16" t="s">
        <v>31</v>
      </c>
      <c r="D4" s="16" t="s">
        <v>30</v>
      </c>
      <c r="E4" s="16" t="s">
        <v>55</v>
      </c>
      <c r="F4" s="16" t="s">
        <v>56</v>
      </c>
      <c r="G4" s="16" t="s">
        <v>128</v>
      </c>
      <c r="H4" s="16" t="s">
        <v>129</v>
      </c>
      <c r="I4" s="16" t="s">
        <v>57</v>
      </c>
      <c r="J4" s="16" t="s">
        <v>130</v>
      </c>
      <c r="K4" s="16" t="s">
        <v>36</v>
      </c>
      <c r="L4" s="16" t="s">
        <v>131</v>
      </c>
      <c r="M4" s="16" t="s">
        <v>37</v>
      </c>
      <c r="N4" s="16" t="s">
        <v>132</v>
      </c>
    </row>
    <row r="5" spans="1:14" ht="15" customHeight="1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 t="str">
        <f t="shared" ref="L5:L36" ca="1" si="0">IF(AND(K5="פעיל",I5&lt;&gt;"",I5&lt;TODAY()),"באיחור!","")</f>
        <v/>
      </c>
      <c r="M5" s="17"/>
      <c r="N5">
        <f t="shared" ref="N5:N36" si="1">IF(AND(A5&lt;&gt;"",OR($B$2="הכל",F5=$B$2),OR($D$2="הכל",E5=$D$2),OR($F$2="הכל",G5=$F$2),OR($H$2="הכל",K5=$H$2)),1,0)</f>
        <v>0</v>
      </c>
    </row>
    <row r="6" spans="1:14" ht="15" customHeight="1" x14ac:dyDescent="0.25">
      <c r="A6" s="19"/>
      <c r="B6" s="19"/>
      <c r="C6" s="19"/>
      <c r="D6" s="19"/>
      <c r="E6" s="19"/>
      <c r="F6" s="19"/>
      <c r="G6" s="19"/>
      <c r="H6" s="19"/>
      <c r="I6" s="19"/>
      <c r="J6" s="19"/>
      <c r="K6" s="19"/>
      <c r="L6" s="19" t="str">
        <f t="shared" ca="1" si="0"/>
        <v/>
      </c>
      <c r="M6" s="19"/>
      <c r="N6">
        <f t="shared" si="1"/>
        <v>0</v>
      </c>
    </row>
    <row r="7" spans="1:14" ht="15" customHeight="1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 t="str">
        <f t="shared" ca="1" si="0"/>
        <v/>
      </c>
      <c r="M7" s="17"/>
      <c r="N7">
        <f t="shared" si="1"/>
        <v>0</v>
      </c>
    </row>
    <row r="8" spans="1:14" ht="15" customHeight="1" x14ac:dyDescent="0.25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 t="str">
        <f t="shared" ca="1" si="0"/>
        <v/>
      </c>
      <c r="M8" s="19"/>
      <c r="N8">
        <f t="shared" si="1"/>
        <v>0</v>
      </c>
    </row>
    <row r="9" spans="1:14" ht="15" customHeight="1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 t="str">
        <f t="shared" ca="1" si="0"/>
        <v/>
      </c>
      <c r="M9" s="17"/>
      <c r="N9">
        <f t="shared" si="1"/>
        <v>0</v>
      </c>
    </row>
    <row r="10" spans="1:14" ht="15" customHeight="1" x14ac:dyDescent="0.25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 t="str">
        <f t="shared" ca="1" si="0"/>
        <v/>
      </c>
      <c r="M10" s="19"/>
      <c r="N10">
        <f t="shared" si="1"/>
        <v>0</v>
      </c>
    </row>
    <row r="11" spans="1:14" ht="15" customHeight="1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 t="str">
        <f t="shared" ca="1" si="0"/>
        <v/>
      </c>
      <c r="M11" s="17"/>
      <c r="N11">
        <f t="shared" si="1"/>
        <v>0</v>
      </c>
    </row>
    <row r="12" spans="1:14" ht="15" customHeight="1" x14ac:dyDescent="0.25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 t="str">
        <f t="shared" ca="1" si="0"/>
        <v/>
      </c>
      <c r="M12" s="19"/>
      <c r="N12">
        <f t="shared" si="1"/>
        <v>0</v>
      </c>
    </row>
    <row r="13" spans="1:14" ht="15" customHeight="1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 t="str">
        <f t="shared" ca="1" si="0"/>
        <v/>
      </c>
      <c r="M13" s="17"/>
      <c r="N13">
        <f t="shared" si="1"/>
        <v>0</v>
      </c>
    </row>
    <row r="14" spans="1:14" ht="15" customHeight="1" x14ac:dyDescent="0.25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 t="str">
        <f t="shared" ca="1" si="0"/>
        <v/>
      </c>
      <c r="M14" s="19"/>
      <c r="N14">
        <f t="shared" si="1"/>
        <v>0</v>
      </c>
    </row>
    <row r="15" spans="1:14" ht="15" customHeight="1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 t="str">
        <f t="shared" ca="1" si="0"/>
        <v/>
      </c>
      <c r="M15" s="17"/>
      <c r="N15">
        <f t="shared" si="1"/>
        <v>0</v>
      </c>
    </row>
    <row r="16" spans="1:14" ht="15" customHeight="1" x14ac:dyDescent="0.25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 t="str">
        <f t="shared" ca="1" si="0"/>
        <v/>
      </c>
      <c r="M16" s="19"/>
      <c r="N16">
        <f t="shared" si="1"/>
        <v>0</v>
      </c>
    </row>
    <row r="17" spans="1:14" ht="15" customHeight="1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 t="str">
        <f t="shared" ca="1" si="0"/>
        <v/>
      </c>
      <c r="M17" s="17"/>
      <c r="N17">
        <f t="shared" si="1"/>
        <v>0</v>
      </c>
    </row>
    <row r="18" spans="1:14" ht="15" customHeight="1" x14ac:dyDescent="0.25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 t="str">
        <f t="shared" ca="1" si="0"/>
        <v/>
      </c>
      <c r="M18" s="19"/>
      <c r="N18">
        <f t="shared" si="1"/>
        <v>0</v>
      </c>
    </row>
    <row r="19" spans="1:14" ht="15" customHeight="1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 t="str">
        <f t="shared" ca="1" si="0"/>
        <v/>
      </c>
      <c r="M19" s="17"/>
      <c r="N19">
        <f t="shared" si="1"/>
        <v>0</v>
      </c>
    </row>
    <row r="20" spans="1:14" ht="15" customHeight="1" x14ac:dyDescent="0.25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 t="str">
        <f t="shared" ca="1" si="0"/>
        <v/>
      </c>
      <c r="M20" s="19"/>
      <c r="N20">
        <f t="shared" si="1"/>
        <v>0</v>
      </c>
    </row>
    <row r="21" spans="1:14" ht="15" customHeight="1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 t="str">
        <f t="shared" ca="1" si="0"/>
        <v/>
      </c>
      <c r="M21" s="17"/>
      <c r="N21">
        <f t="shared" si="1"/>
        <v>0</v>
      </c>
    </row>
    <row r="22" spans="1:14" ht="15" customHeight="1" x14ac:dyDescent="0.25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 t="str">
        <f t="shared" ca="1" si="0"/>
        <v/>
      </c>
      <c r="M22" s="19"/>
      <c r="N22">
        <f t="shared" si="1"/>
        <v>0</v>
      </c>
    </row>
    <row r="23" spans="1:14" ht="15" customHeight="1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 t="str">
        <f t="shared" ca="1" si="0"/>
        <v/>
      </c>
      <c r="M23" s="17"/>
      <c r="N23">
        <f t="shared" si="1"/>
        <v>0</v>
      </c>
    </row>
    <row r="24" spans="1:14" ht="15" customHeight="1" x14ac:dyDescent="0.25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 t="str">
        <f t="shared" ca="1" si="0"/>
        <v/>
      </c>
      <c r="M24" s="19"/>
      <c r="N24">
        <f t="shared" si="1"/>
        <v>0</v>
      </c>
    </row>
    <row r="25" spans="1:14" ht="15" customHeight="1" x14ac:dyDescent="0.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 t="str">
        <f t="shared" ca="1" si="0"/>
        <v/>
      </c>
      <c r="M25" s="17"/>
      <c r="N25">
        <f t="shared" si="1"/>
        <v>0</v>
      </c>
    </row>
    <row r="26" spans="1:14" ht="15" customHeight="1" x14ac:dyDescent="0.25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 t="str">
        <f t="shared" ca="1" si="0"/>
        <v/>
      </c>
      <c r="M26" s="19"/>
      <c r="N26">
        <f t="shared" si="1"/>
        <v>0</v>
      </c>
    </row>
    <row r="27" spans="1:14" ht="15" customHeight="1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 t="str">
        <f t="shared" ca="1" si="0"/>
        <v/>
      </c>
      <c r="M27" s="17"/>
      <c r="N27">
        <f t="shared" si="1"/>
        <v>0</v>
      </c>
    </row>
    <row r="28" spans="1:14" ht="15" customHeight="1" x14ac:dyDescent="0.25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 t="str">
        <f t="shared" ca="1" si="0"/>
        <v/>
      </c>
      <c r="M28" s="19"/>
      <c r="N28">
        <f t="shared" si="1"/>
        <v>0</v>
      </c>
    </row>
    <row r="29" spans="1:14" ht="15" customHeight="1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 t="str">
        <f t="shared" ca="1" si="0"/>
        <v/>
      </c>
      <c r="M29" s="17"/>
      <c r="N29">
        <f t="shared" si="1"/>
        <v>0</v>
      </c>
    </row>
    <row r="30" spans="1:14" ht="15" customHeight="1" x14ac:dyDescent="0.25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 t="str">
        <f t="shared" ca="1" si="0"/>
        <v/>
      </c>
      <c r="M30" s="19"/>
      <c r="N30">
        <f t="shared" si="1"/>
        <v>0</v>
      </c>
    </row>
    <row r="31" spans="1:14" ht="15" customHeight="1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 t="str">
        <f t="shared" ca="1" si="0"/>
        <v/>
      </c>
      <c r="M31" s="17"/>
      <c r="N31">
        <f t="shared" si="1"/>
        <v>0</v>
      </c>
    </row>
    <row r="32" spans="1:14" ht="15" customHeight="1" x14ac:dyDescent="0.25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 t="str">
        <f t="shared" ca="1" si="0"/>
        <v/>
      </c>
      <c r="M32" s="19"/>
      <c r="N32">
        <f t="shared" si="1"/>
        <v>0</v>
      </c>
    </row>
    <row r="33" spans="1:14" ht="15" customHeight="1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 t="str">
        <f t="shared" ca="1" si="0"/>
        <v/>
      </c>
      <c r="M33" s="17"/>
      <c r="N33">
        <f t="shared" si="1"/>
        <v>0</v>
      </c>
    </row>
    <row r="34" spans="1:14" ht="15" customHeight="1" x14ac:dyDescent="0.25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 t="str">
        <f t="shared" ca="1" si="0"/>
        <v/>
      </c>
      <c r="M34" s="19"/>
      <c r="N34">
        <f t="shared" si="1"/>
        <v>0</v>
      </c>
    </row>
    <row r="35" spans="1:14" ht="15" customHeight="1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 t="str">
        <f t="shared" ca="1" si="0"/>
        <v/>
      </c>
      <c r="M35" s="17"/>
      <c r="N35">
        <f t="shared" si="1"/>
        <v>0</v>
      </c>
    </row>
    <row r="36" spans="1:14" ht="15" customHeight="1" x14ac:dyDescent="0.25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 t="str">
        <f t="shared" ca="1" si="0"/>
        <v/>
      </c>
      <c r="M36" s="19"/>
      <c r="N36">
        <f t="shared" si="1"/>
        <v>0</v>
      </c>
    </row>
    <row r="37" spans="1:14" ht="15" customHeight="1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 t="str">
        <f t="shared" ref="L37:L54" ca="1" si="2">IF(AND(K37="פעיל",I37&lt;&gt;"",I37&lt;TODAY()),"באיחור!","")</f>
        <v/>
      </c>
      <c r="M37" s="17"/>
      <c r="N37">
        <f t="shared" ref="N37:N54" si="3">IF(AND(A37&lt;&gt;"",OR($B$2="הכל",F37=$B$2),OR($D$2="הכל",E37=$D$2),OR($F$2="הכל",G37=$F$2),OR($H$2="הכל",K37=$H$2)),1,0)</f>
        <v>0</v>
      </c>
    </row>
    <row r="38" spans="1:14" ht="15" customHeight="1" x14ac:dyDescent="0.25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 t="str">
        <f t="shared" ca="1" si="2"/>
        <v/>
      </c>
      <c r="M38" s="19"/>
      <c r="N38">
        <f t="shared" si="3"/>
        <v>0</v>
      </c>
    </row>
    <row r="39" spans="1:14" ht="15" customHeight="1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 t="str">
        <f t="shared" ca="1" si="2"/>
        <v/>
      </c>
      <c r="M39" s="17"/>
      <c r="N39">
        <f t="shared" si="3"/>
        <v>0</v>
      </c>
    </row>
    <row r="40" spans="1:14" ht="15" customHeight="1" x14ac:dyDescent="0.25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 t="str">
        <f t="shared" ca="1" si="2"/>
        <v/>
      </c>
      <c r="M40" s="19"/>
      <c r="N40">
        <f t="shared" si="3"/>
        <v>0</v>
      </c>
    </row>
    <row r="41" spans="1:14" ht="15" customHeight="1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 t="str">
        <f t="shared" ca="1" si="2"/>
        <v/>
      </c>
      <c r="M41" s="17"/>
      <c r="N41">
        <f t="shared" si="3"/>
        <v>0</v>
      </c>
    </row>
    <row r="42" spans="1:14" ht="15" customHeight="1" x14ac:dyDescent="0.25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 t="str">
        <f t="shared" ca="1" si="2"/>
        <v/>
      </c>
      <c r="M42" s="19"/>
      <c r="N42">
        <f t="shared" si="3"/>
        <v>0</v>
      </c>
    </row>
    <row r="43" spans="1:14" ht="15" customHeight="1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 t="str">
        <f t="shared" ca="1" si="2"/>
        <v/>
      </c>
      <c r="M43" s="17"/>
      <c r="N43">
        <f t="shared" si="3"/>
        <v>0</v>
      </c>
    </row>
    <row r="44" spans="1:14" ht="15" customHeight="1" x14ac:dyDescent="0.25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 t="str">
        <f t="shared" ca="1" si="2"/>
        <v/>
      </c>
      <c r="M44" s="19"/>
      <c r="N44">
        <f t="shared" si="3"/>
        <v>0</v>
      </c>
    </row>
    <row r="45" spans="1:14" ht="15" customHeight="1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 t="str">
        <f t="shared" ca="1" si="2"/>
        <v/>
      </c>
      <c r="M45" s="17"/>
      <c r="N45">
        <f t="shared" si="3"/>
        <v>0</v>
      </c>
    </row>
    <row r="46" spans="1:14" ht="15" customHeight="1" x14ac:dyDescent="0.25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 t="str">
        <f t="shared" ca="1" si="2"/>
        <v/>
      </c>
      <c r="M46" s="19"/>
      <c r="N46">
        <f t="shared" si="3"/>
        <v>0</v>
      </c>
    </row>
    <row r="47" spans="1:14" ht="15" customHeight="1" x14ac:dyDescent="0.25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 t="str">
        <f t="shared" ca="1" si="2"/>
        <v/>
      </c>
      <c r="M47" s="17"/>
      <c r="N47">
        <f t="shared" si="3"/>
        <v>0</v>
      </c>
    </row>
    <row r="48" spans="1:14" ht="15" customHeight="1" x14ac:dyDescent="0.25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 t="str">
        <f t="shared" ca="1" si="2"/>
        <v/>
      </c>
      <c r="M48" s="19"/>
      <c r="N48">
        <f t="shared" si="3"/>
        <v>0</v>
      </c>
    </row>
    <row r="49" spans="1:14" ht="15" customHeight="1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 t="str">
        <f t="shared" ca="1" si="2"/>
        <v/>
      </c>
      <c r="M49" s="17"/>
      <c r="N49">
        <f t="shared" si="3"/>
        <v>0</v>
      </c>
    </row>
    <row r="50" spans="1:14" ht="15" customHeight="1" x14ac:dyDescent="0.25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 t="str">
        <f t="shared" ca="1" si="2"/>
        <v/>
      </c>
      <c r="M50" s="19"/>
      <c r="N50">
        <f t="shared" si="3"/>
        <v>0</v>
      </c>
    </row>
    <row r="51" spans="1:14" ht="15" customHeight="1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 t="str">
        <f t="shared" ca="1" si="2"/>
        <v/>
      </c>
      <c r="M51" s="17"/>
      <c r="N51">
        <f t="shared" si="3"/>
        <v>0</v>
      </c>
    </row>
    <row r="52" spans="1:14" ht="15" customHeight="1" x14ac:dyDescent="0.25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 t="str">
        <f t="shared" ca="1" si="2"/>
        <v/>
      </c>
      <c r="M52" s="19"/>
      <c r="N52">
        <f t="shared" si="3"/>
        <v>0</v>
      </c>
    </row>
    <row r="53" spans="1:14" ht="15" customHeight="1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 t="str">
        <f t="shared" ca="1" si="2"/>
        <v/>
      </c>
      <c r="M53" s="17"/>
      <c r="N53">
        <f t="shared" si="3"/>
        <v>0</v>
      </c>
    </row>
    <row r="54" spans="1:14" ht="15" customHeight="1" x14ac:dyDescent="0.25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 t="str">
        <f t="shared" ca="1" si="2"/>
        <v/>
      </c>
      <c r="M54" s="19"/>
      <c r="N54">
        <f t="shared" si="3"/>
        <v>0</v>
      </c>
    </row>
  </sheetData>
  <sheetProtection sort="0" autoFilter="0"/>
  <autoFilter ref="A4:M54" xr:uid="{00000000-0009-0000-0000-000003000000}"/>
  <mergeCells count="1">
    <mergeCell ref="A1:H1"/>
  </mergeCells>
  <conditionalFormatting sqref="K5:K54">
    <cfRule type="cellIs" dxfId="7" priority="2" operator="equal">
      <formula>"פעיל"</formula>
    </cfRule>
    <cfRule type="cellIs" dxfId="6" priority="3" operator="equal">
      <formula>"הוחזר"</formula>
    </cfRule>
    <cfRule type="cellIs" dxfId="5" priority="4" operator="equal">
      <formula>"באיחור"</formula>
    </cfRule>
  </conditionalFormatting>
  <conditionalFormatting sqref="L5:L54">
    <cfRule type="cellIs" dxfId="4" priority="5" operator="equal">
      <formula>"באיחור!"</formula>
    </cfRule>
  </conditionalFormatting>
  <dataValidations count="2">
    <dataValidation type="list" allowBlank="1" sqref="H2" xr:uid="{00000000-0002-0000-0300-000000000000}">
      <formula1>"הכל,פעיל,הוחזר,באיחור,בוטל"</formula1>
      <formula2>0</formula2>
    </dataValidation>
    <dataValidation type="list" allowBlank="1" sqref="K5:K54" xr:uid="{00000000-0002-0000-0300-000001000000}">
      <formula1>"פעיל,הוחזר,באיחור,בוטל"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4"/>
  <sheetViews>
    <sheetView rightToLeft="1" topLeftCell="D1" zoomScale="55" zoomScaleNormal="55" workbookViewId="0">
      <pane ySplit="4" topLeftCell="A5" activePane="bottomLeft" state="frozen"/>
      <selection pane="bottomLeft" activeCell="E46" sqref="E46"/>
    </sheetView>
  </sheetViews>
  <sheetFormatPr defaultColWidth="8.7109375" defaultRowHeight="15" x14ac:dyDescent="0.25"/>
  <cols>
    <col min="1" max="1" width="14" customWidth="1"/>
    <col min="2" max="2" width="28" customWidth="1"/>
    <col min="3" max="3" width="36" customWidth="1"/>
    <col min="4" max="4" width="30" customWidth="1"/>
    <col min="5" max="5" width="28" customWidth="1"/>
  </cols>
  <sheetData>
    <row r="1" spans="1:5" ht="19.5" customHeight="1" x14ac:dyDescent="0.25">
      <c r="A1" s="60" t="s">
        <v>133</v>
      </c>
      <c r="B1" s="54"/>
      <c r="C1" s="54"/>
      <c r="D1" s="54"/>
      <c r="E1" s="55"/>
    </row>
    <row r="4" spans="1:5" ht="15" customHeight="1" x14ac:dyDescent="0.25">
      <c r="A4" s="16" t="s">
        <v>33</v>
      </c>
      <c r="B4" s="16" t="s">
        <v>31</v>
      </c>
      <c r="C4" s="16" t="s">
        <v>134</v>
      </c>
      <c r="D4" s="16" t="s">
        <v>135</v>
      </c>
      <c r="E4" s="16" t="s">
        <v>37</v>
      </c>
    </row>
    <row r="5" spans="1:5" ht="15" customHeight="1" x14ac:dyDescent="0.25">
      <c r="A5" s="23" t="str">
        <f>IF(מלאי!D3&lt;&gt;"",מלאי!D3,"")</f>
        <v>A1</v>
      </c>
      <c r="B5" s="23" t="str">
        <f>IF(מלאי!D3&lt;&gt;"",מלאי!B3&amp;IF(מלאי!C3&lt;&gt;""," ("&amp;מלאי!C3&amp;")",""),"")</f>
        <v>Poncho Sahar (V1)</v>
      </c>
      <c r="C5" s="23" t="str">
        <f>IFERROR(INDEX(הגדרות!$S$2:$S$50,MATCH(מלאי!B3,הגדרות!$R$2:$R$50,0)),"")</f>
        <v/>
      </c>
      <c r="D5" s="23"/>
      <c r="E5" s="23"/>
    </row>
    <row r="6" spans="1:5" ht="15" customHeight="1" x14ac:dyDescent="0.25">
      <c r="A6" s="23" t="str">
        <f>IF(מלאי!D4&lt;&gt;"",מלאי!D4,"")</f>
        <v>A2</v>
      </c>
      <c r="B6" s="23" t="str">
        <f>IF(מלאי!D4&lt;&gt;"",מלאי!B4&amp;IF(מלאי!C4&lt;&gt;""," ("&amp;מלאי!C4&amp;")",""),"")</f>
        <v>Poncho Sahar (V1)</v>
      </c>
      <c r="C6" s="23" t="str">
        <f>IFERROR(INDEX(הגדרות!$S$2:$S$50,MATCH(מלאי!B4,הגדרות!$R$2:$R$50,0)),"")</f>
        <v/>
      </c>
      <c r="D6" s="23"/>
      <c r="E6" s="23"/>
    </row>
    <row r="7" spans="1:5" ht="15" customHeight="1" x14ac:dyDescent="0.25">
      <c r="A7" s="23" t="str">
        <f>IF(מלאי!D5&lt;&gt;"",מלאי!D5,"")</f>
        <v>A3</v>
      </c>
      <c r="B7" s="23" t="str">
        <f>IF(מלאי!D5&lt;&gt;"",מלאי!B5&amp;IF(מלאי!C5&lt;&gt;""," ("&amp;מלאי!C5&amp;")",""),"")</f>
        <v>Poncho Sahar (V1)</v>
      </c>
      <c r="C7" s="23" t="str">
        <f>IFERROR(INDEX(הגדרות!$S$2:$S$50,MATCH(מלאי!B5,הגדרות!$R$2:$R$50,0)),"")</f>
        <v/>
      </c>
      <c r="D7" s="23"/>
      <c r="E7" s="23"/>
    </row>
    <row r="8" spans="1:5" ht="15" customHeight="1" x14ac:dyDescent="0.25">
      <c r="A8" s="23" t="str">
        <f>IF(מלאי!D6&lt;&gt;"",מלאי!D6,"")</f>
        <v>A הדגמה</v>
      </c>
      <c r="B8" s="23" t="str">
        <f>IF(מלאי!D6&lt;&gt;"",מלאי!B6&amp;IF(מלאי!C6&lt;&gt;""," ("&amp;מלאי!C6&amp;")",""),"")</f>
        <v>Poncho Sahar (V1)</v>
      </c>
      <c r="C8" s="23" t="str">
        <f>IFERROR(INDEX(הגדרות!$S$2:$S$50,MATCH(מלאי!B6,הגדרות!$R$2:$R$50,0)),"")</f>
        <v/>
      </c>
      <c r="D8" s="23"/>
      <c r="E8" s="23"/>
    </row>
    <row r="9" spans="1:5" ht="15" customHeight="1" x14ac:dyDescent="0.25">
      <c r="A9" s="23" t="str">
        <f>IF(מלאי!D7&lt;&gt;"",מלאי!D7,"")</f>
        <v>A תצוגה</v>
      </c>
      <c r="B9" s="23" t="str">
        <f>IF(מלאי!D7&lt;&gt;"",מלאי!B7&amp;IF(מלאי!C7&lt;&gt;""," ("&amp;מלאי!C7&amp;")",""),"")</f>
        <v>Poncho Sahar (V1)</v>
      </c>
      <c r="C9" s="23" t="str">
        <f>IFERROR(INDEX(הגדרות!$S$2:$S$50,MATCH(מלאי!B7,הגדרות!$R$2:$R$50,0)),"")</f>
        <v/>
      </c>
      <c r="D9" s="23"/>
      <c r="E9" s="23"/>
    </row>
    <row r="10" spans="1:5" ht="15" customHeight="1" x14ac:dyDescent="0.25">
      <c r="A10" s="23" t="str">
        <f>IF(מלאי!D8&lt;&gt;"",מלאי!D8,"")</f>
        <v>B הדגמה</v>
      </c>
      <c r="B10" s="23" t="str">
        <f>IF(מלאי!D8&lt;&gt;"",מלאי!B8&amp;IF(מלאי!C8&lt;&gt;""," ("&amp;מלאי!C8&amp;")",""),"")</f>
        <v>Poncho Sahar (V2)</v>
      </c>
      <c r="C10" s="23" t="str">
        <f>IFERROR(INDEX(הגדרות!$S$2:$S$50,MATCH(מלאי!B8,הגדרות!$R$2:$R$50,0)),"")</f>
        <v/>
      </c>
      <c r="D10" s="23"/>
      <c r="E10" s="23"/>
    </row>
    <row r="11" spans="1:5" ht="15" customHeight="1" x14ac:dyDescent="0.25">
      <c r="A11" s="23" t="str">
        <f>IF(מלאי!D9&lt;&gt;"",מלאי!D9,"")</f>
        <v>B תצוגה</v>
      </c>
      <c r="B11" s="23" t="str">
        <f>IF(מלאי!D9&lt;&gt;"",מלאי!B9&amp;IF(מלאי!C9&lt;&gt;""," ("&amp;מלאי!C9&amp;")",""),"")</f>
        <v>Poncho Sahar (V2)</v>
      </c>
      <c r="C11" s="23" t="str">
        <f>IFERROR(INDEX(הגדרות!$S$2:$S$50,MATCH(מלאי!B9,הגדרות!$R$2:$R$50,0)),"")</f>
        <v/>
      </c>
      <c r="D11" s="23"/>
      <c r="E11" s="23"/>
    </row>
    <row r="12" spans="1:5" ht="15" customHeight="1" x14ac:dyDescent="0.25">
      <c r="A12" s="23" t="str">
        <f>IF(מלאי!D10&lt;&gt;"",מלאי!D10,"")</f>
        <v>Inbar A1</v>
      </c>
      <c r="B12" s="23" t="str">
        <f>IF(מלאי!D10&lt;&gt;"",מלאי!B10&amp;IF(מלאי!C10&lt;&gt;""," ("&amp;מלאי!C10&amp;")",""),"")</f>
        <v>Poncho Inbar (V1)</v>
      </c>
      <c r="C12" s="23" t="str">
        <f>IFERROR(INDEX(הגדרות!$S$2:$S$50,MATCH(מלאי!B10,הגדרות!$R$2:$R$50,0)),"")</f>
        <v/>
      </c>
      <c r="D12" s="23"/>
      <c r="E12" s="23"/>
    </row>
    <row r="13" spans="1:5" ht="15" customHeight="1" x14ac:dyDescent="0.25">
      <c r="A13" s="23" t="str">
        <f>IF(מלאי!D11&lt;&gt;"",מלאי!D11,"")</f>
        <v>Inbar A2</v>
      </c>
      <c r="B13" s="23" t="str">
        <f>IF(מלאי!D11&lt;&gt;"",מלאי!B11&amp;IF(מלאי!C11&lt;&gt;""," ("&amp;מלאי!C11&amp;")",""),"")</f>
        <v>Poncho Inbar (V1)</v>
      </c>
      <c r="C13" s="23" t="str">
        <f>IFERROR(INDEX(הגדרות!$S$2:$S$50,MATCH(מלאי!B11,הגדרות!$R$2:$R$50,0)),"")</f>
        <v/>
      </c>
      <c r="D13" s="23"/>
      <c r="E13" s="23"/>
    </row>
    <row r="14" spans="1:5" ht="15" customHeight="1" x14ac:dyDescent="0.25">
      <c r="A14" s="23" t="str">
        <f>IF(מלאי!D12&lt;&gt;"",מלאי!D12,"")</f>
        <v>Inbar A3</v>
      </c>
      <c r="B14" s="23" t="str">
        <f>IF(מלאי!D12&lt;&gt;"",מלאי!B12&amp;IF(מלאי!C12&lt;&gt;""," ("&amp;מלאי!C12&amp;")",""),"")</f>
        <v>Poncho Inbar (V1)</v>
      </c>
      <c r="C14" s="23" t="str">
        <f>IFERROR(INDEX(הגדרות!$S$2:$S$50,MATCH(מלאי!B12,הגדרות!$R$2:$R$50,0)),"")</f>
        <v/>
      </c>
      <c r="D14" s="23"/>
      <c r="E14" s="23"/>
    </row>
    <row r="15" spans="1:5" ht="15" customHeight="1" x14ac:dyDescent="0.25">
      <c r="A15" s="23" t="str">
        <f>IF(מלאי!D13&lt;&gt;"",מלאי!D13,"")</f>
        <v>Inbar A4</v>
      </c>
      <c r="B15" s="23" t="str">
        <f>IF(מלאי!D13&lt;&gt;"",מלאי!B13&amp;IF(מלאי!C13&lt;&gt;""," ("&amp;מלאי!C13&amp;")",""),"")</f>
        <v>Poncho Inbar (V1)</v>
      </c>
      <c r="C15" s="23" t="str">
        <f>IFERROR(INDEX(הגדרות!$S$2:$S$50,MATCH(מלאי!B13,הגדרות!$R$2:$R$50,0)),"")</f>
        <v/>
      </c>
      <c r="D15" s="23"/>
      <c r="E15" s="23"/>
    </row>
    <row r="16" spans="1:5" ht="15" customHeight="1" x14ac:dyDescent="0.25">
      <c r="A16" s="23" t="str">
        <f>IF(מלאי!D14&lt;&gt;"",מלאי!D14,"")</f>
        <v>Inbar א תצוגה</v>
      </c>
      <c r="B16" s="23" t="str">
        <f>IF(מלאי!D14&lt;&gt;"",מלאי!B14&amp;IF(מלאי!C14&lt;&gt;""," ("&amp;מלאי!C14&amp;")",""),"")</f>
        <v>Poncho Inbar (V1)</v>
      </c>
      <c r="C16" s="23" t="str">
        <f>IFERROR(INDEX(הגדרות!$S$2:$S$50,MATCH(מלאי!B14,הגדרות!$R$2:$R$50,0)),"")</f>
        <v/>
      </c>
      <c r="D16" s="23"/>
      <c r="E16" s="23"/>
    </row>
    <row r="17" spans="1:5" ht="15" customHeight="1" x14ac:dyDescent="0.25">
      <c r="A17" s="23" t="str">
        <f>IF(מלאי!D15&lt;&gt;"",מלאי!D15,"")</f>
        <v>Inbar א הדגמה</v>
      </c>
      <c r="B17" s="23" t="str">
        <f>IF(מלאי!D15&lt;&gt;"",מלאי!B15&amp;IF(מלאי!C15&lt;&gt;""," ("&amp;מלאי!C15&amp;")",""),"")</f>
        <v>Poncho Inbar (V1)</v>
      </c>
      <c r="C17" s="23" t="str">
        <f>IFERROR(INDEX(הגדרות!$S$2:$S$50,MATCH(מלאי!B15,הגדרות!$R$2:$R$50,0)),"")</f>
        <v/>
      </c>
      <c r="D17" s="23"/>
      <c r="E17" s="23"/>
    </row>
    <row r="18" spans="1:5" ht="15" customHeight="1" x14ac:dyDescent="0.25">
      <c r="A18" s="23" t="str">
        <f>IF(מלאי!D16&lt;&gt;"",מלאי!D16,"")</f>
        <v>May3</v>
      </c>
      <c r="B18" s="23" t="str">
        <f>IF(מלאי!D16&lt;&gt;"",מלאי!B16&amp;IF(מלאי!C16&lt;&gt;""," ("&amp;מלאי!C16&amp;")",""),"")</f>
        <v>May Suit (V1)</v>
      </c>
      <c r="C18" s="23" t="str">
        <f>IFERROR(INDEX(הגדרות!$S$2:$S$50,MATCH(מלאי!B16,הגדרות!$R$2:$R$50,0)),"")</f>
        <v/>
      </c>
      <c r="D18" s="23"/>
      <c r="E18" s="23"/>
    </row>
    <row r="19" spans="1:5" ht="15" customHeight="1" x14ac:dyDescent="0.25">
      <c r="A19" s="23" t="str">
        <f>IF(מלאי!D17&lt;&gt;"",מלאי!D17,"")</f>
        <v>May4</v>
      </c>
      <c r="B19" s="23" t="str">
        <f>IF(מלאי!D17&lt;&gt;"",מלאי!B17&amp;IF(מלאי!C17&lt;&gt;""," ("&amp;מלאי!C17&amp;")",""),"")</f>
        <v>May Suit (V1)</v>
      </c>
      <c r="C19" s="23" t="str">
        <f>IFERROR(INDEX(הגדרות!$S$2:$S$50,MATCH(מלאי!B17,הגדרות!$R$2:$R$50,0)),"")</f>
        <v/>
      </c>
      <c r="D19" s="23"/>
      <c r="E19" s="23"/>
    </row>
    <row r="20" spans="1:5" ht="15" customHeight="1" x14ac:dyDescent="0.25">
      <c r="A20" s="23" t="str">
        <f>IF(מלאי!D18&lt;&gt;"",מלאי!D18,"")</f>
        <v>מאי תצוגה</v>
      </c>
      <c r="B20" s="23" t="str">
        <f>IF(מלאי!D18&lt;&gt;"",מלאי!B18&amp;IF(מלאי!C18&lt;&gt;""," ("&amp;מלאי!C18&amp;")",""),"")</f>
        <v>May Suit (V1)</v>
      </c>
      <c r="C20" s="23" t="str">
        <f>IFERROR(INDEX(הגדרות!$S$2:$S$50,MATCH(מלאי!B18,הגדרות!$R$2:$R$50,0)),"")</f>
        <v/>
      </c>
      <c r="D20" s="23"/>
      <c r="E20" s="23"/>
    </row>
    <row r="21" spans="1:5" ht="15" customHeight="1" x14ac:dyDescent="0.25">
      <c r="A21" s="23" t="str">
        <f>IF(מלאי!D19&lt;&gt;"",מלאי!D19,"")</f>
        <v>מאי הדגמה</v>
      </c>
      <c r="B21" s="23" t="str">
        <f>IF(מלאי!D19&lt;&gt;"",מלאי!B19&amp;IF(מלאי!C19&lt;&gt;""," ("&amp;מלאי!C19&amp;")",""),"")</f>
        <v>May Suit (V1)</v>
      </c>
      <c r="C21" s="23" t="str">
        <f>IFERROR(INDEX(הגדרות!$S$2:$S$50,MATCH(מלאי!B19,הגדרות!$R$2:$R$50,0)),"")</f>
        <v/>
      </c>
      <c r="D21" s="23"/>
      <c r="E21" s="23"/>
    </row>
    <row r="22" spans="1:5" ht="15" customHeight="1" x14ac:dyDescent="0.25">
      <c r="A22" s="23" t="str">
        <f>IF(מלאי!D20&lt;&gt;"",מלאי!D20,"")</f>
        <v>May Desert 1</v>
      </c>
      <c r="B22" s="23" t="str">
        <f>IF(מלאי!D20&lt;&gt;"",מלאי!B20&amp;IF(מלאי!C20&lt;&gt;""," ("&amp;מלאי!C20&amp;")",""),"")</f>
        <v>May Suit (V1)</v>
      </c>
      <c r="C22" s="23" t="str">
        <f>IFERROR(INDEX(הגדרות!$S$2:$S$50,MATCH(מלאי!B20,הגדרות!$R$2:$R$50,0)),"")</f>
        <v/>
      </c>
      <c r="D22" s="23"/>
      <c r="E22" s="23"/>
    </row>
    <row r="23" spans="1:5" ht="15" customHeight="1" x14ac:dyDescent="0.25">
      <c r="A23" s="23" t="str">
        <f>IF(מלאי!D21&lt;&gt;"",מלאי!D21,"")</f>
        <v>May Desert 2</v>
      </c>
      <c r="B23" s="23" t="str">
        <f>IF(מלאי!D21&lt;&gt;"",מלאי!B21&amp;IF(מלאי!C21&lt;&gt;""," ("&amp;מלאי!C21&amp;")",""),"")</f>
        <v>May Suit (V1)</v>
      </c>
      <c r="C23" s="23" t="str">
        <f>IFERROR(INDEX(הגדרות!$S$2:$S$50,MATCH(מלאי!B21,הגדרות!$R$2:$R$50,0)),"")</f>
        <v/>
      </c>
      <c r="D23" s="23"/>
      <c r="E23" s="23"/>
    </row>
    <row r="24" spans="1:5" ht="15" customHeight="1" x14ac:dyDescent="0.25">
      <c r="A24" s="23" t="str">
        <f>IF(מלאי!D22&lt;&gt;"",מלאי!D22,"")</f>
        <v>May Desert 3</v>
      </c>
      <c r="B24" s="23" t="str">
        <f>IF(מלאי!D22&lt;&gt;"",מלאי!B22&amp;IF(מלאי!C22&lt;&gt;""," ("&amp;מלאי!C22&amp;")",""),"")</f>
        <v>May Suit (V1)</v>
      </c>
      <c r="C24" s="23" t="str">
        <f>IFERROR(INDEX(הגדרות!$S$2:$S$50,MATCH(מלאי!B22,הגדרות!$R$2:$R$50,0)),"")</f>
        <v/>
      </c>
      <c r="D24" s="23"/>
      <c r="E24" s="23"/>
    </row>
    <row r="25" spans="1:5" ht="15" customHeight="1" x14ac:dyDescent="0.25">
      <c r="A25" s="23" t="str">
        <f>IF(מלאי!D23&lt;&gt;"",מלאי!D23,"")</f>
        <v>May Desert 4</v>
      </c>
      <c r="B25" s="23" t="str">
        <f>IF(מלאי!D23&lt;&gt;"",מלאי!B23&amp;IF(מלאי!C23&lt;&gt;""," ("&amp;מלאי!C23&amp;")",""),"")</f>
        <v>May Suit (V1)</v>
      </c>
      <c r="C25" s="23" t="str">
        <f>IFERROR(INDEX(הגדרות!$S$2:$S$50,MATCH(מלאי!B23,הגדרות!$R$2:$R$50,0)),"")</f>
        <v/>
      </c>
      <c r="D25" s="23"/>
      <c r="E25" s="23"/>
    </row>
    <row r="26" spans="1:5" ht="15" customHeight="1" x14ac:dyDescent="0.25">
      <c r="A26" s="23" t="str">
        <f>IF(מלאי!D24&lt;&gt;"",מלאי!D24,"")</f>
        <v>גל הדגמה</v>
      </c>
      <c r="B26" s="23" t="str">
        <f>IF(מלאי!D24&lt;&gt;"",מלאי!B24&amp;IF(מלאי!C24&lt;&gt;""," ("&amp;מלאי!C24&amp;")",""),"")</f>
        <v>Gal Suit (V1)</v>
      </c>
      <c r="C26" s="23" t="str">
        <f>IFERROR(INDEX(הגדרות!$S$2:$S$50,MATCH(מלאי!B24,הגדרות!$R$2:$R$50,0)),"")</f>
        <v/>
      </c>
      <c r="D26" s="23"/>
      <c r="E26" s="23"/>
    </row>
    <row r="27" spans="1:5" ht="15" customHeight="1" x14ac:dyDescent="0.25">
      <c r="A27" s="23" t="str">
        <f>IF(מלאי!D25&lt;&gt;"",מלאי!D25,"")</f>
        <v>גל תצוגה</v>
      </c>
      <c r="B27" s="23" t="str">
        <f>IF(מלאי!D25&lt;&gt;"",מלאי!B25&amp;IF(מלאי!C25&lt;&gt;""," ("&amp;מלאי!C25&amp;")",""),"")</f>
        <v>Gal Suit (V1)</v>
      </c>
      <c r="C27" s="23" t="str">
        <f>IFERROR(INDEX(הגדרות!$S$2:$S$50,MATCH(מלאי!B25,הגדרות!$R$2:$R$50,0)),"")</f>
        <v/>
      </c>
      <c r="D27" s="23"/>
      <c r="E27" s="23"/>
    </row>
    <row r="28" spans="1:5" ht="15" customHeight="1" x14ac:dyDescent="0.25">
      <c r="A28" s="23" t="str">
        <f>IF(מלאי!D26&lt;&gt;"",מלאי!D26,"")</f>
        <v>SWAT הדגמה</v>
      </c>
      <c r="B28" s="23" t="str">
        <f>IF(מלאי!D26&lt;&gt;"",מלאי!B26&amp;IF(מלאי!C26&lt;&gt;""," ("&amp;מלאי!C26&amp;")",""),"")</f>
        <v>SWAT 3-Part SUIT (V1)</v>
      </c>
      <c r="C28" s="23" t="str">
        <f>IFERROR(INDEX(הגדרות!$S$2:$S$50,MATCH(מלאי!B26,הגדרות!$R$2:$R$50,0)),"")</f>
        <v/>
      </c>
      <c r="D28" s="23"/>
      <c r="E28" s="23"/>
    </row>
    <row r="29" spans="1:5" ht="15" customHeight="1" x14ac:dyDescent="0.25">
      <c r="A29" s="23" t="str">
        <f>IF(מלאי!D27&lt;&gt;"",מלאי!D27,"")</f>
        <v>SWAT תצוגה</v>
      </c>
      <c r="B29" s="23" t="str">
        <f>IF(מלאי!D27&lt;&gt;"",מלאי!B27&amp;IF(מלאי!C27&lt;&gt;""," ("&amp;מלאי!C27&amp;")",""),"")</f>
        <v>SWAT 3-Part SUIT (V1)</v>
      </c>
      <c r="C29" s="23" t="str">
        <f>IFERROR(INDEX(הגדרות!$S$2:$S$50,MATCH(מלאי!B27,הגדרות!$R$2:$R$50,0)),"")</f>
        <v/>
      </c>
      <c r="D29" s="23"/>
      <c r="E29" s="23"/>
    </row>
    <row r="30" spans="1:5" ht="15" customHeight="1" x14ac:dyDescent="0.25">
      <c r="A30" s="23" t="str">
        <f>IF(מלאי!D28&lt;&gt;"",מלאי!D28,"")</f>
        <v>SRV A16</v>
      </c>
      <c r="B30" s="23" t="str">
        <f>IF(מלאי!D28&lt;&gt;"",מלאי!B28&amp;IF(מלאי!C28&lt;&gt;""," ("&amp;מלאי!C28&amp;")",""),"")</f>
        <v>Poncho SRV (V1)</v>
      </c>
      <c r="C30" s="23" t="str">
        <f>IFERROR(INDEX(הגדרות!$S$2:$S$50,MATCH(מלאי!B28,הגדרות!$R$2:$R$50,0)),"")</f>
        <v/>
      </c>
      <c r="D30" s="23"/>
      <c r="E30" s="23"/>
    </row>
    <row r="31" spans="1:5" ht="15" customHeight="1" x14ac:dyDescent="0.25">
      <c r="A31" s="23" t="str">
        <f>IF(מלאי!D29&lt;&gt;"",מלאי!D29,"")</f>
        <v xml:space="preserve">SRV A14  </v>
      </c>
      <c r="B31" s="23" t="str">
        <f>IF(מלאי!D29&lt;&gt;"",מלאי!B29&amp;IF(מלאי!C29&lt;&gt;""," ("&amp;מלאי!C29&amp;")",""),"")</f>
        <v>Poncho SRV (Short)</v>
      </c>
      <c r="C31" s="23" t="str">
        <f>IFERROR(INDEX(הגדרות!$S$2:$S$50,MATCH(מלאי!B29,הגדרות!$R$2:$R$50,0)),"")</f>
        <v/>
      </c>
      <c r="D31" s="23"/>
      <c r="E31" s="23"/>
    </row>
    <row r="32" spans="1:5" ht="15" customHeight="1" x14ac:dyDescent="0.25">
      <c r="A32" s="23" t="str">
        <f>IF(מלאי!D30&lt;&gt;"",מלאי!D30,"")</f>
        <v>SRV A12</v>
      </c>
      <c r="B32" s="23" t="str">
        <f>IF(מלאי!D30&lt;&gt;"",מלאי!B30&amp;IF(מלאי!C30&lt;&gt;""," ("&amp;מלאי!C30&amp;")",""),"")</f>
        <v>Poncho SRV (V1)</v>
      </c>
      <c r="C32" s="23" t="str">
        <f>IFERROR(INDEX(הגדרות!$S$2:$S$50,MATCH(מלאי!B30,הגדרות!$R$2:$R$50,0)),"")</f>
        <v/>
      </c>
      <c r="D32" s="23"/>
      <c r="E32" s="23"/>
    </row>
    <row r="33" spans="1:5" ht="15" customHeight="1" x14ac:dyDescent="0.25">
      <c r="A33" s="23" t="str">
        <f>IF(מלאי!D31&lt;&gt;"",מלאי!D31,"")</f>
        <v>SRV A10</v>
      </c>
      <c r="B33" s="23" t="str">
        <f>IF(מלאי!D31&lt;&gt;"",מלאי!B31&amp;IF(מלאי!C31&lt;&gt;""," ("&amp;מלאי!C31&amp;")",""),"")</f>
        <v>Poncho SRV (V1)</v>
      </c>
      <c r="C33" s="23" t="str">
        <f>IFERROR(INDEX(הגדרות!$S$2:$S$50,MATCH(מלאי!B31,הגדרות!$R$2:$R$50,0)),"")</f>
        <v/>
      </c>
      <c r="D33" s="23"/>
      <c r="E33" s="23"/>
    </row>
    <row r="34" spans="1:5" ht="23.25" customHeight="1" x14ac:dyDescent="0.25">
      <c r="A34" s="23" t="str">
        <f>IF(מלאי!D32&lt;&gt;"",מלאי!D32,"")</f>
        <v>SRV Short 9</v>
      </c>
      <c r="B34" s="23" t="str">
        <f>IF(מלאי!D32&lt;&gt;"",מלאי!B32&amp;IF(מלאי!C32&lt;&gt;""," ("&amp;מלאי!C32&amp;")",""),"")</f>
        <v>Poncho SRV (Short)</v>
      </c>
      <c r="C34" s="23" t="str">
        <f>IFERROR(INDEX(הגדרות!$S$2:$S$50,MATCH(מלאי!B32,הגדרות!$R$2:$R$50,0)),"")</f>
        <v/>
      </c>
      <c r="D34" s="23"/>
      <c r="E34" s="23"/>
    </row>
    <row r="35" spans="1:5" ht="15" customHeight="1" x14ac:dyDescent="0.25">
      <c r="A35" s="23" t="str">
        <f>IF(מלאי!D33&lt;&gt;"",מלאי!D33,"")</f>
        <v>SRV Short 8</v>
      </c>
      <c r="B35" s="23" t="str">
        <f>IF(מלאי!D33&lt;&gt;"",מלאי!B33&amp;IF(מלאי!C33&lt;&gt;""," ("&amp;מלאי!C33&amp;")",""),"")</f>
        <v>Poncho SRV (Short)</v>
      </c>
      <c r="C35" s="23" t="str">
        <f>IFERROR(INDEX(הגדרות!$S$2:$S$50,MATCH(מלאי!B33,הגדרות!$R$2:$R$50,0)),"")</f>
        <v/>
      </c>
      <c r="D35" s="23"/>
      <c r="E35" s="23"/>
    </row>
    <row r="36" spans="1:5" ht="15" customHeight="1" x14ac:dyDescent="0.25">
      <c r="A36" s="23" t="str">
        <f>IF(מלאי!D34&lt;&gt;"",מלאי!D34,"")</f>
        <v>SRV Short 6</v>
      </c>
      <c r="B36" s="23" t="str">
        <f>IF(מלאי!D34&lt;&gt;"",מלאי!B34&amp;IF(מלאי!C34&lt;&gt;""," ("&amp;מלאי!C34&amp;")",""),"")</f>
        <v>Poncho SRV (Short)</v>
      </c>
      <c r="C36" s="23" t="str">
        <f>IFERROR(INDEX(הגדרות!$S$2:$S$50,MATCH(מלאי!B34,הגדרות!$R$2:$R$50,0)),"")</f>
        <v/>
      </c>
      <c r="D36" s="23"/>
      <c r="E36" s="23"/>
    </row>
    <row r="37" spans="1:5" ht="15" customHeight="1" x14ac:dyDescent="0.25">
      <c r="A37" s="23" t="str">
        <f>IF(מלאי!D35&lt;&gt;"",מלאי!D35,"")</f>
        <v>SRV Short 5</v>
      </c>
      <c r="B37" s="23" t="str">
        <f>IF(מלאי!D35&lt;&gt;"",מלאי!B35&amp;IF(מלאי!C35&lt;&gt;""," ("&amp;מלאי!C35&amp;")",""),"")</f>
        <v>Poncho SRV (Short)</v>
      </c>
      <c r="C37" s="23" t="str">
        <f>IFERROR(INDEX(הגדרות!$S$2:$S$50,MATCH(מלאי!B35,הגדרות!$R$2:$R$50,0)),"")</f>
        <v/>
      </c>
      <c r="D37" s="23"/>
      <c r="E37" s="23"/>
    </row>
    <row r="38" spans="1:5" ht="15" customHeight="1" x14ac:dyDescent="0.25">
      <c r="A38" s="23" t="str">
        <f>IF(מלאי!D43&lt;&gt;"",מלאי!D43,"")</f>
        <v>SRV Short B7</v>
      </c>
      <c r="B38" s="23" t="str">
        <f>IF(מלאי!D43&lt;&gt;"",מלאי!B43&amp;IF(מלאי!C43&lt;&gt;""," ("&amp;מלאי!C43&amp;")",""),"")</f>
        <v>Poncho SRV (Short V2)</v>
      </c>
      <c r="C38" s="23" t="str">
        <f>IFERROR(INDEX(הגדרות!$S$2:$S$50,MATCH(מלאי!B43,הגדרות!$R$2:$R$50,0)),"")</f>
        <v/>
      </c>
      <c r="D38" s="23"/>
      <c r="E38" s="23"/>
    </row>
    <row r="39" spans="1:5" ht="15" customHeight="1" x14ac:dyDescent="0.25">
      <c r="A39" s="23" t="str">
        <f>IF(מלאי!D44&lt;&gt;"",מלאי!D44,"")</f>
        <v>Inbar A5</v>
      </c>
      <c r="B39" s="23" t="str">
        <f>IF(מלאי!D44&lt;&gt;"",מלאי!B44&amp;IF(מלאי!C44&lt;&gt;""," ("&amp;מלאי!C44&amp;")",""),"")</f>
        <v>Poncho Inbar (V1)</v>
      </c>
      <c r="C39" s="23" t="str">
        <f>IFERROR(INDEX(הגדרות!$S$2:$S$50,MATCH(מלאי!B44,הגדרות!$R$2:$R$50,0)),"")</f>
        <v/>
      </c>
      <c r="D39" s="23"/>
      <c r="E39" s="23"/>
    </row>
    <row r="40" spans="1:5" ht="15" customHeight="1" x14ac:dyDescent="0.25">
      <c r="A40" s="23" t="str">
        <f>IF(מלאי!D45&lt;&gt;"",מלאי!D45,"")</f>
        <v>Inbar A6</v>
      </c>
      <c r="B40" s="23" t="str">
        <f>IF(מלאי!D45&lt;&gt;"",מלאי!B45&amp;IF(מלאי!C45&lt;&gt;""," ("&amp;מלאי!C45&amp;")",""),"")</f>
        <v>Poncho Inbar (V1)</v>
      </c>
      <c r="C40" s="23" t="str">
        <f>IFERROR(INDEX(הגדרות!$S$2:$S$50,MATCH(מלאי!B45,הגדרות!$R$2:$R$50,0)),"")</f>
        <v/>
      </c>
      <c r="D40" s="23"/>
      <c r="E40" s="23"/>
    </row>
    <row r="41" spans="1:5" ht="15" customHeight="1" x14ac:dyDescent="0.25">
      <c r="A41" s="23" t="str">
        <f>IF(מלאי!D46&lt;&gt;"",מלאי!D46,"")</f>
        <v>RIPSTOP Hobey 1</v>
      </c>
      <c r="B41" s="23" t="str">
        <f>IF(מלאי!D46&lt;&gt;"",מלאי!B46&amp;IF(מלאי!C46&lt;&gt;""," ("&amp;מלאי!C46&amp;")",""),"")</f>
        <v>Hobey Elite (V1)</v>
      </c>
      <c r="C41" s="23" t="str">
        <f>IFERROR(INDEX(הגדרות!$S$2:$S$50,MATCH(מלאי!B46,הגדרות!$R$2:$R$50,0)),"")</f>
        <v/>
      </c>
      <c r="D41" s="23"/>
      <c r="E41" s="23"/>
    </row>
    <row r="42" spans="1:5" ht="15" customHeight="1" x14ac:dyDescent="0.25">
      <c r="A42" s="23" t="str">
        <f>IF(מלאי!D47&lt;&gt;"",מלאי!D47,"")</f>
        <v>Hobey 2</v>
      </c>
      <c r="B42" s="23" t="str">
        <f>IF(מלאי!D47&lt;&gt;"",מלאי!B47&amp;IF(מלאי!C47&lt;&gt;""," ("&amp;מלאי!C47&amp;")",""),"")</f>
        <v>Hobey Elite (V1)</v>
      </c>
      <c r="C42" s="23" t="str">
        <f>IFERROR(INDEX(הגדרות!$S$2:$S$50,MATCH(מלאי!B47,הגדרות!$R$2:$R$50,0)),"")</f>
        <v/>
      </c>
      <c r="D42" s="23"/>
      <c r="E42" s="23"/>
    </row>
    <row r="43" spans="1:5" ht="15" customHeight="1" x14ac:dyDescent="0.25">
      <c r="A43" s="23" t="str">
        <f>IF(מלאי!D48&lt;&gt;"",מלאי!D48,"")</f>
        <v>Hobey 3</v>
      </c>
      <c r="B43" s="23" t="str">
        <f>IF(מלאי!D48&lt;&gt;"",מלאי!B48&amp;IF(מלאי!C48&lt;&gt;""," ("&amp;מלאי!C48&amp;")",""),"")</f>
        <v>Hobey Elite (V1)</v>
      </c>
      <c r="C43" s="23" t="str">
        <f>IFERROR(INDEX(הגדרות!$S$2:$S$50,MATCH(מלאי!B48,הגדרות!$R$2:$R$50,0)),"")</f>
        <v/>
      </c>
      <c r="D43" s="23"/>
      <c r="E43" s="23"/>
    </row>
    <row r="44" spans="1:5" ht="15" customHeight="1" x14ac:dyDescent="0.25">
      <c r="A44" s="23" t="str">
        <f>IF(מלאי!D49&lt;&gt;"",מלאי!D49,"")</f>
        <v>הובי תצוגה 1</v>
      </c>
      <c r="B44" s="23" t="str">
        <f>IF(מלאי!D49&lt;&gt;"",מלאי!B49&amp;IF(מלאי!C49&lt;&gt;""," ("&amp;מלאי!C49&amp;")",""),"")</f>
        <v>Hobey Elite (V1)</v>
      </c>
      <c r="C44" s="23" t="str">
        <f>IFERROR(INDEX(הגדרות!$S$2:$S$50,MATCH(מלאי!B49,הגדרות!$R$2:$R$50,0)),"")</f>
        <v/>
      </c>
      <c r="D44" s="23"/>
      <c r="E44" s="23"/>
    </row>
    <row r="45" spans="1:5" ht="15" customHeight="1" x14ac:dyDescent="0.25">
      <c r="A45" s="23" t="str">
        <f>IF(מלאי!D50&lt;&gt;"",מלאי!D50,"")</f>
        <v>גל תצוגה אורבן</v>
      </c>
      <c r="B45" s="23" t="str">
        <f>IF(מלאי!D50&lt;&gt;"",מלאי!B50&amp;IF(מלאי!C50&lt;&gt;""," ("&amp;מלאי!C50&amp;")",""),"")</f>
        <v>Gal Suit (V1)</v>
      </c>
      <c r="C45" s="23" t="str">
        <f>IFERROR(INDEX(הגדרות!$S$2:$S$50,MATCH(מלאי!B50,הגדרות!$R$2:$R$50,0)),"")</f>
        <v/>
      </c>
      <c r="D45" s="23"/>
      <c r="E45" s="23"/>
    </row>
    <row r="46" spans="1:5" ht="23.25" customHeight="1" x14ac:dyDescent="0.25">
      <c r="A46" s="23" t="str">
        <f>IF(מלאי!D52&lt;&gt;"",מלאי!D52,"")</f>
        <v>חליפת צלף תצוגה</v>
      </c>
      <c r="B46" s="23" t="str">
        <f>IF(מלאי!D52&lt;&gt;"",מלאי!B52&amp;IF(מלאי!C52&lt;&gt;""," ("&amp;מלאי!C52&amp;")",""),"")</f>
        <v>Sniper Assault (V1)</v>
      </c>
      <c r="C46" s="23" t="str">
        <f>IFERROR(INDEX(הגדרות!$S$2:$S$50,MATCH(מלאי!B52,הגדרות!$R$2:$R$50,0)),"")</f>
        <v/>
      </c>
      <c r="D46" s="23"/>
      <c r="E46" s="23"/>
    </row>
    <row r="47" spans="1:5" ht="15" customHeight="1" x14ac:dyDescent="0.25">
      <c r="A47" s="23" t="str">
        <f>IF(מלאי!D53&lt;&gt;"",מלאי!D53,"")</f>
        <v>עמדת חוליה 1 הדגמה</v>
      </c>
      <c r="B47" s="23" t="str">
        <f>IF(מלאי!D53&lt;&gt;"",מלאי!B53&amp;IF(מלאי!C53&lt;&gt;""," ("&amp;מלאי!C53&amp;")",""),"")</f>
        <v>Operators HS (V1)</v>
      </c>
      <c r="C47" s="23" t="str">
        <f>IFERROR(INDEX(הגדרות!$S$2:$S$50,MATCH(מלאי!B53,הגדרות!$R$2:$R$50,0)),"")</f>
        <v/>
      </c>
      <c r="D47" s="23"/>
      <c r="E47" s="23"/>
    </row>
    <row r="48" spans="1:5" ht="15" customHeight="1" x14ac:dyDescent="0.25">
      <c r="A48" s="23" t="str">
        <f>IF(מלאי!D54&lt;&gt;"",מלאי!D54,"")</f>
        <v>Op HS 2</v>
      </c>
      <c r="B48" s="23" t="str">
        <f>IF(מלאי!D54&lt;&gt;"",מלאי!B54&amp;IF(מלאי!C54&lt;&gt;""," ("&amp;מלאי!C54&amp;")",""),"")</f>
        <v>Operators HS (V1)</v>
      </c>
      <c r="C48" s="23" t="str">
        <f>IFERROR(INDEX(הגדרות!$S$2:$S$50,MATCH(מלאי!B54,הגדרות!$R$2:$R$50,0)),"")</f>
        <v/>
      </c>
      <c r="D48" s="23"/>
      <c r="E48" s="23"/>
    </row>
    <row r="49" spans="1:5" ht="23.25" customHeight="1" x14ac:dyDescent="0.25">
      <c r="A49" s="23" t="str">
        <f>IF(מלאי!D56&lt;&gt;"",מלאי!D56,"")</f>
        <v>Op HS  4</v>
      </c>
      <c r="B49" s="23" t="str">
        <f>IF(מלאי!D56&lt;&gt;"",מלאי!B56&amp;IF(מלאי!C56&lt;&gt;""," ("&amp;מלאי!C56&amp;")",""),"")</f>
        <v>Operators HS (V1)</v>
      </c>
      <c r="C49" s="23" t="str">
        <f>IFERROR(INDEX(הגדרות!$S$2:$S$50,MATCH(מלאי!B56,הגדרות!$R$2:$R$50,0)),"")</f>
        <v/>
      </c>
      <c r="D49" s="23"/>
      <c r="E49" s="23"/>
    </row>
    <row r="50" spans="1:5" ht="15" customHeight="1" x14ac:dyDescent="0.25">
      <c r="A50" s="23" t="str">
        <f>IF(מלאי!D57&lt;&gt;"",מלאי!D57,"")</f>
        <v>סהר B 3D הדגמה</v>
      </c>
      <c r="B50" s="23" t="str">
        <f>IF(מלאי!D57&lt;&gt;"",מלאי!B57&amp;IF(מלאי!C57&lt;&gt;""," ("&amp;מלאי!C57&amp;")",""),"")</f>
        <v>Poncho Sahar (V2 3D)</v>
      </c>
      <c r="C50" s="23" t="str">
        <f>IFERROR(INDEX(הגדרות!$S$2:$S$50,MATCH(מלאי!B57,הגדרות!$R$2:$R$50,0)),"")</f>
        <v/>
      </c>
      <c r="D50" s="23"/>
      <c r="E50" s="23"/>
    </row>
    <row r="51" spans="1:5" ht="23.25" customHeight="1" x14ac:dyDescent="0.25">
      <c r="A51" s="23" t="str">
        <f>IF(מלאי!D58&lt;&gt;"",מלאי!D58,"")</f>
        <v>יריעה 3D הדגמה 1</v>
      </c>
      <c r="B51" s="23" t="str">
        <f>IF(מלאי!D58&lt;&gt;"",מלאי!B58&amp;IF(מלאי!C58&lt;&gt;""," ("&amp;מלאי!C58&amp;")",""),"")</f>
        <v>3D Survival Blanket (V1)</v>
      </c>
      <c r="C51" s="23" t="str">
        <f>IFERROR(INDEX(הגדרות!$S$2:$S$50,MATCH(מלאי!B58,הגדרות!$R$2:$R$50,0)),"")</f>
        <v/>
      </c>
      <c r="D51" s="23"/>
      <c r="E51" s="23"/>
    </row>
    <row r="52" spans="1:5" ht="23.25" customHeight="1" x14ac:dyDescent="0.25">
      <c r="A52" s="23" t="str">
        <f>IF(מלאי!D59&lt;&gt;"",מלאי!D59,"")</f>
        <v>יריעה 3D תצוגה 2</v>
      </c>
      <c r="B52" s="23" t="str">
        <f>IF(מלאי!D59&lt;&gt;"",מלאי!B59&amp;IF(מלאי!C59&lt;&gt;""," ("&amp;מלאי!C59&amp;")",""),"")</f>
        <v>3D Survival Blanket (V1)</v>
      </c>
      <c r="C52" s="23" t="str">
        <f>IFERROR(INDEX(הגדרות!$S$2:$S$50,MATCH(מלאי!B59,הגדרות!$R$2:$R$50,0)),"")</f>
        <v/>
      </c>
      <c r="D52" s="23"/>
      <c r="E52" s="23"/>
    </row>
    <row r="53" spans="1:5" ht="23.25" customHeight="1" x14ac:dyDescent="0.25">
      <c r="A53" s="23" t="str">
        <f>IF(מלאי!D60&lt;&gt;"",מלאי!D60,"")</f>
        <v>יריעה אטומה תצוגה</v>
      </c>
      <c r="B53" s="23" t="str">
        <f>IF(מלאי!D60&lt;&gt;"",מלאי!B60&amp;IF(מלאי!C60&lt;&gt;""," ("&amp;מלאי!C60&amp;")",""),"")</f>
        <v>Water Proof Survival Blanket (V1)</v>
      </c>
      <c r="C53" s="23" t="str">
        <f>IFERROR(INDEX(הגדרות!$S$2:$S$50,MATCH(מלאי!B60,הגדרות!$R$2:$R$50,0)),"")</f>
        <v/>
      </c>
      <c r="D53" s="23"/>
      <c r="E53" s="23"/>
    </row>
    <row r="54" spans="1:5" ht="23.25" customHeight="1" x14ac:dyDescent="0.25">
      <c r="A54" s="23" t="str">
        <f>IF(מלאי!D61&lt;&gt;"",מלאי!D61,"")</f>
        <v>יריעה אטומה הדגמה</v>
      </c>
      <c r="B54" s="23" t="str">
        <f>IF(מלאי!D61&lt;&gt;"",מלאי!B61&amp;IF(מלאי!C61&lt;&gt;""," ("&amp;מלאי!C61&amp;")",""),"")</f>
        <v>Water Proof Survival Blanket (V1)</v>
      </c>
      <c r="C54" s="23" t="str">
        <f>IFERROR(INDEX(הגדרות!$S$2:$S$50,MATCH(מלאי!B61,הגדרות!$R$2:$R$50,0)),"")</f>
        <v/>
      </c>
      <c r="D54" s="23"/>
      <c r="E54" s="23"/>
    </row>
    <row r="55" spans="1:5" ht="15" customHeight="1" x14ac:dyDescent="0.25">
      <c r="A55" s="23" t="str">
        <f>IF(מלאי!D62&lt;&gt;"",מלאי!D62,"")</f>
        <v>SRV Blanket 1</v>
      </c>
      <c r="B55" s="23" t="str">
        <f>IF(מלאי!D62&lt;&gt;"",מלאי!B62&amp;IF(מלאי!C62&lt;&gt;""," ("&amp;מלאי!C62&amp;")",""),"")</f>
        <v>Survival Blanket (V1)</v>
      </c>
      <c r="C55" s="23" t="str">
        <f>IFERROR(INDEX(הגדרות!$S$2:$S$50,MATCH(מלאי!B62,הגדרות!$R$2:$R$50,0)),"")</f>
        <v/>
      </c>
      <c r="D55" s="23"/>
      <c r="E55" s="23"/>
    </row>
    <row r="56" spans="1:5" ht="15" customHeight="1" x14ac:dyDescent="0.25">
      <c r="A56" s="23" t="str">
        <f>IF(מלאי!D63&lt;&gt;"",מלאי!D63,"")</f>
        <v>SRV Blanket 3</v>
      </c>
      <c r="B56" s="23" t="str">
        <f>IF(מלאי!D63&lt;&gt;"",מלאי!B63&amp;IF(מלאי!C63&lt;&gt;""," ("&amp;מלאי!C63&amp;")",""),"")</f>
        <v>Survival Blanket (V1)</v>
      </c>
      <c r="C56" s="23" t="str">
        <f>IFERROR(INDEX(הגדרות!$S$2:$S$50,MATCH(מלאי!B63,הגדרות!$R$2:$R$50,0)),"")</f>
        <v/>
      </c>
      <c r="D56" s="23"/>
      <c r="E56" s="23"/>
    </row>
    <row r="57" spans="1:5" ht="15" customHeight="1" x14ac:dyDescent="0.25">
      <c r="A57" s="23" t="str">
        <f>IF(מלאי!D64&lt;&gt;"",מלאי!D64,"")</f>
        <v>SRV Blanket 4</v>
      </c>
      <c r="B57" s="23" t="str">
        <f>IF(מלאי!D64&lt;&gt;"",מלאי!B64&amp;IF(מלאי!C64&lt;&gt;""," ("&amp;מלאי!C64&amp;")",""),"")</f>
        <v>Survival Blanket (V1)</v>
      </c>
      <c r="C57" s="23" t="str">
        <f>IFERROR(INDEX(הגדרות!$S$2:$S$50,MATCH(מלאי!B64,הגדרות!$R$2:$R$50,0)),"")</f>
        <v/>
      </c>
      <c r="D57" s="23"/>
      <c r="E57" s="23"/>
    </row>
    <row r="58" spans="1:5" ht="15" customHeight="1" x14ac:dyDescent="0.25">
      <c r="A58" s="23" t="str">
        <f>IF(מלאי!D65&lt;&gt;"",מלאי!D65,"")</f>
        <v>SRV Blanket 2</v>
      </c>
      <c r="B58" s="23" t="str">
        <f>IF(מלאי!D65&lt;&gt;"",מלאי!B65&amp;IF(מלאי!C65&lt;&gt;""," ("&amp;מלאי!C65&amp;")",""),"")</f>
        <v>Survival Blanket (V1)</v>
      </c>
      <c r="C58" s="23" t="str">
        <f>IFERROR(INDEX(הגדרות!$S$2:$S$50,MATCH(מלאי!B65,הגדרות!$R$2:$R$50,0)),"")</f>
        <v/>
      </c>
      <c r="D58" s="23"/>
      <c r="E58" s="23"/>
    </row>
    <row r="59" spans="1:5" ht="15" customHeight="1" x14ac:dyDescent="0.25">
      <c r="A59" s="23" t="str">
        <f>IF(מלאי!D66&lt;&gt;"",מלאי!D66,"")</f>
        <v>SRV Blanket 6</v>
      </c>
      <c r="B59" s="23" t="str">
        <f>IF(מלאי!D66&lt;&gt;"",מלאי!B66&amp;IF(מלאי!C66&lt;&gt;""," ("&amp;מלאי!C66&amp;")",""),"")</f>
        <v>Survival Blanket (V1)</v>
      </c>
      <c r="C59" s="23" t="str">
        <f>IFERROR(INDEX(הגדרות!$S$2:$S$50,MATCH(מלאי!B66,הגדרות!$R$2:$R$50,0)),"")</f>
        <v/>
      </c>
      <c r="D59" s="23"/>
      <c r="E59" s="23"/>
    </row>
    <row r="60" spans="1:5" ht="15" customHeight="1" x14ac:dyDescent="0.25">
      <c r="A60" s="23" t="str">
        <f>IF(מלאי!D67&lt;&gt;"",מלאי!D67,"")</f>
        <v>יריעת הישרדות קרוע 5</v>
      </c>
      <c r="B60" s="23" t="str">
        <f>IF(מלאי!D67&lt;&gt;"",מלאי!B67&amp;IF(מלאי!C67&lt;&gt;""," ("&amp;מלאי!C67&amp;")",""),"")</f>
        <v>Survival Blanket (V1)</v>
      </c>
      <c r="C60" s="23" t="str">
        <f>IFERROR(INDEX(הגדרות!$S$2:$S$50,MATCH(מלאי!B67,הגדרות!$R$2:$R$50,0)),"")</f>
        <v/>
      </c>
      <c r="D60" s="23"/>
      <c r="E60" s="23"/>
    </row>
    <row r="61" spans="1:5" ht="15" customHeight="1" x14ac:dyDescent="0.25">
      <c r="A61" s="23" t="str">
        <f>IF(מלאי!D68&lt;&gt;"",מלאי!D68,"")</f>
        <v>SRV Blanket 10</v>
      </c>
      <c r="B61" s="23" t="str">
        <f>IF(מלאי!D68&lt;&gt;"",מלאי!B68&amp;IF(מלאי!C68&lt;&gt;""," ("&amp;מלאי!C68&amp;")",""),"")</f>
        <v>Survival Blanket (V1)</v>
      </c>
      <c r="C61" s="23" t="str">
        <f>IFERROR(INDEX(הגדרות!$S$2:$S$50,MATCH(מלאי!B68,הגדרות!$R$2:$R$50,0)),"")</f>
        <v/>
      </c>
      <c r="D61" s="23"/>
      <c r="E61" s="23"/>
    </row>
    <row r="62" spans="1:5" ht="15" customHeight="1" x14ac:dyDescent="0.25">
      <c r="A62" s="23" t="str">
        <f>IF(מלאי!D69&lt;&gt;"",מלאי!D69,"")</f>
        <v>SRV Blanket 11</v>
      </c>
      <c r="B62" s="23" t="str">
        <f>IF(מלאי!D69&lt;&gt;"",מלאי!B69&amp;IF(מלאי!C69&lt;&gt;""," ("&amp;מלאי!C69&amp;")",""),"")</f>
        <v>Survival Blanket (V1)</v>
      </c>
      <c r="C62" s="23" t="str">
        <f>IFERROR(INDEX(הגדרות!$S$2:$S$50,MATCH(מלאי!B69,הגדרות!$R$2:$R$50,0)),"")</f>
        <v/>
      </c>
      <c r="D62" s="23"/>
      <c r="E62" s="23"/>
    </row>
    <row r="63" spans="1:5" ht="15" customHeight="1" x14ac:dyDescent="0.25">
      <c r="A63" s="23" t="str">
        <f>IF(מלאי!D70&lt;&gt;"",מלאי!D70,"")</f>
        <v>SRV Blanket 12</v>
      </c>
      <c r="B63" s="23" t="str">
        <f>IF(מלאי!D70&lt;&gt;"",מלאי!B70&amp;IF(מלאי!C70&lt;&gt;""," ("&amp;מלאי!C70&amp;")",""),"")</f>
        <v>Survival Blanket (V1)</v>
      </c>
      <c r="C63" s="23" t="str">
        <f>IFERROR(INDEX(הגדרות!$S$2:$S$50,MATCH(מלאי!B70,הגדרות!$R$2:$R$50,0)),"")</f>
        <v/>
      </c>
      <c r="D63" s="23"/>
      <c r="E63" s="23"/>
    </row>
    <row r="64" spans="1:5" ht="15" customHeight="1" x14ac:dyDescent="0.25">
      <c r="A64" s="23" t="str">
        <f>IF(מלאי!D71&lt;&gt;"",מלאי!D71,"")</f>
        <v>SRV Blanket 13</v>
      </c>
      <c r="B64" s="23" t="str">
        <f>IF(מלאי!D71&lt;&gt;"",מלאי!B71&amp;IF(מלאי!C71&lt;&gt;""," ("&amp;מלאי!C71&amp;")",""),"")</f>
        <v>Survival Blanket (V1)</v>
      </c>
      <c r="C64" s="23" t="str">
        <f>IFERROR(INDEX(הגדרות!$S$2:$S$50,MATCH(מלאי!B71,הגדרות!$R$2:$R$50,0)),"")</f>
        <v/>
      </c>
      <c r="D64" s="23"/>
      <c r="E64" s="23"/>
    </row>
    <row r="65" spans="1:5" ht="15" customHeight="1" x14ac:dyDescent="0.25">
      <c r="A65" s="23" t="str">
        <f>IF(מלאי!D72&lt;&gt;"",מלאי!D72,"")</f>
        <v>SRV Blanket 14</v>
      </c>
      <c r="B65" s="23" t="str">
        <f>IF(מלאי!D72&lt;&gt;"",מלאי!B72&amp;IF(מלאי!C72&lt;&gt;""," ("&amp;מלאי!C72&amp;")",""),"")</f>
        <v>Survival Blanket (V1)</v>
      </c>
      <c r="C65" s="23" t="str">
        <f>IFERROR(INDEX(הגדרות!$S$2:$S$50,MATCH(מלאי!B72,הגדרות!$R$2:$R$50,0)),"")</f>
        <v/>
      </c>
      <c r="D65" s="23"/>
      <c r="E65" s="23"/>
    </row>
    <row r="66" spans="1:5" ht="15" customHeight="1" x14ac:dyDescent="0.25">
      <c r="A66" s="23" t="str">
        <f>IF(מלאי!D73&lt;&gt;"",מלאי!D73,"")</f>
        <v>SRV Blanket 15</v>
      </c>
      <c r="B66" s="23" t="str">
        <f>IF(מלאי!D73&lt;&gt;"",מלאי!B73&amp;IF(מלאי!C73&lt;&gt;""," ("&amp;מלאי!C73&amp;")",""),"")</f>
        <v>Survival Blanket (V1)</v>
      </c>
      <c r="C66" s="23" t="str">
        <f>IFERROR(INDEX(הגדרות!$S$2:$S$50,MATCH(מלאי!B73,הגדרות!$R$2:$R$50,0)),"")</f>
        <v/>
      </c>
      <c r="D66" s="23"/>
      <c r="E66" s="23"/>
    </row>
    <row r="67" spans="1:5" ht="15" customHeight="1" x14ac:dyDescent="0.25">
      <c r="A67" s="23" t="str">
        <f>IF(מלאי!D74&lt;&gt;"",מלאי!D74,"")</f>
        <v>SRV Blanket 16</v>
      </c>
      <c r="B67" s="23" t="str">
        <f>IF(מלאי!D74&lt;&gt;"",מלאי!B74&amp;IF(מלאי!C74&lt;&gt;""," ("&amp;מלאי!C74&amp;")",""),"")</f>
        <v>Survival Blanket (V1)</v>
      </c>
      <c r="C67" s="23" t="str">
        <f>IFERROR(INDEX(הגדרות!$S$2:$S$50,MATCH(מלאי!B74,הגדרות!$R$2:$R$50,0)),"")</f>
        <v/>
      </c>
      <c r="D67" s="23"/>
      <c r="E67" s="23"/>
    </row>
    <row r="68" spans="1:5" ht="15" customHeight="1" x14ac:dyDescent="0.25">
      <c r="A68" s="23" t="str">
        <f>IF(מלאי!D75&lt;&gt;"",מלאי!D75,"")</f>
        <v>SRV Blanket 17</v>
      </c>
      <c r="B68" s="23" t="str">
        <f>IF(מלאי!D75&lt;&gt;"",מלאי!B75&amp;IF(מלאי!C75&lt;&gt;""," ("&amp;מלאי!C75&amp;")",""),"")</f>
        <v>Survival Blanket (V1)</v>
      </c>
      <c r="C68" s="23" t="str">
        <f>IFERROR(INDEX(הגדרות!$S$2:$S$50,MATCH(מלאי!B75,הגדרות!$R$2:$R$50,0)),"")</f>
        <v/>
      </c>
      <c r="D68" s="23"/>
      <c r="E68" s="23"/>
    </row>
    <row r="69" spans="1:5" ht="15" customHeight="1" x14ac:dyDescent="0.25">
      <c r="A69" s="23" t="str">
        <f>IF(מלאי!D76&lt;&gt;"",מלאי!D76,"")</f>
        <v>SRV Blanket 18</v>
      </c>
      <c r="B69" s="23" t="str">
        <f>IF(מלאי!D76&lt;&gt;"",מלאי!B76&amp;IF(מלאי!C76&lt;&gt;""," ("&amp;מלאי!C76&amp;")",""),"")</f>
        <v>Survival Blanket (V1)</v>
      </c>
      <c r="C69" s="23" t="str">
        <f>IFERROR(INDEX(הגדרות!$S$2:$S$50,MATCH(מלאי!B76,הגדרות!$R$2:$R$50,0)),"")</f>
        <v/>
      </c>
      <c r="D69" s="23"/>
      <c r="E69" s="23"/>
    </row>
    <row r="70" spans="1:5" ht="15" customHeight="1" x14ac:dyDescent="0.25">
      <c r="A70" s="23" t="str">
        <f>IF(מלאי!D77&lt;&gt;"",מלאי!D77,"")</f>
        <v>SRV Blanket 19</v>
      </c>
      <c r="B70" s="23" t="str">
        <f>IF(מלאי!D77&lt;&gt;"",מלאי!B77&amp;IF(מלאי!C77&lt;&gt;""," ("&amp;מלאי!C77&amp;")",""),"")</f>
        <v>Survival Blanket (V1)</v>
      </c>
      <c r="C70" s="23" t="str">
        <f>IFERROR(INDEX(הגדרות!$S$2:$S$50,MATCH(מלאי!B77,הגדרות!$R$2:$R$50,0)),"")</f>
        <v/>
      </c>
      <c r="D70" s="23"/>
      <c r="E70" s="23"/>
    </row>
    <row r="71" spans="1:5" ht="15" customHeight="1" x14ac:dyDescent="0.25">
      <c r="A71" s="23" t="str">
        <f>IF(מלאי!D78&lt;&gt;"",מלאי!D78,"")</f>
        <v>SRV Blanket 20</v>
      </c>
      <c r="B71" s="23" t="str">
        <f>IF(מלאי!D78&lt;&gt;"",מלאי!B78&amp;IF(מלאי!C78&lt;&gt;""," ("&amp;מלאי!C78&amp;")",""),"")</f>
        <v>Survival Blanket (V1)</v>
      </c>
      <c r="C71" s="23" t="str">
        <f>IFERROR(INDEX(הגדרות!$S$2:$S$50,MATCH(מלאי!B78,הגדרות!$R$2:$R$50,0)),"")</f>
        <v/>
      </c>
      <c r="D71" s="23"/>
      <c r="E71" s="23"/>
    </row>
    <row r="72" spans="1:5" ht="15" customHeight="1" x14ac:dyDescent="0.25">
      <c r="A72" s="23" t="str">
        <f>IF(מלאי!D80&lt;&gt;"",מלאי!D80,"")</f>
        <v>SRV Blanket 23</v>
      </c>
      <c r="B72" s="23" t="str">
        <f>IF(מלאי!D80&lt;&gt;"",מלאי!B80&amp;IF(מלאי!C80&lt;&gt;""," ("&amp;מלאי!C80&amp;")",""),"")</f>
        <v>Survival Blanket (V1)</v>
      </c>
      <c r="C72" s="23" t="str">
        <f>IFERROR(INDEX(הגדרות!$S$2:$S$50,MATCH(מלאי!B80,הגדרות!$R$2:$R$50,0)),"")</f>
        <v/>
      </c>
      <c r="D72" s="23"/>
      <c r="E72" s="23"/>
    </row>
    <row r="73" spans="1:5" ht="15" customHeight="1" x14ac:dyDescent="0.25">
      <c r="A73" s="23" t="str">
        <f>IF(מלאי!D81&lt;&gt;"",מלאי!D81,"")</f>
        <v>יריעה 9  - בואקום</v>
      </c>
      <c r="B73" s="23" t="str">
        <f>IF(מלאי!D81&lt;&gt;"",מלאי!B81&amp;IF(מלאי!C81&lt;&gt;""," ("&amp;מלאי!C81&amp;")",""),"")</f>
        <v>Survival Blanket (V1)</v>
      </c>
      <c r="C73" s="23" t="str">
        <f>IFERROR(INDEX(הגדרות!$S$2:$S$50,MATCH(מלאי!B81,הגדרות!$R$2:$R$50,0)),"")</f>
        <v/>
      </c>
      <c r="D73" s="23"/>
      <c r="E73" s="23"/>
    </row>
    <row r="74" spans="1:5" ht="15" customHeight="1" x14ac:dyDescent="0.25">
      <c r="A74" s="23" t="str">
        <f>IF(מלאי!D82&lt;&gt;"",מלאי!D82,"")</f>
        <v>SRV Blanket 22</v>
      </c>
      <c r="B74" s="23" t="str">
        <f>IF(מלאי!D82&lt;&gt;"",מלאי!B82&amp;IF(מלאי!C82&lt;&gt;""," ("&amp;מלאי!C82&amp;")",""),"")</f>
        <v>Survival Blanket (V1)</v>
      </c>
      <c r="C74" s="23" t="str">
        <f>IFERROR(INDEX(הגדרות!$S$2:$S$50,MATCH(מלאי!B82,הגדרות!$R$2:$R$50,0)),"")</f>
        <v/>
      </c>
      <c r="D74" s="23"/>
      <c r="E74" s="23"/>
    </row>
    <row r="75" spans="1:5" ht="15" customHeight="1" x14ac:dyDescent="0.25">
      <c r="A75" s="23" t="e">
        <f>IF(מלאי!#REF!&lt;&gt;"",מלאי!#REF!,"")</f>
        <v>#REF!</v>
      </c>
      <c r="B75" s="23" t="e">
        <f>IF(מלאי!#REF!&lt;&gt;"",מלאי!#REF!&amp;IF(מלאי!#REF!&lt;&gt;""," ("&amp;מלאי!#REF!&amp;")",""),"")</f>
        <v>#REF!</v>
      </c>
      <c r="C75" s="23" t="str">
        <f>IFERROR(INDEX(הגדרות!$S$2:$S$50,MATCH(מלאי!#REF!,הגדרות!$R$2:$R$50,0)),"")</f>
        <v/>
      </c>
      <c r="D75" s="23"/>
      <c r="E75" s="23"/>
    </row>
    <row r="76" spans="1:5" ht="15" customHeight="1" x14ac:dyDescent="0.25">
      <c r="A76" s="23" t="str">
        <f>IF(מלאי!D83&lt;&gt;"",מלאי!D83,"")</f>
        <v>SRV Blanket 7</v>
      </c>
      <c r="B76" s="23" t="str">
        <f>IF(מלאי!D83&lt;&gt;"",מלאי!B83&amp;IF(מלאי!C83&lt;&gt;""," ("&amp;מלאי!C83&amp;")",""),"")</f>
        <v>Survival Blanket (V1)</v>
      </c>
      <c r="C76" s="23" t="str">
        <f>IFERROR(INDEX(הגדרות!$S$2:$S$50,MATCH(מלאי!B83,הגדרות!$R$2:$R$50,0)),"")</f>
        <v/>
      </c>
      <c r="D76" s="23"/>
      <c r="E76" s="23"/>
    </row>
    <row r="77" spans="1:5" ht="15" customHeight="1" x14ac:dyDescent="0.25">
      <c r="A77" s="23" t="str">
        <f>IF(מלאי!D84&lt;&gt;"",מלאי!D84,"")</f>
        <v>SRV Blanket 8</v>
      </c>
      <c r="B77" s="23" t="str">
        <f>IF(מלאי!D84&lt;&gt;"",מלאי!B84&amp;IF(מלאי!C84&lt;&gt;""," ("&amp;מלאי!C84&amp;")",""),"")</f>
        <v>Survival Blanket (V1)</v>
      </c>
      <c r="C77" s="23" t="str">
        <f>IFERROR(INDEX(הגדרות!$S$2:$S$50,MATCH(מלאי!B84,הגדרות!$R$2:$R$50,0)),"")</f>
        <v/>
      </c>
      <c r="D77" s="23"/>
      <c r="E77" s="23"/>
    </row>
    <row r="78" spans="1:5" ht="15" customHeight="1" x14ac:dyDescent="0.25">
      <c r="A78" s="23" t="str">
        <f>IF(מלאי!D85&lt;&gt;"",מלאי!D85,"")</f>
        <v xml:space="preserve">יריעת הישרדות מאכ 23 </v>
      </c>
      <c r="B78" s="23" t="str">
        <f>IF(מלאי!D85&lt;&gt;"",מלאי!B85&amp;IF(מלאי!C85&lt;&gt;""," ("&amp;מלאי!C85&amp;")",""),"")</f>
        <v>Survival Blanket (V1)</v>
      </c>
      <c r="C78" s="23" t="str">
        <f>IFERROR(INDEX(הגדרות!$S$2:$S$50,MATCH(מלאי!B85,הגדרות!$R$2:$R$50,0)),"")</f>
        <v/>
      </c>
      <c r="D78" s="23"/>
      <c r="E78" s="23"/>
    </row>
    <row r="79" spans="1:5" ht="15" customHeight="1" x14ac:dyDescent="0.25">
      <c r="A79" s="23" t="str">
        <f>IF(מלאי!D86&lt;&gt;"",מלאי!D86,"")</f>
        <v xml:space="preserve">פונצ'ו הישרדות משולב (רשת) </v>
      </c>
      <c r="B79" s="23" t="str">
        <f>IF(מלאי!D86&lt;&gt;"",מלאי!B86&amp;IF(מלאי!C86&lt;&gt;""," ("&amp;מלאי!C86&amp;")",""),"")</f>
        <v>Poncho SRV (V1)</v>
      </c>
      <c r="C79" s="23" t="str">
        <f>IFERROR(INDEX(הגדרות!$S$2:$S$50,MATCH(מלאי!B86,הגדרות!$R$2:$R$50,0)),"")</f>
        <v/>
      </c>
      <c r="D79" s="23"/>
      <c r="E79" s="23"/>
    </row>
    <row r="80" spans="1:5" ht="15" customHeight="1" x14ac:dyDescent="0.25">
      <c r="A80" s="23" t="str">
        <f>IF(מלאי!D87&lt;&gt;"",מלאי!D87,"")</f>
        <v xml:space="preserve">Gal VIS 2 </v>
      </c>
      <c r="B80" s="23" t="str">
        <f>IF(מלאי!D87&lt;&gt;"",מלאי!B87&amp;IF(מלאי!C87&lt;&gt;""," ("&amp;מלאי!C87&amp;")",""),"")</f>
        <v>Gal Suit (V1)</v>
      </c>
      <c r="C80" s="23" t="str">
        <f>IFERROR(INDEX(הגדרות!$S$2:$S$50,MATCH(מלאי!B87,הגדרות!$R$2:$R$50,0)),"")</f>
        <v/>
      </c>
      <c r="D80" s="23"/>
      <c r="E80" s="23"/>
    </row>
    <row r="81" spans="1:5" ht="15" customHeight="1" x14ac:dyDescent="0.25">
      <c r="A81" s="23" t="str">
        <f>IF(מלאי!D88&lt;&gt;"",מלאי!D88,"")</f>
        <v>Gal Double layers 1</v>
      </c>
      <c r="B81" s="23" t="str">
        <f>IF(מלאי!D88&lt;&gt;"",מלאי!B88&amp;IF(מלאי!C88&lt;&gt;""," ("&amp;מלאי!C88&amp;")",""),"")</f>
        <v>Gal Suit (V1)</v>
      </c>
      <c r="C81" s="23" t="str">
        <f>IFERROR(INDEX(הגדרות!$S$2:$S$50,MATCH(מלאי!B88,הגדרות!$R$2:$R$50,0)),"")</f>
        <v/>
      </c>
      <c r="D81" s="23"/>
      <c r="E81" s="23"/>
    </row>
    <row r="82" spans="1:5" ht="15" customHeight="1" x14ac:dyDescent="0.25">
      <c r="A82" s="23" t="str">
        <f>IF(מלאי!D89&lt;&gt;"",מלאי!D89,"")</f>
        <v>B1</v>
      </c>
      <c r="B82" s="23" t="str">
        <f>IF(מלאי!D89&lt;&gt;"",מלאי!B89&amp;IF(מלאי!C89&lt;&gt;""," ("&amp;מלאי!C89&amp;")",""),"")</f>
        <v>Poncho Sahar (V2)</v>
      </c>
      <c r="C82" s="23" t="str">
        <f>IFERROR(INDEX(הגדרות!$S$2:$S$50,MATCH(מלאי!B89,הגדרות!$R$2:$R$50,0)),"")</f>
        <v/>
      </c>
      <c r="D82" s="23"/>
      <c r="E82" s="23"/>
    </row>
    <row r="83" spans="1:5" ht="15" customHeight="1" x14ac:dyDescent="0.25">
      <c r="A83" s="23" t="str">
        <f>IF(מלאי!D90&lt;&gt;"",מלאי!D90,"")</f>
        <v>May Long 1</v>
      </c>
      <c r="B83" s="23" t="str">
        <f>IF(מלאי!D90&lt;&gt;"",מלאי!B90&amp;IF(מלאי!C90&lt;&gt;""," ("&amp;מלאי!C90&amp;")",""),"")</f>
        <v>May Long Shirt (ארוכה)</v>
      </c>
      <c r="C83" s="23" t="str">
        <f>IFERROR(INDEX(הגדרות!$S$2:$S$50,MATCH(מלאי!B90,הגדרות!$R$2:$R$50,0)),"")</f>
        <v/>
      </c>
      <c r="D83" s="23"/>
      <c r="E83" s="23"/>
    </row>
    <row r="84" spans="1:5" ht="15" customHeight="1" x14ac:dyDescent="0.25">
      <c r="A84" s="23" t="str">
        <f>IF(מלאי!D91&lt;&gt;"",מלאי!D91,"")</f>
        <v>overwatch 1</v>
      </c>
      <c r="B84" s="23" t="str">
        <f>IF(מלאי!D91&lt;&gt;"",מלאי!B91&amp;IF(מלאי!C91&lt;&gt;""," ("&amp;מלאי!C91&amp;")",""),"")</f>
        <v>OverWatch (ATGM) HS (V1)</v>
      </c>
      <c r="C84" s="23" t="str">
        <f>IFERROR(INDEX(הגדרות!$S$2:$S$50,MATCH(מלאי!B91,הגדרות!$R$2:$R$50,0)),"")</f>
        <v/>
      </c>
      <c r="D84" s="23"/>
      <c r="E84" s="23"/>
    </row>
    <row r="85" spans="1:5" ht="15" customHeight="1" x14ac:dyDescent="0.25">
      <c r="A85" s="23" t="str">
        <f>IF(מלאי!D92&lt;&gt;"",מלאי!D92,"")</f>
        <v>overwatch 2</v>
      </c>
      <c r="B85" s="23" t="str">
        <f>IF(מלאי!D92&lt;&gt;"",מלאי!B92&amp;IF(מלאי!C92&lt;&gt;""," ("&amp;מלאי!C92&amp;")",""),"")</f>
        <v>OverWatch (ATGM) HS (V1)</v>
      </c>
      <c r="C85" s="23" t="str">
        <f>IFERROR(INDEX(הגדרות!$S$2:$S$50,MATCH(מלאי!B92,הגדרות!$R$2:$R$50,0)),"")</f>
        <v/>
      </c>
      <c r="D85" s="23"/>
      <c r="E85" s="23"/>
    </row>
    <row r="86" spans="1:5" ht="15" customHeight="1" x14ac:dyDescent="0.25">
      <c r="A86" s="23" t="e">
        <f>IF(מלאי!#REF!&lt;&gt;"",מלאי!#REF!,"")</f>
        <v>#REF!</v>
      </c>
      <c r="B86" s="23" t="e">
        <f>IF(מלאי!#REF!&lt;&gt;"",מלאי!B93&amp;IF(מלאי!C93&lt;&gt;""," ("&amp;מלאי!C93&amp;")",""),"")</f>
        <v>#REF!</v>
      </c>
      <c r="C86" s="23" t="str">
        <f>IFERROR(INDEX(הגדרות!$S$2:$S$50,MATCH(מלאי!B93,הגדרות!$R$2:$R$50,0)),"")</f>
        <v/>
      </c>
      <c r="D86" s="23"/>
      <c r="E86" s="23"/>
    </row>
    <row r="87" spans="1:5" ht="15" customHeight="1" x14ac:dyDescent="0.25">
      <c r="A87" s="23" t="str">
        <f>IF(מלאי!D99&lt;&gt;"",מלאי!D99,"")</f>
        <v xml:space="preserve">Arctic Jacket Snirt 1 </v>
      </c>
      <c r="B87" s="23" t="str">
        <f>IF(מלאי!D99&lt;&gt;"",מלאי!B94&amp;IF(מלאי!C94&lt;&gt;""," ("&amp;מלאי!C94&amp;")",""),"")</f>
        <v>Arctic Poncho SRV (V1)</v>
      </c>
      <c r="C87" s="23" t="str">
        <f>IFERROR(INDEX(הגדרות!$S$2:$S$50,MATCH(מלאי!B94,הגדרות!$R$2:$R$50,0)),"")</f>
        <v/>
      </c>
      <c r="D87" s="23"/>
      <c r="E87" s="23"/>
    </row>
    <row r="88" spans="1:5" ht="15" customHeight="1" x14ac:dyDescent="0.25">
      <c r="A88" s="23" t="str">
        <f>IF(מלאי!D95&lt;&gt;"",מלאי!D95,"")</f>
        <v>Arctic poncho Fresh 1</v>
      </c>
      <c r="B88" s="23" t="str">
        <f>IF(מלאי!D95&lt;&gt;"",מלאי!B95&amp;IF(מלאי!C95&lt;&gt;""," ("&amp;מלאי!C95&amp;")",""),"")</f>
        <v>Arctic Poncho SRV (V1)</v>
      </c>
      <c r="C88" s="23" t="str">
        <f>IFERROR(INDEX(הגדרות!$S$2:$S$50,MATCH(מלאי!B95,הגדרות!$R$2:$R$50,0)),"")</f>
        <v/>
      </c>
      <c r="D88" s="23"/>
      <c r="E88" s="23"/>
    </row>
    <row r="89" spans="1:5" ht="15" customHeight="1" x14ac:dyDescent="0.25">
      <c r="A89" s="23" t="str">
        <f>IF(מלאי!D96&lt;&gt;"",מלאי!D96,"")</f>
        <v xml:space="preserve">Arctic Jacket Fresh 1 </v>
      </c>
      <c r="B89" s="23" t="str">
        <f>IF(מלאי!D96&lt;&gt;"",מלאי!B96&amp;IF(מלאי!C96&lt;&gt;""," ("&amp;מלאי!C96&amp;")",""),"")</f>
        <v>Arctic Jacket (V1)</v>
      </c>
      <c r="C89" s="23" t="str">
        <f>IFERROR(INDEX(הגדרות!$S$2:$S$50,MATCH(מלאי!B96,הגדרות!$R$2:$R$50,0)),"")</f>
        <v/>
      </c>
      <c r="D89" s="23"/>
      <c r="E89" s="23"/>
    </row>
    <row r="90" spans="1:5" ht="15" customHeight="1" x14ac:dyDescent="0.25">
      <c r="A90" s="23" t="str">
        <f>IF(מלאי!D98&lt;&gt;"",מלאי!D98,"")</f>
        <v xml:space="preserve">Arctic Suit Bot Fresh 1 </v>
      </c>
      <c r="B90" s="23" t="str">
        <f>IF(מלאי!D98&lt;&gt;"",מלאי!B98&amp;IF(מלאי!C98&lt;&gt;""," ("&amp;מלאי!C98&amp;")",""),"")</f>
        <v>Arctic Jacket (V1)</v>
      </c>
      <c r="C90" s="23" t="str">
        <f>IFERROR(INDEX(הגדרות!$S$2:$S$50,MATCH(מלאי!B98,הגדרות!$R$2:$R$50,0)),"")</f>
        <v/>
      </c>
      <c r="D90" s="23"/>
      <c r="E90" s="23"/>
    </row>
    <row r="91" spans="1:5" ht="15" customHeight="1" x14ac:dyDescent="0.25">
      <c r="A91" s="23" t="str">
        <f>IF(מלאי!D93&lt;&gt;"",מלאי!D93,"")</f>
        <v>Arctic poncho Snirt 1</v>
      </c>
      <c r="B91" s="23" t="str">
        <f>IF(מלאי!D93&lt;&gt;"",מלאי!B99&amp;IF(מלאי!C99&lt;&gt;""," ("&amp;מלאי!C99&amp;")",""),"")</f>
        <v>Arctic Jacket (V1)</v>
      </c>
      <c r="C91" s="23" t="str">
        <f>IFERROR(INDEX(הגדרות!$S$2:$S$50,MATCH(מלאי!B99,הגדרות!$R$2:$R$50,0)),"")</f>
        <v/>
      </c>
      <c r="D91" s="23"/>
      <c r="E91" s="23"/>
    </row>
    <row r="92" spans="1:5" ht="15" customHeight="1" x14ac:dyDescent="0.25">
      <c r="A92" s="23" t="str">
        <f>IF(מלאי!D100&lt;&gt;"",מלאי!D100,"")</f>
        <v>Arctic Jacket Snirt 2</v>
      </c>
      <c r="B92" s="23" t="str">
        <f>IF(מלאי!D100&lt;&gt;"",מלאי!B100&amp;IF(מלאי!C100&lt;&gt;""," ("&amp;מלאי!C100&amp;")",""),"")</f>
        <v>Arctic Jacket (V1)</v>
      </c>
      <c r="C92" s="23" t="str">
        <f>IFERROR(INDEX(הגדרות!$S$2:$S$50,MATCH(מלאי!B100,הגדרות!$R$2:$R$50,0)),"")</f>
        <v/>
      </c>
      <c r="D92" s="23"/>
      <c r="E92" s="23"/>
    </row>
    <row r="93" spans="1:5" ht="15" customHeight="1" x14ac:dyDescent="0.25">
      <c r="A93" s="23" t="str">
        <f>IF(מלאי!D101&lt;&gt;"",מלאי!D101,"")</f>
        <v xml:space="preserve">Arctic Pants Fresh 1 </v>
      </c>
      <c r="B93" s="23" t="str">
        <f>IF(מלאי!D101&lt;&gt;"",מלאי!B101&amp;IF(מלאי!C101&lt;&gt;""," ("&amp;מלאי!C101&amp;")",""),"")</f>
        <v>Arctic Overpants (V1)</v>
      </c>
      <c r="C93" s="23" t="str">
        <f>IFERROR(INDEX(הגדרות!$S$2:$S$50,MATCH(מלאי!B101,הגדרות!$R$2:$R$50,0)),"")</f>
        <v/>
      </c>
      <c r="D93" s="23"/>
      <c r="E93" s="23"/>
    </row>
    <row r="94" spans="1:5" ht="15" customHeight="1" x14ac:dyDescent="0.25">
      <c r="A94" s="23" t="str">
        <f>IF(מלאי!D102&lt;&gt;"",מלאי!D102,"")</f>
        <v xml:space="preserve">Arctic Pants Snirt 1 </v>
      </c>
      <c r="B94" s="23" t="str">
        <f>IF(מלאי!D102&lt;&gt;"",מלאי!B102&amp;IF(מלאי!C102&lt;&gt;""," ("&amp;מלאי!C102&amp;")",""),"")</f>
        <v>Arctic Overpants (V1)</v>
      </c>
      <c r="C94" s="23" t="str">
        <f>IFERROR(INDEX(הגדרות!$S$2:$S$50,MATCH(מלאי!B102,הגדרות!$R$2:$R$50,0)),"")</f>
        <v/>
      </c>
      <c r="D94" s="23"/>
      <c r="E94" s="23"/>
    </row>
    <row r="95" spans="1:5" ht="15" customHeight="1" x14ac:dyDescent="0.25">
      <c r="A95" s="23" t="str">
        <f>IF(מלאי!D103&lt;&gt;"",מלאי!D103,"")</f>
        <v>UNI 007</v>
      </c>
      <c r="B95" s="23" t="str">
        <f>IF(מלאי!D103&lt;&gt;"",מלאי!B103&amp;IF(מלאי!C103&lt;&gt;""," ("&amp;מלאי!C103&amp;")",""),"")</f>
        <v>Pants (Less is More)</v>
      </c>
      <c r="C95" s="23" t="str">
        <f>IFERROR(INDEX(הגדרות!$S$2:$S$50,MATCH(מלאי!B103,הגדרות!$R$2:$R$50,0)),"")</f>
        <v/>
      </c>
      <c r="D95" s="23"/>
      <c r="E95" s="23"/>
    </row>
    <row r="96" spans="1:5" ht="15" customHeight="1" x14ac:dyDescent="0.25">
      <c r="A96" s="23" t="str">
        <f>IF(מלאי!D104&lt;&gt;"",מלאי!D104,"")</f>
        <v>Gaiters Arc 1</v>
      </c>
      <c r="B96" s="23" t="str">
        <f>IF(מלאי!D104&lt;&gt;"",מלאי!B104&amp;IF(מלאי!C104&lt;&gt;""," ("&amp;מלאי!C104&amp;")",""),"")</f>
        <v>Gaiters (V1)</v>
      </c>
      <c r="C96" s="23" t="str">
        <f>IFERROR(INDEX(הגדרות!$S$2:$S$50,MATCH(מלאי!B104,הגדרות!$R$2:$R$50,0)),"")</f>
        <v/>
      </c>
      <c r="D96" s="23"/>
      <c r="E96" s="23"/>
    </row>
    <row r="97" spans="1:5" ht="15" customHeight="1" x14ac:dyDescent="0.25">
      <c r="A97" s="23" t="str">
        <f>IF(מלאי!D105&lt;&gt;"",מלאי!D105,"")</f>
        <v>SRV Blanket Arc 1</v>
      </c>
      <c r="B97" s="23" t="str">
        <f>IF(מלאי!D105&lt;&gt;"",מלאי!B105&amp;IF(מלאי!C105&lt;&gt;""," ("&amp;מלאי!C105&amp;")",""),"")</f>
        <v>Arctic Survival Blanket (V1)</v>
      </c>
      <c r="C97" s="23" t="str">
        <f>IFERROR(INDEX(הגדרות!$S$2:$S$50,MATCH(מלאי!B105,הגדרות!$R$2:$R$50,0)),"")</f>
        <v/>
      </c>
      <c r="D97" s="23"/>
      <c r="E97" s="23"/>
    </row>
    <row r="98" spans="1:5" ht="15" customHeight="1" x14ac:dyDescent="0.25">
      <c r="A98" s="23" t="str">
        <f>IF(מלאי!D106&lt;&gt;"",מלאי!D106,"")</f>
        <v>UNI 041</v>
      </c>
      <c r="B98" s="23" t="str">
        <f>IF(מלאי!D106&lt;&gt;"",מלאי!B106&amp;IF(מלאי!C106&lt;&gt;""," ("&amp;מלאי!C106&amp;")",""),"")</f>
        <v>Shirt (Maritime)</v>
      </c>
      <c r="C98" s="23" t="str">
        <f>IFERROR(INDEX(הגדרות!$S$2:$S$50,MATCH(מלאי!B106,הגדרות!$R$2:$R$50,0)),"")</f>
        <v/>
      </c>
      <c r="D98" s="23"/>
      <c r="E98" s="23"/>
    </row>
    <row r="99" spans="1:5" ht="15" customHeight="1" x14ac:dyDescent="0.25">
      <c r="A99" s="23" t="str">
        <f>IF(מלאי!D107&lt;&gt;"",מלאי!D107,"")</f>
        <v>Gaiters Arc 2</v>
      </c>
      <c r="B99" s="23" t="str">
        <f>IF(מלאי!D107&lt;&gt;"",מלאי!B107&amp;IF(מלאי!C107&lt;&gt;""," ("&amp;מלאי!C107&amp;")",""),"")</f>
        <v>Gaiters (V1)</v>
      </c>
      <c r="C99" s="23" t="str">
        <f>IFERROR(INDEX(הגדרות!$S$2:$S$50,MATCH(מלאי!B107,הגדרות!$R$2:$R$50,0)),"")</f>
        <v/>
      </c>
      <c r="D99" s="23"/>
      <c r="E99" s="23"/>
    </row>
    <row r="100" spans="1:5" ht="15" customHeight="1" x14ac:dyDescent="0.25">
      <c r="A100" s="23" t="str">
        <f>IF(מלאי!D108&lt;&gt;"",מלאי!D108,"")</f>
        <v>Arctic poncho Fresh 3</v>
      </c>
      <c r="B100" s="23" t="str">
        <f>IF(מלאי!D108&lt;&gt;"",מלאי!B108&amp;IF(מלאי!C108&lt;&gt;""," ("&amp;מלאי!C108&amp;")",""),"")</f>
        <v>Arctic Poncho SRV (V1)</v>
      </c>
      <c r="C100" s="23" t="str">
        <f>IFERROR(INDEX(הגדרות!$S$2:$S$50,MATCH(מלאי!B108,הגדרות!$R$2:$R$50,0)),"")</f>
        <v/>
      </c>
      <c r="D100" s="23"/>
      <c r="E100" s="23"/>
    </row>
    <row r="101" spans="1:5" ht="15" customHeight="1" x14ac:dyDescent="0.25">
      <c r="A101" s="23" t="str">
        <f>IF(מלאי!D109&lt;&gt;"",מלאי!D109,"")</f>
        <v>UNI 022</v>
      </c>
      <c r="B101" s="23" t="str">
        <f>IF(מלאי!D109&lt;&gt;"",מלאי!B109&amp;IF(מלאי!C109&lt;&gt;""," ("&amp;מלאי!C109&amp;")",""),"")</f>
        <v>Headcover (ELITE)</v>
      </c>
      <c r="C101" s="23" t="str">
        <f>IFERROR(INDEX(הגדרות!$S$2:$S$50,MATCH(מלאי!B109,הגדרות!$R$2:$R$50,0)),"")</f>
        <v/>
      </c>
      <c r="D101" s="23"/>
      <c r="E101" s="23"/>
    </row>
    <row r="102" spans="1:5" ht="15" customHeight="1" x14ac:dyDescent="0.25">
      <c r="A102" s="23" t="str">
        <f>IF(מלאי!D110&lt;&gt;"",מלאי!D110,"")</f>
        <v>Arctic Pants Fresh 2</v>
      </c>
      <c r="B102" s="23" t="str">
        <f>IF(מלאי!D110&lt;&gt;"",מלאי!B110&amp;IF(מלאי!C110&lt;&gt;""," ("&amp;מלאי!C110&amp;")",""),"")</f>
        <v>Arctic Overpants (V1)</v>
      </c>
      <c r="C102" s="23" t="str">
        <f>IFERROR(INDEX(הגדרות!$S$2:$S$50,MATCH(מלאי!B110,הגדרות!$R$2:$R$50,0)),"")</f>
        <v/>
      </c>
      <c r="D102" s="23"/>
      <c r="E102" s="23"/>
    </row>
    <row r="103" spans="1:5" ht="15" customHeight="1" x14ac:dyDescent="0.25">
      <c r="A103" s="23" t="str">
        <f>IF(מלאי!D111&lt;&gt;"",מלאי!D111,"")</f>
        <v>Arctic poncho Fresh 2</v>
      </c>
      <c r="B103" s="23" t="str">
        <f>IF(מלאי!D111&lt;&gt;"",מלאי!B111&amp;IF(מלאי!C111&lt;&gt;""," ("&amp;מלאי!C111&amp;")",""),"")</f>
        <v>Arctic Poncho SRV (V1)</v>
      </c>
      <c r="C103" s="23" t="str">
        <f>IFERROR(INDEX(הגדרות!$S$2:$S$50,MATCH(מלאי!B111,הגדרות!$R$2:$R$50,0)),"")</f>
        <v/>
      </c>
      <c r="D103" s="23"/>
      <c r="E103" s="23"/>
    </row>
    <row r="104" spans="1:5" ht="15" customHeight="1" x14ac:dyDescent="0.25">
      <c r="A104" s="23" t="str">
        <f>IF(מלאי!D112&lt;&gt;"",מלאי!D112,"")</f>
        <v>ARC Op HS 6</v>
      </c>
      <c r="B104" s="23" t="str">
        <f>IF(מלאי!D112&lt;&gt;"",מלאי!B112&amp;IF(מלאי!C112&lt;&gt;""," ("&amp;מלאי!C112&amp;")",""),"")</f>
        <v>Operators HS</v>
      </c>
      <c r="C104" s="23" t="str">
        <f>IFERROR(INDEX(הגדרות!$S$2:$S$50,MATCH(מלאי!B112,הגדרות!$R$2:$R$50,0)),"")</f>
        <v/>
      </c>
      <c r="D104" s="23"/>
      <c r="E104" s="23"/>
    </row>
    <row r="105" spans="1:5" ht="15" customHeight="1" x14ac:dyDescent="0.25">
      <c r="A105" s="23" t="str">
        <f>IF(מלאי!D113&lt;&gt;"",מלאי!D113,"")</f>
        <v>ARC Op HS 5</v>
      </c>
      <c r="B105" s="23" t="str">
        <f>IF(מלאי!D113&lt;&gt;"",מלאי!B113&amp;IF(מלאי!C113&lt;&gt;""," ("&amp;מלאי!C113&amp;")",""),"")</f>
        <v>Operators HS</v>
      </c>
      <c r="C105" s="23" t="str">
        <f>IFERROR(INDEX(הגדרות!$S$2:$S$50,MATCH(מלאי!B113,הגדרות!$R$2:$R$50,0)),"")</f>
        <v/>
      </c>
      <c r="D105" s="23"/>
      <c r="E105" s="23"/>
    </row>
    <row r="106" spans="1:5" ht="15" customHeight="1" x14ac:dyDescent="0.25">
      <c r="A106" s="23" t="str">
        <f>IF(מלאי!D114&lt;&gt;"",מלאי!D114,"")</f>
        <v>Floor 1</v>
      </c>
      <c r="B106" s="23" t="str">
        <f>IF(מלאי!D114&lt;&gt;"",מלאי!B114&amp;IF(מלאי!C114&lt;&gt;""," ("&amp;מלאי!C114&amp;")",""),"")</f>
        <v>HS Floor</v>
      </c>
      <c r="C106" s="23" t="str">
        <f>IFERROR(INDEX(הגדרות!$S$2:$S$50,MATCH(מלאי!B114,הגדרות!$R$2:$R$50,0)),"")</f>
        <v/>
      </c>
      <c r="D106" s="23"/>
      <c r="E106" s="23"/>
    </row>
    <row r="107" spans="1:5" ht="15" customHeight="1" x14ac:dyDescent="0.25">
      <c r="A107" s="23" t="str">
        <f>IF(מלאי!D115&lt;&gt;"",מלאי!D115,"")</f>
        <v>Floor 2</v>
      </c>
      <c r="B107" s="23" t="str">
        <f>IF(מלאי!D115&lt;&gt;"",מלאי!B115&amp;IF(מלאי!C115&lt;&gt;""," ("&amp;מלאי!C115&amp;")",""),"")</f>
        <v>HS Floor</v>
      </c>
      <c r="C107" s="23" t="str">
        <f>IFERROR(INDEX(הגדרות!$S$2:$S$50,MATCH(מלאי!B115,הגדרות!$R$2:$R$50,0)),"")</f>
        <v/>
      </c>
      <c r="D107" s="23"/>
      <c r="E107" s="23"/>
    </row>
    <row r="108" spans="1:5" ht="15" customHeight="1" x14ac:dyDescent="0.25">
      <c r="A108" s="23" t="str">
        <f>IF(מלאי!D116&lt;&gt;"",מלאי!D116,"")</f>
        <v>May Long 2</v>
      </c>
      <c r="B108" s="23" t="str">
        <f>IF(מלאי!D116&lt;&gt;"",מלאי!B116&amp;IF(מלאי!C116&lt;&gt;""," ("&amp;מלאי!C116&amp;")",""),"")</f>
        <v>May Long Shirt (ארוכה)</v>
      </c>
      <c r="C108" s="23" t="str">
        <f>IFERROR(INDEX(הגדרות!$S$2:$S$50,MATCH(מלאי!B116,הגדרות!$R$2:$R$50,0)),"")</f>
        <v/>
      </c>
      <c r="D108" s="23"/>
      <c r="E108" s="23"/>
    </row>
    <row r="109" spans="1:5" ht="15" customHeight="1" x14ac:dyDescent="0.25">
      <c r="A109" s="23" t="str">
        <f>IF(מלאי!D117&lt;&gt;"",מלאי!D117,"")</f>
        <v>Hobey Arc 4</v>
      </c>
      <c r="B109" s="23" t="str">
        <f>IF(מלאי!D117&lt;&gt;"",מלאי!B117&amp;IF(מלאי!C117&lt;&gt;""," ("&amp;מלאי!C117&amp;")",""),"")</f>
        <v>Hobey Elite (V1)</v>
      </c>
      <c r="C109" s="23" t="str">
        <f>IFERROR(INDEX(הגדרות!$S$2:$S$50,MATCH(מלאי!B117,הגדרות!$R$2:$R$50,0)),"")</f>
        <v/>
      </c>
      <c r="D109" s="23"/>
      <c r="E109" s="23"/>
    </row>
    <row r="110" spans="1:5" ht="15" customHeight="1" x14ac:dyDescent="0.25">
      <c r="A110" s="23" t="str">
        <f>IF(מלאי!D118&lt;&gt;"",מלאי!D118,"")</f>
        <v>Vehicle HS 1</v>
      </c>
      <c r="B110" s="23" t="str">
        <f>IF(מלאי!D118&lt;&gt;"",מלאי!B118&amp;IF(מלאי!C118&lt;&gt;""," ("&amp;מלאי!C118&amp;")",""),"")</f>
        <v/>
      </c>
      <c r="C110" s="23" t="str">
        <f>IFERROR(INDEX(הגדרות!$S$2:$S$50,MATCH(מלאי!B118,הגדרות!$R$2:$R$50,0)),"")</f>
        <v/>
      </c>
      <c r="D110" s="23"/>
      <c r="E110" s="23"/>
    </row>
    <row r="111" spans="1:5" ht="15" customHeight="1" x14ac:dyDescent="0.25">
      <c r="A111" s="23" t="e">
        <f>IF(מלאי!#REF!&lt;&gt;"",מלאי!#REF!,"")</f>
        <v>#REF!</v>
      </c>
      <c r="B111" s="23" t="e">
        <f>IF(מלאי!#REF!&lt;&gt;"",מלאי!#REF!&amp;IF(מלאי!#REF!&lt;&gt;""," ("&amp;מלאי!#REF!&amp;")",""),"")</f>
        <v>#REF!</v>
      </c>
      <c r="C111" s="23" t="str">
        <f>IFERROR(INDEX(הגדרות!$S$2:$S$50,MATCH(מלאי!#REF!,הגדרות!$R$2:$R$50,0)),"")</f>
        <v/>
      </c>
      <c r="D111" s="23"/>
      <c r="E111" s="23"/>
    </row>
    <row r="112" spans="1:5" ht="15" customHeight="1" x14ac:dyDescent="0.25">
      <c r="A112" s="23" t="e">
        <f>IF(מלאי!#REF!&lt;&gt;"",מלאי!#REF!,"")</f>
        <v>#REF!</v>
      </c>
      <c r="B112" s="23" t="e">
        <f>IF(מלאי!#REF!&lt;&gt;"",מלאי!#REF!&amp;IF(מלאי!#REF!&lt;&gt;""," ("&amp;מלאי!#REF!&amp;")",""),"")</f>
        <v>#REF!</v>
      </c>
      <c r="C112" s="23" t="str">
        <f>IFERROR(INDEX(הגדרות!$S$2:$S$50,MATCH(מלאי!#REF!,הגדרות!$R$2:$R$50,0)),"")</f>
        <v/>
      </c>
      <c r="D112" s="23"/>
      <c r="E112" s="23"/>
    </row>
    <row r="113" spans="1:5" ht="15" customHeight="1" x14ac:dyDescent="0.25">
      <c r="A113" s="23" t="e">
        <f>IF(מלאי!#REF!&lt;&gt;"",מלאי!#REF!,"")</f>
        <v>#REF!</v>
      </c>
      <c r="B113" s="23" t="e">
        <f>IF(מלאי!#REF!&lt;&gt;"",מלאי!#REF!&amp;IF(מלאי!#REF!&lt;&gt;""," ("&amp;מלאי!#REF!&amp;")",""),"")</f>
        <v>#REF!</v>
      </c>
      <c r="C113" s="23" t="str">
        <f>IFERROR(INDEX(הגדרות!$S$2:$S$50,MATCH(מלאי!#REF!,הגדרות!$R$2:$R$50,0)),"")</f>
        <v/>
      </c>
      <c r="D113" s="23"/>
      <c r="E113" s="23"/>
    </row>
    <row r="114" spans="1:5" ht="15" customHeight="1" x14ac:dyDescent="0.25">
      <c r="A114" s="23" t="e">
        <f>IF(מלאי!#REF!&lt;&gt;"",מלאי!#REF!,"")</f>
        <v>#REF!</v>
      </c>
      <c r="B114" s="23" t="e">
        <f>IF(מלאי!#REF!&lt;&gt;"",מלאי!#REF!&amp;IF(מלאי!#REF!&lt;&gt;""," ("&amp;מלאי!#REF!&amp;")",""),"")</f>
        <v>#REF!</v>
      </c>
      <c r="C114" s="23" t="str">
        <f>IFERROR(INDEX(הגדרות!$S$2:$S$50,MATCH(מלאי!#REF!,הגדרות!$R$2:$R$50,0)),"")</f>
        <v/>
      </c>
      <c r="D114" s="23"/>
      <c r="E114" s="23"/>
    </row>
    <row r="115" spans="1:5" ht="15" customHeight="1" x14ac:dyDescent="0.25">
      <c r="A115" s="23" t="str">
        <f>IF(מלאי!D119&lt;&gt;"",מלאי!D119,"")</f>
        <v>Vehicle HS 2</v>
      </c>
      <c r="B115" s="23" t="str">
        <f>IF(מלאי!D119&lt;&gt;"",מלאי!B119&amp;IF(מלאי!C119&lt;&gt;""," ("&amp;מלאי!C119&amp;")",""),"")</f>
        <v/>
      </c>
      <c r="C115" s="23" t="str">
        <f>IFERROR(INDEX(הגדרות!$S$2:$S$50,MATCH(מלאי!B119,הגדרות!$R$2:$R$50,0)),"")</f>
        <v/>
      </c>
      <c r="D115" s="23"/>
      <c r="E115" s="23"/>
    </row>
    <row r="116" spans="1:5" ht="15" customHeight="1" x14ac:dyDescent="0.25">
      <c r="A116" s="23" t="str">
        <f>IF(מלאי!D120&lt;&gt;"",מלאי!D120,"")</f>
        <v>Vehicle HS 3</v>
      </c>
      <c r="B116" s="23" t="str">
        <f>IF(מלאי!D120&lt;&gt;"",מלאי!B120&amp;IF(מלאי!C120&lt;&gt;""," ("&amp;מלאי!C120&amp;")",""),"")</f>
        <v/>
      </c>
      <c r="C116" s="23" t="str">
        <f>IFERROR(INDEX(הגדרות!$S$2:$S$50,MATCH(מלאי!B120,הגדרות!$R$2:$R$50,0)),"")</f>
        <v/>
      </c>
      <c r="D116" s="23"/>
      <c r="E116" s="23"/>
    </row>
    <row r="117" spans="1:5" ht="15" customHeight="1" x14ac:dyDescent="0.25">
      <c r="A117" s="23" t="str">
        <f>IF(מלאי!D121&lt;&gt;"",מלאי!D121,"")</f>
        <v>Vehicle HS 4</v>
      </c>
      <c r="B117" s="23" t="str">
        <f>IF(מלאי!D121&lt;&gt;"",מלאי!B121&amp;IF(מלאי!C121&lt;&gt;""," ("&amp;מלאי!C121&amp;")",""),"")</f>
        <v/>
      </c>
      <c r="C117" s="23" t="str">
        <f>IFERROR(INDEX(הגדרות!$S$2:$S$50,MATCH(מלאי!B121,הגדרות!$R$2:$R$50,0)),"")</f>
        <v/>
      </c>
      <c r="D117" s="23"/>
      <c r="E117" s="23"/>
    </row>
    <row r="118" spans="1:5" ht="15" customHeight="1" x14ac:dyDescent="0.25">
      <c r="A118" s="23" t="str">
        <f>IF(מלאי!D122&lt;&gt;"",מלאי!D122,"")</f>
        <v>Vehicle HS 5</v>
      </c>
      <c r="B118" s="23" t="str">
        <f>IF(מלאי!D122&lt;&gt;"",מלאי!B122&amp;IF(מלאי!C122&lt;&gt;""," ("&amp;מלאי!C122&amp;")",""),"")</f>
        <v/>
      </c>
      <c r="C118" s="23" t="str">
        <f>IFERROR(INDEX(הגדרות!$S$2:$S$50,MATCH(מלאי!B122,הגדרות!$R$2:$R$50,0)),"")</f>
        <v/>
      </c>
      <c r="D118" s="23"/>
      <c r="E118" s="23"/>
    </row>
    <row r="119" spans="1:5" ht="15" customHeight="1" x14ac:dyDescent="0.25">
      <c r="A119" s="23" t="str">
        <f>IF(מלאי!D123&lt;&gt;"",מלאי!D123,"")</f>
        <v>Vehicle HS 6</v>
      </c>
      <c r="B119" s="23" t="str">
        <f>IF(מלאי!D123&lt;&gt;"",מלאי!B123&amp;IF(מלאי!C123&lt;&gt;""," ("&amp;מלאי!C123&amp;")",""),"")</f>
        <v/>
      </c>
      <c r="C119" s="23" t="str">
        <f>IFERROR(INDEX(הגדרות!$S$2:$S$50,MATCH(מלאי!B123,הגדרות!$R$2:$R$50,0)),"")</f>
        <v/>
      </c>
      <c r="D119" s="23"/>
      <c r="E119" s="23"/>
    </row>
    <row r="120" spans="1:5" ht="15" customHeight="1" x14ac:dyDescent="0.25">
      <c r="A120" s="23" t="str">
        <f>IF(מלאי!D124&lt;&gt;"",מלאי!D124,"")</f>
        <v>Bagi HS 1</v>
      </c>
      <c r="B120" s="23" t="str">
        <f>IF(מלאי!D124&lt;&gt;"",מלאי!B124&amp;IF(מלאי!C124&lt;&gt;""," ("&amp;מלאי!C124&amp;")",""),"")</f>
        <v/>
      </c>
      <c r="C120" s="23" t="str">
        <f>IFERROR(INDEX(הגדרות!$S$2:$S$50,MATCH(מלאי!B124,הגדרות!$R$2:$R$50,0)),"")</f>
        <v/>
      </c>
      <c r="D120" s="23"/>
      <c r="E120" s="23"/>
    </row>
    <row r="121" spans="1:5" ht="15" customHeight="1" x14ac:dyDescent="0.25">
      <c r="A121" s="23" t="str">
        <f>IF(מלאי!D125&lt;&gt;"",מלאי!D125,"")</f>
        <v>Bagi HS 1</v>
      </c>
      <c r="B121" s="23" t="str">
        <f>IF(מלאי!D125&lt;&gt;"",מלאי!B125&amp;IF(מלאי!C125&lt;&gt;""," ("&amp;מלאי!C125&amp;")",""),"")</f>
        <v>LC79 (V1)</v>
      </c>
      <c r="C121" s="23" t="str">
        <f>IFERROR(INDEX(הגדרות!$S$2:$S$50,MATCH(מלאי!B125,הגדרות!$R$2:$R$50,0)),"")</f>
        <v/>
      </c>
      <c r="D121" s="23"/>
      <c r="E121" s="23"/>
    </row>
    <row r="122" spans="1:5" ht="15" customHeight="1" x14ac:dyDescent="0.25">
      <c r="A122" s="23" t="str">
        <f>IF(מלאי!D126&lt;&gt;"",מלאי!D126,"")</f>
        <v>A4</v>
      </c>
      <c r="B122" s="23" t="str">
        <f>IF(מלאי!D126&lt;&gt;"",מלאי!B126&amp;IF(מלאי!C126&lt;&gt;""," ("&amp;מלאי!C126&amp;")",""),"")</f>
        <v>Poncho Sahar (V1)</v>
      </c>
      <c r="C122" s="23" t="str">
        <f>IFERROR(INDEX(הגדרות!$S$2:$S$50,MATCH(מלאי!B126,הגדרות!$R$2:$R$50,0)),"")</f>
        <v/>
      </c>
      <c r="D122" s="23"/>
      <c r="E122" s="23"/>
    </row>
    <row r="123" spans="1:5" ht="15" customHeight="1" x14ac:dyDescent="0.25">
      <c r="A123" s="23" t="str">
        <f>IF(מלאי!D127&lt;&gt;"",מלאי!D127,"")</f>
        <v>Gal 1</v>
      </c>
      <c r="B123" s="23" t="str">
        <f>IF(מלאי!D127&lt;&gt;"",מלאי!B127&amp;IF(מלאי!C127&lt;&gt;""," ("&amp;מלאי!C127&amp;")",""),"")</f>
        <v>Gal Suit (V1)</v>
      </c>
      <c r="C123" s="23" t="str">
        <f>IFERROR(INDEX(הגדרות!$S$2:$S$50,MATCH(מלאי!B127,הגדרות!$R$2:$R$50,0)),"")</f>
        <v/>
      </c>
      <c r="D123" s="23"/>
      <c r="E123" s="23"/>
    </row>
    <row r="124" spans="1:5" ht="15" customHeight="1" x14ac:dyDescent="0.25">
      <c r="A124" s="23" t="str">
        <f>IF(מלאי!D128&lt;&gt;"",מלאי!D128,"")</f>
        <v>Inbar A7</v>
      </c>
      <c r="B124" s="23" t="str">
        <f>IF(מלאי!D128&lt;&gt;"",מלאי!B128&amp;IF(מלאי!C128&lt;&gt;""," ("&amp;מלאי!C128&amp;")",""),"")</f>
        <v>Poncho Inbar (V1)</v>
      </c>
      <c r="C124" s="23" t="str">
        <f>IFERROR(INDEX(הגדרות!$S$2:$S$50,MATCH(מלאי!B128,הגדרות!$R$2:$R$50,0)),"")</f>
        <v/>
      </c>
      <c r="D124" s="23"/>
      <c r="E124" s="23"/>
    </row>
    <row r="125" spans="1:5" ht="15" customHeight="1" x14ac:dyDescent="0.25">
      <c r="A125" s="23" t="str">
        <f>IF(מלאי!D129&lt;&gt;"",מלאי!D129,"")</f>
        <v/>
      </c>
      <c r="B125" s="23" t="str">
        <f>IF(מלאי!D129&lt;&gt;"",מלאי!B129&amp;IF(מלאי!C129&lt;&gt;""," ("&amp;מלאי!C129&amp;")",""),"")</f>
        <v/>
      </c>
      <c r="C125" s="23" t="str">
        <f>IFERROR(INDEX(הגדרות!$S$2:$S$50,MATCH(מלאי!B129,הגדרות!$R$2:$R$50,0)),"")</f>
        <v/>
      </c>
      <c r="D125" s="23"/>
      <c r="E125" s="23"/>
    </row>
    <row r="126" spans="1:5" ht="15" customHeight="1" x14ac:dyDescent="0.25">
      <c r="A126" s="23" t="str">
        <f>IF(מלאי!D130&lt;&gt;"",מלאי!D130,"")</f>
        <v/>
      </c>
      <c r="B126" s="23" t="str">
        <f>IF(מלאי!D130&lt;&gt;"",מלאי!B130&amp;IF(מלאי!C130&lt;&gt;""," ("&amp;מלאי!C130&amp;")",""),"")</f>
        <v/>
      </c>
      <c r="C126" s="23" t="str">
        <f>IFERROR(INDEX(הגדרות!$S$2:$S$50,MATCH(מלאי!B130,הגדרות!$R$2:$R$50,0)),"")</f>
        <v/>
      </c>
      <c r="D126" s="23"/>
      <c r="E126" s="23"/>
    </row>
    <row r="127" spans="1:5" ht="15" customHeight="1" x14ac:dyDescent="0.25">
      <c r="A127" s="23" t="str">
        <f>IF(מלאי!D131&lt;&gt;"",מלאי!D131,"")</f>
        <v>מאלט - לMRZR</v>
      </c>
      <c r="B127" s="23" t="str">
        <f>IF(מלאי!D131&lt;&gt;"",מלאי!B131&amp;IF(מלאי!C131&lt;&gt;""," ("&amp;מלאי!C131&amp;")",""),"")</f>
        <v>חלקים של עמדות</v>
      </c>
      <c r="C127" s="23" t="str">
        <f>IFERROR(INDEX(הגדרות!$S$2:$S$50,MATCH(מלאי!B131,הגדרות!$R$2:$R$50,0)),"")</f>
        <v/>
      </c>
      <c r="D127" s="23"/>
      <c r="E127" s="23"/>
    </row>
    <row r="128" spans="1:5" ht="15" customHeight="1" x14ac:dyDescent="0.25">
      <c r="A128" s="23" t="str">
        <f>IF(מלאי!D132&lt;&gt;"",מלאי!D132,"")</f>
        <v>גיל מחסן תחתון</v>
      </c>
      <c r="B128" s="23" t="str">
        <f>IF(מלאי!D132&lt;&gt;"",מלאי!B132&amp;IF(מלאי!C132&lt;&gt;""," ("&amp;מלאי!C132&amp;")",""),"")</f>
        <v>OverWatch (ATGM) HS (V1)</v>
      </c>
      <c r="C128" s="23" t="str">
        <f>IFERROR(INDEX(הגדרות!$S$2:$S$50,MATCH(מלאי!B132,הגדרות!$R$2:$R$50,0)),"")</f>
        <v/>
      </c>
      <c r="D128" s="23"/>
      <c r="E128" s="23"/>
    </row>
    <row r="129" spans="1:5" ht="15" customHeight="1" x14ac:dyDescent="0.25">
      <c r="A129" s="23" t="str">
        <f>IF(מלאי!D133&lt;&gt;"",מלאי!D133,"")</f>
        <v>גיל בטי מחסן תחתון</v>
      </c>
      <c r="B129" s="23" t="str">
        <f>IF(מלאי!D133&lt;&gt;"",מלאי!B133&amp;IF(מלאי!C133&lt;&gt;""," ("&amp;מלאי!C133&amp;")",""),"")</f>
        <v>OverWatch (ATGM) HS (V1)</v>
      </c>
      <c r="C129" s="23" t="str">
        <f>IFERROR(INDEX(הגדרות!$S$2:$S$50,MATCH(מלאי!B133,הגדרות!$R$2:$R$50,0)),"")</f>
        <v/>
      </c>
      <c r="D129" s="23"/>
      <c r="E129" s="23"/>
    </row>
    <row r="130" spans="1:5" ht="15" customHeight="1" x14ac:dyDescent="0.25">
      <c r="A130" s="23" t="str">
        <f>IF(מלאי!D134&lt;&gt;"",מלאי!D134,"")</f>
        <v>3.60 מחסן תחתון</v>
      </c>
      <c r="B130" s="23" t="str">
        <f>IF(מלאי!D134&lt;&gt;"",מלאי!B134&amp;IF(מלאי!C134&lt;&gt;""," ("&amp;מלאי!C134&amp;")",""),"")</f>
        <v>Operators HS (V1)</v>
      </c>
      <c r="C130" s="23" t="str">
        <f>IFERROR(INDEX(הגדרות!$S$2:$S$50,MATCH(מלאי!B134,הגדרות!$R$2:$R$50,0)),"")</f>
        <v/>
      </c>
      <c r="D130" s="23"/>
      <c r="E130" s="23"/>
    </row>
    <row r="131" spans="1:5" ht="15" customHeight="1" x14ac:dyDescent="0.25">
      <c r="A131" s="23" t="str">
        <f>IF(מלאי!D135&lt;&gt;"",מלאי!D135,"")</f>
        <v>LC - 1</v>
      </c>
      <c r="B131" s="23" t="str">
        <f>IF(מלאי!D135&lt;&gt;"",מלאי!B135&amp;IF(מלאי!C135&lt;&gt;""," ("&amp;מלאי!C135&amp;")",""),"")</f>
        <v>LC79 (V1)</v>
      </c>
      <c r="C131" s="23" t="str">
        <f>IFERROR(INDEX(הגדרות!$S$2:$S$50,MATCH(מלאי!B135,הגדרות!$R$2:$R$50,0)),"")</f>
        <v/>
      </c>
      <c r="D131" s="23"/>
      <c r="E131" s="23"/>
    </row>
    <row r="132" spans="1:5" ht="15" customHeight="1" x14ac:dyDescent="0.25">
      <c r="A132" s="23" t="str">
        <f>IF(מלאי!D136&lt;&gt;"",מלאי!D136,"")</f>
        <v>LC - 2</v>
      </c>
      <c r="B132" s="23" t="str">
        <f>IF(מלאי!D136&lt;&gt;"",מלאי!B136&amp;IF(מלאי!C136&lt;&gt;""," ("&amp;מלאי!C136&amp;")",""),"")</f>
        <v>LC79 (V1)</v>
      </c>
      <c r="C132" s="23" t="str">
        <f>IFERROR(INDEX(הגדרות!$S$2:$S$50,MATCH(מלאי!B136,הגדרות!$R$2:$R$50,0)),"")</f>
        <v/>
      </c>
      <c r="D132" s="23"/>
      <c r="E132" s="23"/>
    </row>
    <row r="133" spans="1:5" ht="15" customHeight="1" x14ac:dyDescent="0.25">
      <c r="A133" s="23" t="str">
        <f>IF(מלאי!D137&lt;&gt;"",מלאי!D137,"")</f>
        <v>רשת הצללה להדגמות</v>
      </c>
      <c r="B133" s="23" t="str">
        <f>IF(מלאי!D137&lt;&gt;"",מלאי!B137&amp;IF(מלאי!C137&lt;&gt;""," ("&amp;מלאי!C137&amp;")",""),"")</f>
        <v>רשת הצללה (V1)</v>
      </c>
      <c r="C133" s="23" t="str">
        <f>IFERROR(INDEX(הגדרות!$S$2:$S$50,MATCH(מלאי!B137,הגדרות!$R$2:$R$50,0)),"")</f>
        <v/>
      </c>
      <c r="D133" s="23"/>
      <c r="E133" s="23"/>
    </row>
    <row r="134" spans="1:5" ht="15" customHeight="1" x14ac:dyDescent="0.25">
      <c r="A134" s="23" t="str">
        <f>IF(מלאי!D138&lt;&gt;"",מלאי!D138,"")</f>
        <v>דוגמא GMV לא מטופל</v>
      </c>
      <c r="B134" s="23" t="str">
        <f>IF(מלאי!D138&lt;&gt;"",מלאי!B138&amp;IF(מלאי!C138&lt;&gt;""," ("&amp;מלאי!C138&amp;")",""),"")</f>
        <v>GMV</v>
      </c>
      <c r="C134" s="23" t="str">
        <f>IFERROR(INDEX(הגדרות!$S$2:$S$50,MATCH(מלאי!B138,הגדרות!$R$2:$R$50,0)),"")</f>
        <v/>
      </c>
      <c r="D134" s="23"/>
      <c r="E134" s="23"/>
    </row>
    <row r="135" spans="1:5" ht="15" customHeight="1" x14ac:dyDescent="0.25">
      <c r="A135" s="23" t="str">
        <f>IF(מלאי!D139&lt;&gt;"",מלאי!D139,"")</f>
        <v>רשת חומרי חוץ 9*9</v>
      </c>
      <c r="B135" s="23" t="str">
        <f>IF(מלאי!D139&lt;&gt;"",מלאי!B139&amp;IF(מלאי!C139&lt;&gt;""," ("&amp;מלאי!C139&amp;")",""),"")</f>
        <v>חלקים של עמדות</v>
      </c>
      <c r="C135" s="23" t="str">
        <f>IFERROR(INDEX(הגדרות!$S$2:$S$50,MATCH(מלאי!B139,הגדרות!$R$2:$R$50,0)),"")</f>
        <v/>
      </c>
      <c r="D135" s="23"/>
      <c r="E135" s="23"/>
    </row>
    <row r="136" spans="1:5" ht="15" customHeight="1" x14ac:dyDescent="0.25">
      <c r="A136" s="23" t="str">
        <f>IF(מלאי!D140&lt;&gt;"",מלאי!D140,"")</f>
        <v>רשת לא ידועה 1</v>
      </c>
      <c r="B136" s="23" t="str">
        <f>IF(מלאי!D140&lt;&gt;"",מלאי!B140&amp;IF(מלאי!C140&lt;&gt;""," ("&amp;מלאי!C140&amp;")",""),"")</f>
        <v/>
      </c>
      <c r="C136" s="23" t="str">
        <f>IFERROR(INDEX(הגדרות!$S$2:$S$50,MATCH(מלאי!B140,הגדרות!$R$2:$R$50,0)),"")</f>
        <v/>
      </c>
      <c r="D136" s="23"/>
      <c r="E136" s="23"/>
    </row>
    <row r="137" spans="1:5" ht="15" customHeight="1" x14ac:dyDescent="0.25">
      <c r="A137" s="23" t="str">
        <f>IF(מלאי!D141&lt;&gt;"",מלאי!D141,"")</f>
        <v>רשת לא ידועה 2</v>
      </c>
      <c r="B137" s="23" t="str">
        <f>IF(מלאי!D141&lt;&gt;"",מלאי!B141&amp;IF(מלאי!C141&lt;&gt;""," ("&amp;מלאי!C141&amp;")",""),"")</f>
        <v/>
      </c>
      <c r="C137" s="23" t="str">
        <f>IFERROR(INDEX(הגדרות!$S$2:$S$50,MATCH(מלאי!B141,הגדרות!$R$2:$R$50,0)),"")</f>
        <v/>
      </c>
      <c r="D137" s="23"/>
      <c r="E137" s="23"/>
    </row>
    <row r="138" spans="1:5" ht="15" customHeight="1" x14ac:dyDescent="0.25">
      <c r="A138" s="23" t="str">
        <f>IF(מלאי!D142&lt;&gt;"",מלאי!D142,"")</f>
        <v>רשת לא ידועה 3</v>
      </c>
      <c r="B138" s="23" t="str">
        <f>IF(מלאי!D142&lt;&gt;"",מלאי!B142&amp;IF(מלאי!C142&lt;&gt;""," ("&amp;מלאי!C142&amp;")",""),"")</f>
        <v/>
      </c>
      <c r="C138" s="23" t="str">
        <f>IFERROR(INDEX(הגדרות!$S$2:$S$50,MATCH(מלאי!B142,הגדרות!$R$2:$R$50,0)),"")</f>
        <v/>
      </c>
      <c r="D138" s="23"/>
      <c r="E138" s="23"/>
    </row>
    <row r="139" spans="1:5" ht="15" customHeight="1" x14ac:dyDescent="0.25">
      <c r="A139" s="23" t="str">
        <f>IF(מלאי!D143&lt;&gt;"",מלאי!D143,"")</f>
        <v>עמדת חוד 1</v>
      </c>
      <c r="B139" s="23" t="str">
        <f>IF(מלאי!D143&lt;&gt;"",מלאי!B143&amp;IF(מלאי!C143&lt;&gt;""," ("&amp;מלאי!C143&amp;")",""),"")</f>
        <v>עמדת חוד (V1)</v>
      </c>
      <c r="C139" s="23" t="str">
        <f>IFERROR(INDEX(הגדרות!$S$2:$S$50,MATCH(מלאי!B143,הגדרות!$R$2:$R$50,0)),"")</f>
        <v/>
      </c>
      <c r="D139" s="23"/>
      <c r="E139" s="23"/>
    </row>
    <row r="140" spans="1:5" ht="15" customHeight="1" x14ac:dyDescent="0.25">
      <c r="A140" s="23" t="str">
        <f>IF(מלאי!D144&lt;&gt;"",מלאי!D144,"")</f>
        <v>עמדת חוד 2</v>
      </c>
      <c r="B140" s="23" t="str">
        <f>IF(מלאי!D144&lt;&gt;"",מלאי!B144&amp;IF(מלאי!C144&lt;&gt;""," ("&amp;מלאי!C144&amp;")",""),"")</f>
        <v>עמדת חוד (V1)</v>
      </c>
      <c r="C140" s="23" t="str">
        <f>IFERROR(INDEX(הגדרות!$S$2:$S$50,MATCH(מלאי!B144,הגדרות!$R$2:$R$50,0)),"")</f>
        <v/>
      </c>
      <c r="D140" s="23"/>
      <c r="E140" s="23"/>
    </row>
    <row r="141" spans="1:5" ht="15" customHeight="1" x14ac:dyDescent="0.25">
      <c r="A141" s="23" t="str">
        <f>IF(מלאי!D145&lt;&gt;"",מלאי!D145,"")</f>
        <v/>
      </c>
      <c r="B141" s="23" t="str">
        <f>IF(מלאי!D145&lt;&gt;"",מלאי!B145&amp;IF(מלאי!C145&lt;&gt;""," ("&amp;מלאי!C145&amp;")",""),"")</f>
        <v/>
      </c>
      <c r="C141" s="23" t="str">
        <f>IFERROR(INDEX(הגדרות!$S$2:$S$50,MATCH(מלאי!B145,הגדרות!$R$2:$R$50,0)),"")</f>
        <v/>
      </c>
      <c r="D141" s="23"/>
      <c r="E141" s="23"/>
    </row>
    <row r="142" spans="1:5" ht="15" customHeight="1" x14ac:dyDescent="0.25">
      <c r="A142" s="23" t="str">
        <f>IF(מלאי!D146&lt;&gt;"",מלאי!D146,"")</f>
        <v/>
      </c>
      <c r="B142" s="23" t="str">
        <f>IF(מלאי!D146&lt;&gt;"",מלאי!B146&amp;IF(מלאי!C146&lt;&gt;""," ("&amp;מלאי!C146&amp;")",""),"")</f>
        <v/>
      </c>
      <c r="C142" s="23" t="str">
        <f>IFERROR(INDEX(הגדרות!$S$2:$S$50,MATCH(מלאי!B146,הגדרות!$R$2:$R$50,0)),"")</f>
        <v/>
      </c>
      <c r="D142" s="23"/>
      <c r="E142" s="23"/>
    </row>
    <row r="143" spans="1:5" ht="15" customHeight="1" x14ac:dyDescent="0.25">
      <c r="A143" s="23" t="str">
        <f>IF(מלאי!D147&lt;&gt;"",מלאי!D147,"")</f>
        <v/>
      </c>
      <c r="B143" s="23" t="str">
        <f>IF(מלאי!D147&lt;&gt;"",מלאי!B147&amp;IF(מלאי!C147&lt;&gt;""," ("&amp;מלאי!C147&amp;")",""),"")</f>
        <v/>
      </c>
      <c r="C143" s="23" t="str">
        <f>IFERROR(INDEX(הגדרות!$S$2:$S$50,MATCH(מלאי!B147,הגדרות!$R$2:$R$50,0)),"")</f>
        <v/>
      </c>
      <c r="D143" s="23"/>
      <c r="E143" s="23"/>
    </row>
    <row r="144" spans="1:5" ht="15" customHeight="1" x14ac:dyDescent="0.25">
      <c r="A144" s="23" t="str">
        <f>IF(מלאי!D148&lt;&gt;"",מלאי!D148,"")</f>
        <v/>
      </c>
      <c r="B144" s="23" t="str">
        <f>IF(מלאי!D148&lt;&gt;"",מלאי!B148&amp;IF(מלאי!C148&lt;&gt;""," ("&amp;מלאי!C148&amp;")",""),"")</f>
        <v/>
      </c>
      <c r="C144" s="23" t="str">
        <f>IFERROR(INDEX(הגדרות!$S$2:$S$50,MATCH(מלאי!B148,הגדרות!$R$2:$R$50,0)),"")</f>
        <v/>
      </c>
      <c r="D144" s="23"/>
      <c r="E144" s="23"/>
    </row>
    <row r="145" spans="1:5" ht="15" customHeight="1" x14ac:dyDescent="0.25">
      <c r="A145" s="23" t="str">
        <f>IF(מלאי!D149&lt;&gt;"",מלאי!D149,"")</f>
        <v>מחסן עליון גיל 1</v>
      </c>
      <c r="B145" s="23" t="str">
        <f>IF(מלאי!D149&lt;&gt;"",מלאי!B149&amp;IF(מלאי!C149&lt;&gt;""," ("&amp;מלאי!C149&amp;")",""),"")</f>
        <v>OverWatch (ATGM) HS</v>
      </c>
      <c r="C145" s="23" t="str">
        <f>IFERROR(INDEX(הגדרות!$S$2:$S$50,MATCH(מלאי!B149,הגדרות!$R$2:$R$50,0)),"")</f>
        <v/>
      </c>
      <c r="D145" s="23"/>
      <c r="E145" s="23"/>
    </row>
    <row r="146" spans="1:5" ht="15" customHeight="1" x14ac:dyDescent="0.25">
      <c r="A146" s="23" t="str">
        <f>IF(מלאי!D150&lt;&gt;"",מלאי!D150,"")</f>
        <v>מחסן עליון באגי 1</v>
      </c>
      <c r="B146" s="23" t="str">
        <f>IF(מלאי!D150&lt;&gt;"",מלאי!B150&amp;IF(מלאי!C150&lt;&gt;""," ("&amp;מלאי!C150&amp;")",""),"")</f>
        <v xml:space="preserve"> (bagi)</v>
      </c>
      <c r="C146" s="23" t="str">
        <f>IFERROR(INDEX(הגדרות!$S$2:$S$50,MATCH(מלאי!B150,הגדרות!$R$2:$R$50,0)),"")</f>
        <v/>
      </c>
      <c r="D146" s="23"/>
      <c r="E146" s="23"/>
    </row>
    <row r="147" spans="1:5" ht="15" customHeight="1" x14ac:dyDescent="0.25">
      <c r="A147" s="23" t="e">
        <f>IF(מלאי!#REF!&lt;&gt;"",מלאי!#REF!,"")</f>
        <v>#REF!</v>
      </c>
      <c r="B147" s="23" t="e">
        <f>IF(מלאי!#REF!&lt;&gt;"",מלאי!#REF!&amp;IF(מלאי!#REF!&lt;&gt;""," ("&amp;מלאי!#REF!&amp;")",""),"")</f>
        <v>#REF!</v>
      </c>
      <c r="C147" s="23" t="str">
        <f>IFERROR(INDEX(הגדרות!$S$2:$S$50,MATCH(מלאי!#REF!,הגדרות!$R$2:$R$50,0)),"")</f>
        <v/>
      </c>
      <c r="D147" s="23"/>
      <c r="E147" s="23"/>
    </row>
    <row r="148" spans="1:5" ht="15" customHeight="1" x14ac:dyDescent="0.25">
      <c r="A148" s="23" t="str">
        <f>IF(מלאי!D151&lt;&gt;"",מלאי!D151,"")</f>
        <v xml:space="preserve">ARC Op HS sampels Snirt </v>
      </c>
      <c r="B148" s="23" t="str">
        <f>IF(מלאי!D151&lt;&gt;"",מלאי!B151&amp;IF(מלאי!C151&lt;&gt;""," ("&amp;מלאי!C151&amp;")",""),"")</f>
        <v>Operators HS (V1)</v>
      </c>
      <c r="C148" s="23" t="str">
        <f>IFERROR(INDEX(הגדרות!$S$2:$S$50,MATCH(מלאי!B151,הגדרות!$R$2:$R$50,0)),"")</f>
        <v/>
      </c>
      <c r="D148" s="23"/>
      <c r="E148" s="23"/>
    </row>
    <row r="149" spans="1:5" ht="15" customHeight="1" x14ac:dyDescent="0.25">
      <c r="A149" s="23" t="str">
        <f>IF(מלאי!D152&lt;&gt;"",מלאי!D152,"")</f>
        <v>Arctic Jacket sampels Snirt</v>
      </c>
      <c r="B149" s="23" t="str">
        <f>IF(מלאי!D152&lt;&gt;"",מלאי!B152&amp;IF(מלאי!C152&lt;&gt;""," ("&amp;מלאי!C152&amp;")",""),"")</f>
        <v>Arctic Jacket (V1)</v>
      </c>
      <c r="C149" s="23" t="str">
        <f>IFERROR(INDEX(הגדרות!$S$2:$S$50,MATCH(מלאי!B152,הגדרות!$R$2:$R$50,0)),"")</f>
        <v/>
      </c>
      <c r="D149" s="23"/>
      <c r="E149" s="23"/>
    </row>
    <row r="150" spans="1:5" ht="15" customHeight="1" x14ac:dyDescent="0.25">
      <c r="A150" s="23" t="str">
        <f>IF(מלאי!D153&lt;&gt;"",מלאי!D153,"")</f>
        <v>Arctic Pants sampels Snirt</v>
      </c>
      <c r="B150" s="23" t="str">
        <f>IF(מלאי!D153&lt;&gt;"",מלאי!B153&amp;IF(מלאי!C153&lt;&gt;""," ("&amp;מלאי!C153&amp;")",""),"")</f>
        <v>Arctic Overpants (V1)</v>
      </c>
      <c r="C150" s="23" t="str">
        <f>IFERROR(INDEX(הגדרות!$S$2:$S$50,MATCH(מלאי!B153,הגדרות!$R$2:$R$50,0)),"")</f>
        <v/>
      </c>
      <c r="D150" s="23"/>
      <c r="E150" s="23"/>
    </row>
    <row r="151" spans="1:5" ht="15" customHeight="1" x14ac:dyDescent="0.25">
      <c r="A151" s="23" t="str">
        <f>IF(מלאי!D154&lt;&gt;"",מלאי!D154,"")</f>
        <v>Arctic poncho sampels Snirt</v>
      </c>
      <c r="B151" s="23" t="str">
        <f>IF(מלאי!D154&lt;&gt;"",מלאי!B154&amp;IF(מלאי!C154&lt;&gt;""," ("&amp;מלאי!C154&amp;")",""),"")</f>
        <v>Arctic Poncho SRV (V1)</v>
      </c>
      <c r="C151" s="23" t="str">
        <f>IFERROR(INDEX(הגדרות!$S$2:$S$50,MATCH(מלאי!B154,הגדרות!$R$2:$R$50,0)),"")</f>
        <v/>
      </c>
      <c r="D151" s="23"/>
      <c r="E151" s="23"/>
    </row>
    <row r="152" spans="1:5" ht="15" customHeight="1" x14ac:dyDescent="0.25">
      <c r="A152" s="23" t="str">
        <f>IF(מלאי!D155&lt;&gt;"",מלאי!D155,"")</f>
        <v>Gaiters Arc sampels Snirt</v>
      </c>
      <c r="B152" s="23" t="str">
        <f>IF(מלאי!D155&lt;&gt;"",מלאי!B155&amp;IF(מלאי!C155&lt;&gt;""," ("&amp;מלאי!C155&amp;")",""),"")</f>
        <v>Gaiters (V1)</v>
      </c>
      <c r="C152" s="23" t="str">
        <f>IFERROR(INDEX(הגדרות!$S$2:$S$50,MATCH(מלאי!B155,הגדרות!$R$2:$R$50,0)),"")</f>
        <v/>
      </c>
      <c r="D152" s="23"/>
      <c r="E152" s="23"/>
    </row>
    <row r="153" spans="1:5" ht="15" customHeight="1" x14ac:dyDescent="0.25">
      <c r="A153" s="23" t="str">
        <f>IF(מלאי!D156&lt;&gt;"",מלאי!D156,"")</f>
        <v xml:space="preserve">ARC Op HS sampels Fresh </v>
      </c>
      <c r="B153" s="23" t="str">
        <f>IF(מלאי!D156&lt;&gt;"",מלאי!B156&amp;IF(מלאי!C156&lt;&gt;""," ("&amp;מלאי!C156&amp;")",""),"")</f>
        <v>Operators HS (V1)</v>
      </c>
      <c r="C153" s="23" t="str">
        <f>IFERROR(INDEX(הגדרות!$S$2:$S$50,MATCH(מלאי!B156,הגדרות!$R$2:$R$50,0)),"")</f>
        <v/>
      </c>
      <c r="D153" s="23"/>
      <c r="E153" s="23"/>
    </row>
    <row r="154" spans="1:5" ht="15" customHeight="1" x14ac:dyDescent="0.25">
      <c r="A154" s="23" t="str">
        <f>IF(מלאי!D157&lt;&gt;"",מלאי!D157,"")</f>
        <v>Arctic Jacket sampels Fresh</v>
      </c>
      <c r="B154" s="23" t="str">
        <f>IF(מלאי!D157&lt;&gt;"",מלאי!B157&amp;IF(מלאי!C157&lt;&gt;""," ("&amp;מלאי!C157&amp;")",""),"")</f>
        <v>Arctic Jacket (V1)</v>
      </c>
      <c r="C154" s="23" t="str">
        <f>IFERROR(INDEX(הגדרות!$S$2:$S$50,MATCH(מלאי!B157,הגדרות!$R$2:$R$50,0)),"")</f>
        <v/>
      </c>
      <c r="D154" s="23"/>
      <c r="E154" s="23"/>
    </row>
    <row r="155" spans="1:5" ht="15" customHeight="1" x14ac:dyDescent="0.25">
      <c r="A155" s="23" t="str">
        <f>IF(מלאי!D158&lt;&gt;"",מלאי!D158,"")</f>
        <v>Arctic Pants sampels Fresh</v>
      </c>
      <c r="B155" s="23" t="str">
        <f>IF(מלאי!D158&lt;&gt;"",מלאי!B158&amp;IF(מלאי!C158&lt;&gt;""," ("&amp;מלאי!C158&amp;")",""),"")</f>
        <v>Arctic Overpants (V1)</v>
      </c>
      <c r="C155" s="23" t="str">
        <f>IFERROR(INDEX(הגדרות!$S$2:$S$50,MATCH(מלאי!B158,הגדרות!$R$2:$R$50,0)),"")</f>
        <v/>
      </c>
      <c r="D155" s="23"/>
      <c r="E155" s="23"/>
    </row>
    <row r="156" spans="1:5" ht="15" customHeight="1" x14ac:dyDescent="0.25">
      <c r="A156" s="23" t="str">
        <f>IF(מלאי!D159&lt;&gt;"",מלאי!D159,"")</f>
        <v>Arctic poncho sampels Fresh</v>
      </c>
      <c r="B156" s="23" t="str">
        <f>IF(מלאי!D159&lt;&gt;"",מלאי!B159&amp;IF(מלאי!C159&lt;&gt;""," ("&amp;מלאי!C159&amp;")",""),"")</f>
        <v>Arctic Poncho SRV (V1)</v>
      </c>
      <c r="C156" s="23" t="str">
        <f>IFERROR(INDEX(הגדרות!$S$2:$S$50,MATCH(מלאי!B159,הגדרות!$R$2:$R$50,0)),"")</f>
        <v/>
      </c>
      <c r="D156" s="23"/>
      <c r="E156" s="23"/>
    </row>
    <row r="157" spans="1:5" ht="15" customHeight="1" x14ac:dyDescent="0.25">
      <c r="A157" s="23" t="str">
        <f>IF(מלאי!D160&lt;&gt;"",מלאי!D160,"")</f>
        <v>Gaiters Arc sampels Fresh</v>
      </c>
      <c r="B157" s="23" t="str">
        <f>IF(מלאי!D160&lt;&gt;"",מלאי!B160&amp;IF(מלאי!C160&lt;&gt;""," ("&amp;מלאי!C160&amp;")",""),"")</f>
        <v>Gaiters (V1)</v>
      </c>
      <c r="C157" s="23" t="str">
        <f>IFERROR(INDEX(הגדרות!$S$2:$S$50,MATCH(מלאי!B160,הגדרות!$R$2:$R$50,0)),"")</f>
        <v/>
      </c>
      <c r="D157" s="23"/>
      <c r="E157" s="23"/>
    </row>
    <row r="158" spans="1:5" ht="15" customHeight="1" x14ac:dyDescent="0.25">
      <c r="A158" s="23" t="str">
        <f>IF(מלאי!D161&lt;&gt;"",מלאי!D161,"")</f>
        <v>UNI 008</v>
      </c>
      <c r="B158" s="23" t="str">
        <f>IF(מלאי!D161&lt;&gt;"",מלאי!B161&amp;IF(מלאי!C161&lt;&gt;""," ("&amp;מלאי!C161&amp;")",""),"")</f>
        <v>Shirt (אדם, דגם-2)</v>
      </c>
      <c r="C158" s="23" t="str">
        <f>IFERROR(INDEX(הגדרות!$S$2:$S$50,MATCH(מלאי!B161,הגדרות!$R$2:$R$50,0)),"")</f>
        <v/>
      </c>
      <c r="D158" s="23"/>
      <c r="E158" s="23"/>
    </row>
    <row r="159" spans="1:5" ht="15" customHeight="1" x14ac:dyDescent="0.25">
      <c r="A159" s="23" t="str">
        <f>IF(מלאי!D162&lt;&gt;"",מלאי!D162,"")</f>
        <v>UNI 005</v>
      </c>
      <c r="B159" s="23" t="str">
        <f>IF(מלאי!D162&lt;&gt;"",מלאי!B162&amp;IF(מלאי!C162&lt;&gt;""," ("&amp;מלאי!C162&amp;")",""),"")</f>
        <v>Pants</v>
      </c>
      <c r="C159" s="23" t="str">
        <f>IFERROR(INDEX(הגדרות!$S$2:$S$50,MATCH(מלאי!B162,הגדרות!$R$2:$R$50,0)),"")</f>
        <v/>
      </c>
      <c r="D159" s="23"/>
      <c r="E159" s="23"/>
    </row>
    <row r="160" spans="1:5" ht="15" customHeight="1" x14ac:dyDescent="0.25">
      <c r="A160" s="23" t="str">
        <f>IF(מלאי!D163&lt;&gt;"",מלאי!D163,"")</f>
        <v>UNI 006</v>
      </c>
      <c r="B160" s="23" t="str">
        <f>IF(מלאי!D163&lt;&gt;"",מלאי!B163&amp;IF(מלאי!C163&lt;&gt;""," ("&amp;מלאי!C163&amp;")",""),"")</f>
        <v>Pants (Maritime)</v>
      </c>
      <c r="C160" s="23" t="str">
        <f>IFERROR(INDEX(הגדרות!$S$2:$S$50,MATCH(מלאי!B163,הגדרות!$R$2:$R$50,0)),"")</f>
        <v/>
      </c>
      <c r="D160" s="23"/>
      <c r="E160" s="23"/>
    </row>
    <row r="161" spans="1:5" ht="15" customHeight="1" x14ac:dyDescent="0.25">
      <c r="A161" s="23" t="str">
        <f>IF(מלאי!D164&lt;&gt;"",מלאי!D164,"")</f>
        <v>UNI 036</v>
      </c>
      <c r="B161" s="23" t="str">
        <f>IF(מלאי!D164&lt;&gt;"",מלאי!B164&amp;IF(מלאי!C164&lt;&gt;""," ("&amp;מלאי!C164&amp;")",""),"")</f>
        <v>Pants (Maritime)</v>
      </c>
      <c r="C161" s="23" t="str">
        <f>IFERROR(INDEX(הגדרות!$S$2:$S$50,MATCH(מלאי!B164,הגדרות!$R$2:$R$50,0)),"")</f>
        <v/>
      </c>
      <c r="D161" s="23"/>
      <c r="E161" s="23"/>
    </row>
    <row r="162" spans="1:5" ht="15" customHeight="1" x14ac:dyDescent="0.25">
      <c r="A162" s="23" t="str">
        <f>IF(מלאי!D165&lt;&gt;"",מלאי!D165,"")</f>
        <v>חולצה מלאי 1</v>
      </c>
      <c r="B162" s="23" t="str">
        <f>IF(מלאי!D165&lt;&gt;"",מלאי!B165&amp;IF(מלאי!C165&lt;&gt;""," ("&amp;מלאי!C165&amp;")",""),"")</f>
        <v>Shirt (Maritime)</v>
      </c>
      <c r="C162" s="23" t="str">
        <f>IFERROR(INDEX(הגדרות!$S$2:$S$50,MATCH(מלאי!B165,הגדרות!$R$2:$R$50,0)),"")</f>
        <v/>
      </c>
      <c r="D162" s="23"/>
      <c r="E162" s="23"/>
    </row>
    <row r="163" spans="1:5" ht="15" customHeight="1" x14ac:dyDescent="0.25">
      <c r="A163" s="23" t="str">
        <f>IF(מלאי!D166&lt;&gt;"",מלאי!D166,"")</f>
        <v>קסדה מרון 1</v>
      </c>
      <c r="B163" s="23" t="str">
        <f>IF(מלאי!D166&lt;&gt;"",מלאי!B166&amp;IF(מלאי!C166&lt;&gt;""," ("&amp;מלאי!C166&amp;")",""),"")</f>
        <v>Headcover</v>
      </c>
      <c r="C163" s="23" t="str">
        <f>IFERROR(INDEX(הגדרות!$S$2:$S$50,MATCH(מלאי!B166,הגדרות!$R$2:$R$50,0)),"")</f>
        <v/>
      </c>
      <c r="D163" s="23"/>
      <c r="E163" s="23"/>
    </row>
    <row r="164" spans="1:5" ht="15" customHeight="1" x14ac:dyDescent="0.25">
      <c r="A164" s="23" t="str">
        <f>IF(מלאי!D167&lt;&gt;"",מלאי!D167,"")</f>
        <v>IRR מדגים</v>
      </c>
      <c r="B164" s="23" t="str">
        <f>IF(מלאי!D167&lt;&gt;"",מלאי!B167&amp;IF(מלאי!C167&lt;&gt;""," ("&amp;מלאי!C167&amp;")",""),"")</f>
        <v>יריעת החשכה</v>
      </c>
      <c r="C164" s="23" t="str">
        <f>IFERROR(INDEX(הגדרות!$S$2:$S$50,MATCH(מלאי!B167,הגדרות!$R$2:$R$50,0)),"")</f>
        <v/>
      </c>
      <c r="D164" s="23"/>
      <c r="E164" s="23"/>
    </row>
    <row r="165" spans="1:5" ht="15" customHeight="1" x14ac:dyDescent="0.25">
      <c r="A165" s="23" t="str">
        <f>IF(מלאי!D168&lt;&gt;"",מלאי!D168,"")</f>
        <v>בלקלבה מלאי 01</v>
      </c>
      <c r="B165" s="23" t="str">
        <f>IF(מלאי!D168&lt;&gt;"",מלאי!B168&amp;IF(מלאי!C168&lt;&gt;""," ("&amp;מלאי!C168&amp;")",""),"")</f>
        <v>Balaclava</v>
      </c>
      <c r="C165" s="23" t="str">
        <f>IFERROR(INDEX(הגדרות!$S$2:$S$50,MATCH(מלאי!B168,הגדרות!$R$2:$R$50,0)),"")</f>
        <v/>
      </c>
      <c r="D165" s="23"/>
      <c r="E165" s="23"/>
    </row>
    <row r="166" spans="1:5" ht="15" customHeight="1" x14ac:dyDescent="0.25">
      <c r="A166" s="23" t="str">
        <f>IF(מלאי!D169&lt;&gt;"",מלאי!D169,"")</f>
        <v/>
      </c>
      <c r="B166" s="23" t="str">
        <f>IF(מלאי!D169&lt;&gt;"",מלאי!B169&amp;IF(מלאי!C169&lt;&gt;""," ("&amp;מלאי!C169&amp;")",""),"")</f>
        <v/>
      </c>
      <c r="C166" s="23" t="str">
        <f>IFERROR(INDEX(הגדרות!$S$2:$S$50,MATCH(מלאי!B169,הגדרות!$R$2:$R$50,0)),"")</f>
        <v/>
      </c>
      <c r="D166" s="23"/>
      <c r="E166" s="23"/>
    </row>
    <row r="167" spans="1:5" ht="15" customHeight="1" x14ac:dyDescent="0.25">
      <c r="A167" s="23" t="str">
        <f>IF(מלאי!D170&lt;&gt;"",מלאי!D170,"")</f>
        <v/>
      </c>
      <c r="B167" s="23" t="str">
        <f>IF(מלאי!D170&lt;&gt;"",מלאי!B170&amp;IF(מלאי!C170&lt;&gt;""," ("&amp;מלאי!C170&amp;")",""),"")</f>
        <v/>
      </c>
      <c r="C167" s="23" t="str">
        <f>IFERROR(INDEX(הגדרות!$S$2:$S$50,MATCH(מלאי!B170,הגדרות!$R$2:$R$50,0)),"")</f>
        <v/>
      </c>
      <c r="D167" s="23"/>
      <c r="E167" s="23"/>
    </row>
    <row r="168" spans="1:5" ht="15" customHeight="1" x14ac:dyDescent="0.25">
      <c r="A168" s="23" t="str">
        <f>IF(מלאי!D171&lt;&gt;"",מלאי!D171,"")</f>
        <v/>
      </c>
      <c r="B168" s="23" t="str">
        <f>IF(מלאי!D171&lt;&gt;"",מלאי!B171&amp;IF(מלאי!C171&lt;&gt;""," ("&amp;מלאי!C171&amp;")",""),"")</f>
        <v/>
      </c>
      <c r="C168" s="23" t="str">
        <f>IFERROR(INDEX(הגדרות!$S$2:$S$50,MATCH(מלאי!B171,הגדרות!$R$2:$R$50,0)),"")</f>
        <v/>
      </c>
      <c r="D168" s="23"/>
      <c r="E168" s="23"/>
    </row>
    <row r="169" spans="1:5" ht="15" customHeight="1" x14ac:dyDescent="0.25">
      <c r="A169" s="23" t="str">
        <f>IF(מלאי!D172&lt;&gt;"",מלאי!D172,"")</f>
        <v/>
      </c>
      <c r="B169" s="23" t="str">
        <f>IF(מלאי!D172&lt;&gt;"",מלאי!B172&amp;IF(מלאי!C172&lt;&gt;""," ("&amp;מלאי!C172&amp;")",""),"")</f>
        <v/>
      </c>
      <c r="C169" s="23" t="str">
        <f>IFERROR(INDEX(הגדרות!$S$2:$S$50,MATCH(מלאי!B172,הגדרות!$R$2:$R$50,0)),"")</f>
        <v/>
      </c>
      <c r="D169" s="23"/>
      <c r="E169" s="23"/>
    </row>
    <row r="170" spans="1:5" ht="15" customHeight="1" x14ac:dyDescent="0.25">
      <c r="A170" s="23" t="str">
        <f>IF(מלאי!D173&lt;&gt;"",מלאי!D173,"")</f>
        <v/>
      </c>
      <c r="B170" s="23" t="str">
        <f>IF(מלאי!D173&lt;&gt;"",מלאי!B173&amp;IF(מלאי!C173&lt;&gt;""," ("&amp;מלאי!C173&amp;")",""),"")</f>
        <v/>
      </c>
      <c r="C170" s="23" t="str">
        <f>IFERROR(INDEX(הגדרות!$S$2:$S$50,MATCH(מלאי!B173,הגדרות!$R$2:$R$50,0)),"")</f>
        <v/>
      </c>
      <c r="D170" s="23"/>
      <c r="E170" s="23"/>
    </row>
    <row r="171" spans="1:5" ht="15" customHeight="1" x14ac:dyDescent="0.25">
      <c r="A171" s="23" t="str">
        <f>IF(מלאי!D174&lt;&gt;"",מלאי!D174,"")</f>
        <v/>
      </c>
      <c r="B171" s="23" t="str">
        <f>IF(מלאי!D174&lt;&gt;"",מלאי!B174&amp;IF(מלאי!C174&lt;&gt;""," ("&amp;מלאי!C174&amp;")",""),"")</f>
        <v/>
      </c>
      <c r="C171" s="23" t="str">
        <f>IFERROR(INDEX(הגדרות!$S$2:$S$50,MATCH(מלאי!B174,הגדרות!$R$2:$R$50,0)),"")</f>
        <v/>
      </c>
      <c r="D171" s="23"/>
      <c r="E171" s="23"/>
    </row>
    <row r="172" spans="1:5" ht="15" customHeight="1" x14ac:dyDescent="0.25">
      <c r="A172" s="23" t="str">
        <f>IF(מלאי!D175&lt;&gt;"",מלאי!D175,"")</f>
        <v/>
      </c>
      <c r="B172" s="23" t="str">
        <f>IF(מלאי!D175&lt;&gt;"",מלאי!B175&amp;IF(מלאי!C175&lt;&gt;""," ("&amp;מלאי!C175&amp;")",""),"")</f>
        <v/>
      </c>
      <c r="C172" s="23" t="str">
        <f>IFERROR(INDEX(הגדרות!$S$2:$S$50,MATCH(מלאי!B175,הגדרות!$R$2:$R$50,0)),"")</f>
        <v/>
      </c>
      <c r="D172" s="23"/>
      <c r="E172" s="23"/>
    </row>
    <row r="173" spans="1:5" ht="15" customHeight="1" x14ac:dyDescent="0.25">
      <c r="A173" s="23" t="str">
        <f>IF(מלאי!D176&lt;&gt;"",מלאי!D176,"")</f>
        <v/>
      </c>
      <c r="B173" s="23" t="str">
        <f>IF(מלאי!D176&lt;&gt;"",מלאי!B176&amp;IF(מלאי!C176&lt;&gt;""," ("&amp;מלאי!C176&amp;")",""),"")</f>
        <v/>
      </c>
      <c r="C173" s="23" t="str">
        <f>IFERROR(INDEX(הגדרות!$S$2:$S$50,MATCH(מלאי!B176,הגדרות!$R$2:$R$50,0)),"")</f>
        <v/>
      </c>
      <c r="D173" s="23"/>
      <c r="E173" s="23"/>
    </row>
    <row r="174" spans="1:5" ht="15" customHeight="1" x14ac:dyDescent="0.25">
      <c r="A174" s="23" t="str">
        <f>IF(מלאי!D177&lt;&gt;"",מלאי!D177,"")</f>
        <v/>
      </c>
      <c r="B174" s="23" t="str">
        <f>IF(מלאי!D177&lt;&gt;"",מלאי!B177&amp;IF(מלאי!C177&lt;&gt;""," ("&amp;מלאי!C177&amp;")",""),"")</f>
        <v/>
      </c>
      <c r="C174" s="23" t="str">
        <f>IFERROR(INDEX(הגדרות!$S$2:$S$50,MATCH(מלאי!B177,הגדרות!$R$2:$R$50,0)),"")</f>
        <v/>
      </c>
      <c r="D174" s="23"/>
      <c r="E174" s="23"/>
    </row>
    <row r="175" spans="1:5" ht="15" customHeight="1" x14ac:dyDescent="0.25">
      <c r="A175" s="23" t="str">
        <f>IF(מלאי!D178&lt;&gt;"",מלאי!D178,"")</f>
        <v/>
      </c>
      <c r="B175" s="23" t="str">
        <f>IF(מלאי!D178&lt;&gt;"",מלאי!B178&amp;IF(מלאי!C178&lt;&gt;""," ("&amp;מלאי!C178&amp;")",""),"")</f>
        <v/>
      </c>
      <c r="C175" s="23" t="str">
        <f>IFERROR(INDEX(הגדרות!$S$2:$S$50,MATCH(מלאי!B178,הגדרות!$R$2:$R$50,0)),"")</f>
        <v/>
      </c>
      <c r="D175" s="23"/>
      <c r="E175" s="23"/>
    </row>
    <row r="176" spans="1:5" ht="15" customHeight="1" x14ac:dyDescent="0.25">
      <c r="A176" s="23" t="str">
        <f>IF(מלאי!D179&lt;&gt;"",מלאי!D179,"")</f>
        <v/>
      </c>
      <c r="B176" s="23" t="str">
        <f>IF(מלאי!D179&lt;&gt;"",מלאי!B179&amp;IF(מלאי!C179&lt;&gt;""," ("&amp;מלאי!C179&amp;")",""),"")</f>
        <v/>
      </c>
      <c r="C176" s="23" t="str">
        <f>IFERROR(INDEX(הגדרות!$S$2:$S$50,MATCH(מלאי!B179,הגדרות!$R$2:$R$50,0)),"")</f>
        <v/>
      </c>
      <c r="D176" s="23"/>
      <c r="E176" s="23"/>
    </row>
    <row r="177" spans="1:5" ht="15" customHeight="1" x14ac:dyDescent="0.25">
      <c r="A177" s="23" t="str">
        <f>IF(מלאי!D180&lt;&gt;"",מלאי!D180,"")</f>
        <v/>
      </c>
      <c r="B177" s="23" t="str">
        <f>IF(מלאי!D180&lt;&gt;"",מלאי!B180&amp;IF(מלאי!C180&lt;&gt;""," ("&amp;מלאי!C180&amp;")",""),"")</f>
        <v/>
      </c>
      <c r="C177" s="23" t="str">
        <f>IFERROR(INDEX(הגדרות!$S$2:$S$50,MATCH(מלאי!B180,הגדרות!$R$2:$R$50,0)),"")</f>
        <v/>
      </c>
      <c r="D177" s="23"/>
      <c r="E177" s="23"/>
    </row>
    <row r="178" spans="1:5" ht="15" customHeight="1" x14ac:dyDescent="0.25">
      <c r="A178" s="23" t="str">
        <f>IF(מלאי!D181&lt;&gt;"",מלאי!D181,"")</f>
        <v/>
      </c>
      <c r="B178" s="23" t="str">
        <f>IF(מלאי!D181&lt;&gt;"",מלאי!B181&amp;IF(מלאי!C181&lt;&gt;""," ("&amp;מלאי!C181&amp;")",""),"")</f>
        <v/>
      </c>
      <c r="C178" s="23" t="str">
        <f>IFERROR(INDEX(הגדרות!$S$2:$S$50,MATCH(מלאי!B181,הגדרות!$R$2:$R$50,0)),"")</f>
        <v/>
      </c>
      <c r="D178" s="23"/>
      <c r="E178" s="23"/>
    </row>
    <row r="179" spans="1:5" ht="15" customHeight="1" x14ac:dyDescent="0.25">
      <c r="A179" s="23" t="str">
        <f>IF(מלאי!D182&lt;&gt;"",מלאי!D182,"")</f>
        <v/>
      </c>
      <c r="B179" s="23" t="str">
        <f>IF(מלאי!D182&lt;&gt;"",מלאי!B182&amp;IF(מלאי!C182&lt;&gt;""," ("&amp;מלאי!C182&amp;")",""),"")</f>
        <v/>
      </c>
      <c r="C179" s="23" t="str">
        <f>IFERROR(INDEX(הגדרות!$S$2:$S$50,MATCH(מלאי!B182,הגדרות!$R$2:$R$50,0)),"")</f>
        <v/>
      </c>
      <c r="D179" s="23"/>
      <c r="E179" s="23"/>
    </row>
    <row r="180" spans="1:5" ht="15" customHeight="1" x14ac:dyDescent="0.25">
      <c r="A180" s="23" t="str">
        <f>IF(מלאי!D183&lt;&gt;"",מלאי!D183,"")</f>
        <v/>
      </c>
      <c r="B180" s="23" t="str">
        <f>IF(מלאי!D183&lt;&gt;"",מלאי!B183&amp;IF(מלאי!C183&lt;&gt;""," ("&amp;מלאי!C183&amp;")",""),"")</f>
        <v/>
      </c>
      <c r="C180" s="23" t="str">
        <f>IFERROR(INDEX(הגדרות!$S$2:$S$50,MATCH(מלאי!B183,הגדרות!$R$2:$R$50,0)),"")</f>
        <v/>
      </c>
      <c r="D180" s="23"/>
      <c r="E180" s="23"/>
    </row>
    <row r="181" spans="1:5" ht="15" customHeight="1" x14ac:dyDescent="0.25">
      <c r="A181" s="23" t="str">
        <f>IF(מלאי!D184&lt;&gt;"",מלאי!D184,"")</f>
        <v/>
      </c>
      <c r="B181" s="23" t="str">
        <f>IF(מלאי!D184&lt;&gt;"",מלאי!B184&amp;IF(מלאי!C184&lt;&gt;""," ("&amp;מלאי!C184&amp;")",""),"")</f>
        <v/>
      </c>
      <c r="C181" s="23" t="str">
        <f>IFERROR(INDEX(הגדרות!$S$2:$S$50,MATCH(מלאי!B184,הגדרות!$R$2:$R$50,0)),"")</f>
        <v/>
      </c>
      <c r="D181" s="23"/>
      <c r="E181" s="23"/>
    </row>
    <row r="182" spans="1:5" ht="15" customHeight="1" x14ac:dyDescent="0.25">
      <c r="A182" s="23" t="str">
        <f>IF(מלאי!D185&lt;&gt;"",מלאי!D185,"")</f>
        <v/>
      </c>
      <c r="B182" s="23" t="str">
        <f>IF(מלאי!D185&lt;&gt;"",מלאי!B185&amp;IF(מלאי!C185&lt;&gt;""," ("&amp;מלאי!C185&amp;")",""),"")</f>
        <v/>
      </c>
      <c r="C182" s="23" t="str">
        <f>IFERROR(INDEX(הגדרות!$S$2:$S$50,MATCH(מלאי!B185,הגדרות!$R$2:$R$50,0)),"")</f>
        <v/>
      </c>
      <c r="D182" s="23"/>
      <c r="E182" s="23"/>
    </row>
    <row r="183" spans="1:5" ht="15" customHeight="1" x14ac:dyDescent="0.25">
      <c r="A183" s="23" t="str">
        <f>IF(מלאי!D186&lt;&gt;"",מלאי!D186,"")</f>
        <v/>
      </c>
      <c r="B183" s="23" t="str">
        <f>IF(מלאי!D186&lt;&gt;"",מלאי!B186&amp;IF(מלאי!C186&lt;&gt;""," ("&amp;מלאי!C186&amp;")",""),"")</f>
        <v/>
      </c>
      <c r="C183" s="23" t="str">
        <f>IFERROR(INDEX(הגדרות!$S$2:$S$50,MATCH(מלאי!B186,הגדרות!$R$2:$R$50,0)),"")</f>
        <v/>
      </c>
      <c r="D183" s="23"/>
      <c r="E183" s="23"/>
    </row>
    <row r="184" spans="1:5" ht="15" customHeight="1" x14ac:dyDescent="0.25">
      <c r="A184" s="23" t="str">
        <f>IF(מלאי!D187&lt;&gt;"",מלאי!D187,"")</f>
        <v/>
      </c>
      <c r="B184" s="23" t="str">
        <f>IF(מלאי!D187&lt;&gt;"",מלאי!B187&amp;IF(מלאי!C187&lt;&gt;""," ("&amp;מלאי!C187&amp;")",""),"")</f>
        <v/>
      </c>
      <c r="C184" s="23" t="str">
        <f>IFERROR(INDEX(הגדרות!$S$2:$S$50,MATCH(מלאי!B187,הגדרות!$R$2:$R$50,0)),"")</f>
        <v/>
      </c>
      <c r="D184" s="23"/>
      <c r="E184" s="23"/>
    </row>
    <row r="185" spans="1:5" ht="15" customHeight="1" x14ac:dyDescent="0.25">
      <c r="A185" s="23" t="str">
        <f>IF(מלאי!D188&lt;&gt;"",מלאי!D188,"")</f>
        <v/>
      </c>
      <c r="B185" s="23" t="str">
        <f>IF(מלאי!D188&lt;&gt;"",מלאי!B188&amp;IF(מלאי!C188&lt;&gt;""," ("&amp;מלאי!C188&amp;")",""),"")</f>
        <v/>
      </c>
      <c r="C185" s="23" t="str">
        <f>IFERROR(INDEX(הגדרות!$S$2:$S$50,MATCH(מלאי!B188,הגדרות!$R$2:$R$50,0)),"")</f>
        <v/>
      </c>
      <c r="D185" s="23"/>
      <c r="E185" s="23"/>
    </row>
    <row r="186" spans="1:5" ht="15" customHeight="1" x14ac:dyDescent="0.25">
      <c r="A186" s="23" t="str">
        <f>IF(מלאי!D189&lt;&gt;"",מלאי!D189,"")</f>
        <v/>
      </c>
      <c r="B186" s="23" t="str">
        <f>IF(מלאי!D189&lt;&gt;"",מלאי!B189&amp;IF(מלאי!C189&lt;&gt;""," ("&amp;מלאי!C189&amp;")",""),"")</f>
        <v/>
      </c>
      <c r="C186" s="23" t="str">
        <f>IFERROR(INDEX(הגדרות!$S$2:$S$50,MATCH(מלאי!B189,הגדרות!$R$2:$R$50,0)),"")</f>
        <v/>
      </c>
      <c r="D186" s="23"/>
      <c r="E186" s="23"/>
    </row>
    <row r="187" spans="1:5" ht="15" customHeight="1" x14ac:dyDescent="0.25">
      <c r="A187" s="23" t="str">
        <f>IF(מלאי!D190&lt;&gt;"",מלאי!D190,"")</f>
        <v/>
      </c>
      <c r="B187" s="23" t="str">
        <f>IF(מלאי!D190&lt;&gt;"",מלאי!B190&amp;IF(מלאי!C190&lt;&gt;""," ("&amp;מלאי!C190&amp;")",""),"")</f>
        <v/>
      </c>
      <c r="C187" s="23" t="str">
        <f>IFERROR(INDEX(הגדרות!$S$2:$S$50,MATCH(מלאי!B190,הגדרות!$R$2:$R$50,0)),"")</f>
        <v/>
      </c>
      <c r="D187" s="23"/>
      <c r="E187" s="23"/>
    </row>
    <row r="188" spans="1:5" ht="15" customHeight="1" x14ac:dyDescent="0.25">
      <c r="A188" s="23" t="str">
        <f>IF(מלאי!D191&lt;&gt;"",מלאי!D191,"")</f>
        <v/>
      </c>
      <c r="B188" s="23" t="str">
        <f>IF(מלאי!D191&lt;&gt;"",מלאי!B191&amp;IF(מלאי!C191&lt;&gt;""," ("&amp;מלאי!C191&amp;")",""),"")</f>
        <v/>
      </c>
      <c r="C188" s="23" t="str">
        <f>IFERROR(INDEX(הגדרות!$S$2:$S$50,MATCH(מלאי!B191,הגדרות!$R$2:$R$50,0)),"")</f>
        <v/>
      </c>
      <c r="D188" s="23"/>
      <c r="E188" s="23"/>
    </row>
    <row r="189" spans="1:5" ht="15" customHeight="1" x14ac:dyDescent="0.25">
      <c r="A189" s="23" t="str">
        <f>IF(מלאי!D192&lt;&gt;"",מלאי!D192,"")</f>
        <v/>
      </c>
      <c r="B189" s="23" t="str">
        <f>IF(מלאי!D192&lt;&gt;"",מלאי!B192&amp;IF(מלאי!C192&lt;&gt;""," ("&amp;מלאי!C192&amp;")",""),"")</f>
        <v/>
      </c>
      <c r="C189" s="23" t="str">
        <f>IFERROR(INDEX(הגדרות!$S$2:$S$50,MATCH(מלאי!B192,הגדרות!$R$2:$R$50,0)),"")</f>
        <v/>
      </c>
      <c r="D189" s="23"/>
      <c r="E189" s="23"/>
    </row>
    <row r="190" spans="1:5" ht="15" customHeight="1" x14ac:dyDescent="0.25">
      <c r="A190" s="23" t="str">
        <f>IF(מלאי!D193&lt;&gt;"",מלאי!D193,"")</f>
        <v/>
      </c>
      <c r="B190" s="23" t="str">
        <f>IF(מלאי!D193&lt;&gt;"",מלאי!B193&amp;IF(מלאי!C193&lt;&gt;""," ("&amp;מלאי!C193&amp;")",""),"")</f>
        <v/>
      </c>
      <c r="C190" s="23" t="str">
        <f>IFERROR(INDEX(הגדרות!$S$2:$S$50,MATCH(מלאי!B193,הגדרות!$R$2:$R$50,0)),"")</f>
        <v/>
      </c>
      <c r="D190" s="23"/>
      <c r="E190" s="23"/>
    </row>
    <row r="191" spans="1:5" ht="15" customHeight="1" x14ac:dyDescent="0.25">
      <c r="A191" s="23" t="str">
        <f>IF(מלאי!D194&lt;&gt;"",מלאי!D194,"")</f>
        <v/>
      </c>
      <c r="B191" s="23" t="str">
        <f>IF(מלאי!D194&lt;&gt;"",מלאי!B194&amp;IF(מלאי!C194&lt;&gt;""," ("&amp;מלאי!C194&amp;")",""),"")</f>
        <v/>
      </c>
      <c r="C191" s="23" t="str">
        <f>IFERROR(INDEX(הגדרות!$S$2:$S$50,MATCH(מלאי!B194,הגדרות!$R$2:$R$50,0)),"")</f>
        <v/>
      </c>
      <c r="D191" s="23"/>
      <c r="E191" s="23"/>
    </row>
    <row r="192" spans="1:5" ht="15" customHeight="1" x14ac:dyDescent="0.25">
      <c r="A192" s="23" t="str">
        <f>IF(מלאי!D195&lt;&gt;"",מלאי!D195,"")</f>
        <v/>
      </c>
      <c r="B192" s="23" t="str">
        <f>IF(מלאי!D195&lt;&gt;"",מלאי!B195&amp;IF(מלאי!C195&lt;&gt;""," ("&amp;מלאי!C195&amp;")",""),"")</f>
        <v/>
      </c>
      <c r="C192" s="23" t="str">
        <f>IFERROR(INDEX(הגדרות!$S$2:$S$50,MATCH(מלאי!B195,הגדרות!$R$2:$R$50,0)),"")</f>
        <v/>
      </c>
      <c r="D192" s="23"/>
      <c r="E192" s="23"/>
    </row>
    <row r="193" spans="1:5" ht="15" customHeight="1" x14ac:dyDescent="0.25">
      <c r="A193" s="23" t="str">
        <f>IF(מלאי!D196&lt;&gt;"",מלאי!D196,"")</f>
        <v/>
      </c>
      <c r="B193" s="23" t="str">
        <f>IF(מלאי!D196&lt;&gt;"",מלאי!B196&amp;IF(מלאי!C196&lt;&gt;""," ("&amp;מלאי!C196&amp;")",""),"")</f>
        <v/>
      </c>
      <c r="C193" s="23" t="str">
        <f>IFERROR(INDEX(הגדרות!$S$2:$S$50,MATCH(מלאי!B196,הגדרות!$R$2:$R$50,0)),"")</f>
        <v/>
      </c>
      <c r="D193" s="23"/>
      <c r="E193" s="23"/>
    </row>
    <row r="194" spans="1:5" ht="15" customHeight="1" x14ac:dyDescent="0.25">
      <c r="A194" s="23" t="str">
        <f>IF(מלאי!D197&lt;&gt;"",מלאי!D197,"")</f>
        <v/>
      </c>
      <c r="B194" s="23" t="str">
        <f>IF(מלאי!D197&lt;&gt;"",מלאי!B197&amp;IF(מלאי!C197&lt;&gt;""," ("&amp;מלאי!C197&amp;")",""),"")</f>
        <v/>
      </c>
      <c r="C194" s="23" t="str">
        <f>IFERROR(INDEX(הגדרות!$S$2:$S$50,MATCH(מלאי!B197,הגדרות!$R$2:$R$50,0)),"")</f>
        <v/>
      </c>
      <c r="D194" s="23"/>
      <c r="E194" s="23"/>
    </row>
    <row r="195" spans="1:5" ht="15" customHeight="1" x14ac:dyDescent="0.25">
      <c r="A195" s="23" t="str">
        <f>IF(מלאי!D198&lt;&gt;"",מלאי!D198,"")</f>
        <v/>
      </c>
      <c r="B195" s="23" t="str">
        <f>IF(מלאי!D198&lt;&gt;"",מלאי!B198&amp;IF(מלאי!C198&lt;&gt;""," ("&amp;מלאי!C198&amp;")",""),"")</f>
        <v/>
      </c>
      <c r="C195" s="23" t="str">
        <f>IFERROR(INDEX(הגדרות!$S$2:$S$50,MATCH(מלאי!B198,הגדרות!$R$2:$R$50,0)),"")</f>
        <v/>
      </c>
      <c r="D195" s="23"/>
      <c r="E195" s="23"/>
    </row>
    <row r="196" spans="1:5" ht="15" customHeight="1" x14ac:dyDescent="0.25">
      <c r="A196" s="23" t="str">
        <f>IF(מלאי!D199&lt;&gt;"",מלאי!D199,"")</f>
        <v/>
      </c>
      <c r="B196" s="23" t="str">
        <f>IF(מלאי!D199&lt;&gt;"",מלאי!B199&amp;IF(מלאי!C199&lt;&gt;""," ("&amp;מלאי!C199&amp;")",""),"")</f>
        <v/>
      </c>
      <c r="C196" s="23" t="str">
        <f>IFERROR(INDEX(הגדרות!$S$2:$S$50,MATCH(מלאי!B199,הגדרות!$R$2:$R$50,0)),"")</f>
        <v/>
      </c>
      <c r="D196" s="23"/>
      <c r="E196" s="23"/>
    </row>
    <row r="197" spans="1:5" ht="15" customHeight="1" x14ac:dyDescent="0.25">
      <c r="A197" s="23" t="str">
        <f>IF(מלאי!D200&lt;&gt;"",מלאי!D200,"")</f>
        <v/>
      </c>
      <c r="B197" s="23" t="str">
        <f>IF(מלאי!D200&lt;&gt;"",מלאי!B200&amp;IF(מלאי!C200&lt;&gt;""," ("&amp;מלאי!C200&amp;")",""),"")</f>
        <v/>
      </c>
      <c r="C197" s="23" t="str">
        <f>IFERROR(INDEX(הגדרות!$S$2:$S$50,MATCH(מלאי!B200,הגדרות!$R$2:$R$50,0)),"")</f>
        <v/>
      </c>
      <c r="D197" s="23"/>
      <c r="E197" s="23"/>
    </row>
    <row r="198" spans="1:5" ht="15" customHeight="1" x14ac:dyDescent="0.25">
      <c r="A198" s="23" t="str">
        <f>IF(מלאי!D201&lt;&gt;"",מלאי!D201,"")</f>
        <v/>
      </c>
      <c r="B198" s="23" t="str">
        <f>IF(מלאי!D201&lt;&gt;"",מלאי!B201&amp;IF(מלאי!C201&lt;&gt;""," ("&amp;מלאי!C201&amp;")",""),"")</f>
        <v/>
      </c>
      <c r="C198" s="23" t="str">
        <f>IFERROR(INDEX(הגדרות!$S$2:$S$50,MATCH(מלאי!B201,הגדרות!$R$2:$R$50,0)),"")</f>
        <v/>
      </c>
      <c r="D198" s="23"/>
      <c r="E198" s="23"/>
    </row>
    <row r="199" spans="1:5" ht="15" customHeight="1" x14ac:dyDescent="0.25">
      <c r="A199" s="23" t="str">
        <f>IF(מלאי!D202&lt;&gt;"",מלאי!D202,"")</f>
        <v/>
      </c>
      <c r="B199" s="23" t="str">
        <f>IF(מלאי!D202&lt;&gt;"",מלאי!B202&amp;IF(מלאי!C202&lt;&gt;""," ("&amp;מלאי!C202&amp;")",""),"")</f>
        <v/>
      </c>
      <c r="C199" s="23" t="str">
        <f>IFERROR(INDEX(הגדרות!$S$2:$S$50,MATCH(מלאי!B202,הגדרות!$R$2:$R$50,0)),"")</f>
        <v/>
      </c>
      <c r="D199" s="23"/>
      <c r="E199" s="23"/>
    </row>
    <row r="200" spans="1:5" ht="15" customHeight="1" x14ac:dyDescent="0.25">
      <c r="A200" s="23" t="str">
        <f>IF(מלאי!D203&lt;&gt;"",מלאי!D203,"")</f>
        <v/>
      </c>
      <c r="B200" s="23" t="str">
        <f>IF(מלאי!D203&lt;&gt;"",מלאי!B203&amp;IF(מלאי!C203&lt;&gt;""," ("&amp;מלאי!C203&amp;")",""),"")</f>
        <v/>
      </c>
      <c r="C200" s="23" t="str">
        <f>IFERROR(INDEX(הגדרות!$S$2:$S$50,MATCH(מלאי!B203,הגדרות!$R$2:$R$50,0)),"")</f>
        <v/>
      </c>
      <c r="D200" s="23"/>
      <c r="E200" s="23"/>
    </row>
    <row r="201" spans="1:5" ht="15" customHeight="1" x14ac:dyDescent="0.25">
      <c r="A201" s="23" t="str">
        <f>IF(מלאי!D204&lt;&gt;"",מלאי!D204,"")</f>
        <v/>
      </c>
      <c r="B201" s="23" t="str">
        <f>IF(מלאי!D204&lt;&gt;"",מלאי!B204&amp;IF(מלאי!C204&lt;&gt;""," ("&amp;מלאי!C204&amp;")",""),"")</f>
        <v/>
      </c>
      <c r="C201" s="23" t="str">
        <f>IFERROR(INDEX(הגדרות!$S$2:$S$50,MATCH(מלאי!B204,הגדרות!$R$2:$R$50,0)),"")</f>
        <v/>
      </c>
      <c r="D201" s="23"/>
      <c r="E201" s="23"/>
    </row>
    <row r="202" spans="1:5" ht="15" customHeight="1" x14ac:dyDescent="0.25">
      <c r="A202" s="23" t="str">
        <f>IF(מלאי!D205&lt;&gt;"",מלאי!D205,"")</f>
        <v/>
      </c>
      <c r="B202" s="23" t="str">
        <f>IF(מלאי!D205&lt;&gt;"",מלאי!B205&amp;IF(מלאי!C205&lt;&gt;""," ("&amp;מלאי!C205&amp;")",""),"")</f>
        <v/>
      </c>
      <c r="C202" s="23" t="str">
        <f>IFERROR(INDEX(הגדרות!$S$2:$S$50,MATCH(מלאי!B205,הגדרות!$R$2:$R$50,0)),"")</f>
        <v/>
      </c>
      <c r="D202" s="23"/>
      <c r="E202" s="23"/>
    </row>
    <row r="203" spans="1:5" ht="15" customHeight="1" x14ac:dyDescent="0.25">
      <c r="A203" s="23" t="str">
        <f>IF(מלאי!D206&lt;&gt;"",מלאי!D206,"")</f>
        <v/>
      </c>
      <c r="B203" s="23" t="str">
        <f>IF(מלאי!D206&lt;&gt;"",מלאי!B206&amp;IF(מלאי!C206&lt;&gt;""," ("&amp;מלאי!C206&amp;")",""),"")</f>
        <v/>
      </c>
      <c r="C203" s="23" t="str">
        <f>IFERROR(INDEX(הגדרות!$S$2:$S$50,MATCH(מלאי!B206,הגדרות!$R$2:$R$50,0)),"")</f>
        <v/>
      </c>
      <c r="D203" s="23"/>
      <c r="E203" s="23"/>
    </row>
    <row r="204" spans="1:5" ht="15" customHeight="1" x14ac:dyDescent="0.25">
      <c r="A204" s="23" t="str">
        <f>IF(מלאי!D207&lt;&gt;"",מלאי!D207,"")</f>
        <v/>
      </c>
      <c r="B204" s="23" t="str">
        <f>IF(מלאי!D207&lt;&gt;"",מלאי!B207&amp;IF(מלאי!C207&lt;&gt;""," ("&amp;מלאי!C207&amp;")",""),"")</f>
        <v/>
      </c>
      <c r="C204" s="23" t="str">
        <f>IFERROR(INDEX(הגדרות!$S$2:$S$50,MATCH(מלאי!B207,הגדרות!$R$2:$R$50,0)),"")</f>
        <v/>
      </c>
      <c r="D204" s="23"/>
      <c r="E204" s="23"/>
    </row>
    <row r="205" spans="1:5" ht="15" customHeight="1" x14ac:dyDescent="0.25">
      <c r="A205" s="23" t="str">
        <f>IF(מלאי!D208&lt;&gt;"",מלאי!D208,"")</f>
        <v/>
      </c>
      <c r="B205" s="23" t="str">
        <f>IF(מלאי!D208&lt;&gt;"",מלאי!B208&amp;IF(מלאי!C208&lt;&gt;""," ("&amp;מלאי!C208&amp;")",""),"")</f>
        <v/>
      </c>
      <c r="C205" s="23" t="str">
        <f>IFERROR(INDEX(הגדרות!$S$2:$S$50,MATCH(מלאי!B208,הגדרות!$R$2:$R$50,0)),"")</f>
        <v/>
      </c>
      <c r="D205" s="23"/>
      <c r="E205" s="23"/>
    </row>
    <row r="206" spans="1:5" ht="15" customHeight="1" x14ac:dyDescent="0.25">
      <c r="A206" s="23" t="str">
        <f>IF(מלאי!D209&lt;&gt;"",מלאי!D209,"")</f>
        <v/>
      </c>
      <c r="B206" s="23" t="str">
        <f>IF(מלאי!D209&lt;&gt;"",מלאי!B209&amp;IF(מלאי!C209&lt;&gt;""," ("&amp;מלאי!C209&amp;")",""),"")</f>
        <v/>
      </c>
      <c r="C206" s="23" t="str">
        <f>IFERROR(INDEX(הגדרות!$S$2:$S$50,MATCH(מלאי!B209,הגדרות!$R$2:$R$50,0)),"")</f>
        <v/>
      </c>
      <c r="D206" s="23"/>
      <c r="E206" s="23"/>
    </row>
    <row r="207" spans="1:5" ht="15" customHeight="1" x14ac:dyDescent="0.25">
      <c r="A207" s="23" t="str">
        <f>IF(מלאי!D210&lt;&gt;"",מלאי!D210,"")</f>
        <v/>
      </c>
      <c r="B207" s="23" t="str">
        <f>IF(מלאי!D210&lt;&gt;"",מלאי!B210&amp;IF(מלאי!C210&lt;&gt;""," ("&amp;מלאי!C210&amp;")",""),"")</f>
        <v/>
      </c>
      <c r="C207" s="23" t="str">
        <f>IFERROR(INDEX(הגדרות!$S$2:$S$50,MATCH(מלאי!B210,הגדרות!$R$2:$R$50,0)),"")</f>
        <v/>
      </c>
      <c r="D207" s="23"/>
      <c r="E207" s="23"/>
    </row>
    <row r="208" spans="1:5" ht="15" customHeight="1" x14ac:dyDescent="0.25">
      <c r="A208" s="23" t="str">
        <f>IF(מלאי!D211&lt;&gt;"",מלאי!D211,"")</f>
        <v/>
      </c>
      <c r="B208" s="23" t="str">
        <f>IF(מלאי!D211&lt;&gt;"",מלאי!B211&amp;IF(מלאי!C211&lt;&gt;""," ("&amp;מלאי!C211&amp;")",""),"")</f>
        <v/>
      </c>
      <c r="C208" s="23" t="str">
        <f>IFERROR(INDEX(הגדרות!$S$2:$S$50,MATCH(מלאי!B211,הגדרות!$R$2:$R$50,0)),"")</f>
        <v/>
      </c>
      <c r="D208" s="23"/>
      <c r="E208" s="23"/>
    </row>
    <row r="209" spans="1:5" ht="15" customHeight="1" x14ac:dyDescent="0.25">
      <c r="A209" s="23" t="str">
        <f>IF(מלאי!D212&lt;&gt;"",מלאי!D212,"")</f>
        <v/>
      </c>
      <c r="B209" s="23" t="str">
        <f>IF(מלאי!D212&lt;&gt;"",מלאי!B212&amp;IF(מלאי!C212&lt;&gt;""," ("&amp;מלאי!C212&amp;")",""),"")</f>
        <v/>
      </c>
      <c r="C209" s="23" t="str">
        <f>IFERROR(INDEX(הגדרות!$S$2:$S$50,MATCH(מלאי!B212,הגדרות!$R$2:$R$50,0)),"")</f>
        <v/>
      </c>
      <c r="D209" s="23"/>
      <c r="E209" s="23"/>
    </row>
    <row r="210" spans="1:5" ht="15" customHeight="1" x14ac:dyDescent="0.25">
      <c r="A210" s="23" t="str">
        <f>IF(מלאי!D213&lt;&gt;"",מלאי!D213,"")</f>
        <v/>
      </c>
      <c r="B210" s="23" t="str">
        <f>IF(מלאי!D213&lt;&gt;"",מלאי!B213&amp;IF(מלאי!C213&lt;&gt;""," ("&amp;מלאי!C213&amp;")",""),"")</f>
        <v/>
      </c>
      <c r="C210" s="23" t="str">
        <f>IFERROR(INDEX(הגדרות!$S$2:$S$50,MATCH(מלאי!B213,הגדרות!$R$2:$R$50,0)),"")</f>
        <v/>
      </c>
      <c r="D210" s="23"/>
      <c r="E210" s="23"/>
    </row>
    <row r="211" spans="1:5" ht="15" customHeight="1" x14ac:dyDescent="0.25">
      <c r="A211" s="23" t="str">
        <f>IF(מלאי!D214&lt;&gt;"",מלאי!D214,"")</f>
        <v/>
      </c>
      <c r="B211" s="23" t="str">
        <f>IF(מלאי!D214&lt;&gt;"",מלאי!B214&amp;IF(מלאי!C214&lt;&gt;""," ("&amp;מלאי!C214&amp;")",""),"")</f>
        <v/>
      </c>
      <c r="C211" s="23" t="str">
        <f>IFERROR(INDEX(הגדרות!$S$2:$S$50,MATCH(מלאי!B214,הגדרות!$R$2:$R$50,0)),"")</f>
        <v/>
      </c>
      <c r="D211" s="23"/>
      <c r="E211" s="23"/>
    </row>
    <row r="212" spans="1:5" ht="15" customHeight="1" x14ac:dyDescent="0.25">
      <c r="A212" s="23" t="str">
        <f>IF(מלאי!D215&lt;&gt;"",מלאי!D215,"")</f>
        <v/>
      </c>
      <c r="B212" s="23" t="str">
        <f>IF(מלאי!D215&lt;&gt;"",מלאי!B215&amp;IF(מלאי!C215&lt;&gt;""," ("&amp;מלאי!C215&amp;")",""),"")</f>
        <v/>
      </c>
      <c r="C212" s="23" t="str">
        <f>IFERROR(INDEX(הגדרות!$S$2:$S$50,MATCH(מלאי!B215,הגדרות!$R$2:$R$50,0)),"")</f>
        <v/>
      </c>
      <c r="D212" s="23"/>
      <c r="E212" s="23"/>
    </row>
    <row r="213" spans="1:5" ht="15" customHeight="1" x14ac:dyDescent="0.25">
      <c r="A213" s="23" t="str">
        <f>IF(מלאי!D216&lt;&gt;"",מלאי!D216,"")</f>
        <v/>
      </c>
      <c r="B213" s="23" t="str">
        <f>IF(מלאי!D216&lt;&gt;"",מלאי!B216&amp;IF(מלאי!C216&lt;&gt;""," ("&amp;מלאי!C216&amp;")",""),"")</f>
        <v/>
      </c>
      <c r="C213" s="23" t="str">
        <f>IFERROR(INDEX(הגדרות!$S$2:$S$50,MATCH(מלאי!B216,הגדרות!$R$2:$R$50,0)),"")</f>
        <v/>
      </c>
      <c r="D213" s="23"/>
      <c r="E213" s="23"/>
    </row>
    <row r="214" spans="1:5" ht="15" customHeight="1" x14ac:dyDescent="0.25">
      <c r="A214" s="23" t="str">
        <f>IF(מלאי!D217&lt;&gt;"",מלאי!D217,"")</f>
        <v/>
      </c>
      <c r="B214" s="23" t="str">
        <f>IF(מלאי!D217&lt;&gt;"",מלאי!B217&amp;IF(מלאי!C217&lt;&gt;""," ("&amp;מלאי!C217&amp;")",""),"")</f>
        <v/>
      </c>
      <c r="C214" s="23" t="str">
        <f>IFERROR(INDEX(הגדרות!$S$2:$S$50,MATCH(מלאי!B217,הגדרות!$R$2:$R$50,0)),"")</f>
        <v/>
      </c>
      <c r="D214" s="23"/>
      <c r="E214" s="23"/>
    </row>
    <row r="215" spans="1:5" ht="15" customHeight="1" x14ac:dyDescent="0.25">
      <c r="A215" s="23" t="str">
        <f>IF(מלאי!D218&lt;&gt;"",מלאי!D218,"")</f>
        <v/>
      </c>
      <c r="B215" s="23" t="str">
        <f>IF(מלאי!D218&lt;&gt;"",מלאי!B218&amp;IF(מלאי!C218&lt;&gt;""," ("&amp;מלאי!C218&amp;")",""),"")</f>
        <v/>
      </c>
      <c r="C215" s="23" t="str">
        <f>IFERROR(INDEX(הגדרות!$S$2:$S$50,MATCH(מלאי!B218,הגדרות!$R$2:$R$50,0)),"")</f>
        <v/>
      </c>
      <c r="D215" s="23"/>
      <c r="E215" s="23"/>
    </row>
    <row r="216" spans="1:5" ht="15" customHeight="1" x14ac:dyDescent="0.25">
      <c r="A216" s="23" t="str">
        <f>IF(מלאי!D219&lt;&gt;"",מלאי!D219,"")</f>
        <v/>
      </c>
      <c r="B216" s="23" t="str">
        <f>IF(מלאי!D219&lt;&gt;"",מלאי!B219&amp;IF(מלאי!C219&lt;&gt;""," ("&amp;מלאי!C219&amp;")",""),"")</f>
        <v/>
      </c>
      <c r="C216" s="23" t="str">
        <f>IFERROR(INDEX(הגדרות!$S$2:$S$50,MATCH(מלאי!B219,הגדרות!$R$2:$R$50,0)),"")</f>
        <v/>
      </c>
      <c r="D216" s="23"/>
      <c r="E216" s="23"/>
    </row>
    <row r="217" spans="1:5" ht="15" customHeight="1" x14ac:dyDescent="0.25">
      <c r="A217" s="23" t="str">
        <f>IF(מלאי!D220&lt;&gt;"",מלאי!D220,"")</f>
        <v/>
      </c>
      <c r="B217" s="23" t="str">
        <f>IF(מלאי!D220&lt;&gt;"",מלאי!B220&amp;IF(מלאי!C220&lt;&gt;""," ("&amp;מלאי!C220&amp;")",""),"")</f>
        <v/>
      </c>
      <c r="C217" s="23" t="str">
        <f>IFERROR(INDEX(הגדרות!$S$2:$S$50,MATCH(מלאי!B220,הגדרות!$R$2:$R$50,0)),"")</f>
        <v/>
      </c>
      <c r="D217" s="23"/>
      <c r="E217" s="23"/>
    </row>
    <row r="218" spans="1:5" ht="15" customHeight="1" x14ac:dyDescent="0.25">
      <c r="A218" s="23" t="str">
        <f>IF(מלאי!D221&lt;&gt;"",מלאי!D221,"")</f>
        <v/>
      </c>
      <c r="B218" s="23" t="str">
        <f>IF(מלאי!D221&lt;&gt;"",מלאי!B221&amp;IF(מלאי!C221&lt;&gt;""," ("&amp;מלאי!C221&amp;")",""),"")</f>
        <v/>
      </c>
      <c r="C218" s="23" t="str">
        <f>IFERROR(INDEX(הגדרות!$S$2:$S$50,MATCH(מלאי!B221,הגדרות!$R$2:$R$50,0)),"")</f>
        <v/>
      </c>
      <c r="D218" s="23"/>
      <c r="E218" s="23"/>
    </row>
    <row r="219" spans="1:5" ht="15" customHeight="1" x14ac:dyDescent="0.25">
      <c r="A219" s="23" t="str">
        <f>IF(מלאי!D222&lt;&gt;"",מלאי!D222,"")</f>
        <v/>
      </c>
      <c r="B219" s="23" t="str">
        <f>IF(מלאי!D222&lt;&gt;"",מלאי!B222&amp;IF(מלאי!C222&lt;&gt;""," ("&amp;מלאי!C222&amp;")",""),"")</f>
        <v/>
      </c>
      <c r="C219" s="23" t="str">
        <f>IFERROR(INDEX(הגדרות!$S$2:$S$50,MATCH(מלאי!B222,הגדרות!$R$2:$R$50,0)),"")</f>
        <v/>
      </c>
      <c r="D219" s="23"/>
      <c r="E219" s="23"/>
    </row>
    <row r="220" spans="1:5" ht="15" customHeight="1" x14ac:dyDescent="0.25">
      <c r="A220" s="23" t="str">
        <f>IF(מלאי!D223&lt;&gt;"",מלאי!D223,"")</f>
        <v/>
      </c>
      <c r="B220" s="23" t="str">
        <f>IF(מלאי!D223&lt;&gt;"",מלאי!B223&amp;IF(מלאי!C223&lt;&gt;""," ("&amp;מלאי!C223&amp;")",""),"")</f>
        <v/>
      </c>
      <c r="C220" s="23" t="str">
        <f>IFERROR(INDEX(הגדרות!$S$2:$S$50,MATCH(מלאי!B223,הגדרות!$R$2:$R$50,0)),"")</f>
        <v/>
      </c>
      <c r="D220" s="23"/>
      <c r="E220" s="23"/>
    </row>
    <row r="221" spans="1:5" ht="15" customHeight="1" x14ac:dyDescent="0.25">
      <c r="A221" s="23" t="str">
        <f>IF(מלאי!D224&lt;&gt;"",מלאי!D224,"")</f>
        <v/>
      </c>
      <c r="B221" s="23" t="str">
        <f>IF(מלאי!D224&lt;&gt;"",מלאי!B224&amp;IF(מלאי!C224&lt;&gt;""," ("&amp;מלאי!C224&amp;")",""),"")</f>
        <v/>
      </c>
      <c r="C221" s="23" t="str">
        <f>IFERROR(INDEX(הגדרות!$S$2:$S$50,MATCH(מלאי!B224,הגדרות!$R$2:$R$50,0)),"")</f>
        <v/>
      </c>
      <c r="D221" s="23"/>
      <c r="E221" s="23"/>
    </row>
    <row r="222" spans="1:5" ht="15" customHeight="1" x14ac:dyDescent="0.25">
      <c r="A222" s="23" t="str">
        <f>IF(מלאי!D225&lt;&gt;"",מלאי!D225,"")</f>
        <v/>
      </c>
      <c r="B222" s="23" t="str">
        <f>IF(מלאי!D225&lt;&gt;"",מלאי!B225&amp;IF(מלאי!C225&lt;&gt;""," ("&amp;מלאי!C225&amp;")",""),"")</f>
        <v/>
      </c>
      <c r="C222" s="23" t="str">
        <f>IFERROR(INDEX(הגדרות!$S$2:$S$50,MATCH(מלאי!B225,הגדרות!$R$2:$R$50,0)),"")</f>
        <v/>
      </c>
      <c r="D222" s="23"/>
      <c r="E222" s="23"/>
    </row>
    <row r="223" spans="1:5" ht="15" customHeight="1" x14ac:dyDescent="0.25">
      <c r="A223" s="23" t="str">
        <f>IF(מלאי!D226&lt;&gt;"",מלאי!D226,"")</f>
        <v/>
      </c>
      <c r="B223" s="23" t="str">
        <f>IF(מלאי!D226&lt;&gt;"",מלאי!B226&amp;IF(מלאי!C226&lt;&gt;""," ("&amp;מלאי!C226&amp;")",""),"")</f>
        <v/>
      </c>
      <c r="C223" s="23" t="str">
        <f>IFERROR(INDEX(הגדרות!$S$2:$S$50,MATCH(מלאי!B226,הגדרות!$R$2:$R$50,0)),"")</f>
        <v/>
      </c>
      <c r="D223" s="23"/>
      <c r="E223" s="23"/>
    </row>
    <row r="224" spans="1:5" ht="15" customHeight="1" x14ac:dyDescent="0.25">
      <c r="A224" s="23" t="str">
        <f>IF(מלאי!D227&lt;&gt;"",מלאי!D227,"")</f>
        <v/>
      </c>
      <c r="B224" s="23" t="str">
        <f>IF(מלאי!D227&lt;&gt;"",מלאי!B227&amp;IF(מלאי!C227&lt;&gt;""," ("&amp;מלאי!C227&amp;")",""),"")</f>
        <v/>
      </c>
      <c r="C224" s="23" t="str">
        <f>IFERROR(INDEX(הגדרות!$S$2:$S$50,MATCH(מלאי!B227,הגדרות!$R$2:$R$50,0)),"")</f>
        <v/>
      </c>
      <c r="D224" s="23"/>
      <c r="E224" s="23"/>
    </row>
    <row r="225" spans="1:5" ht="15" customHeight="1" x14ac:dyDescent="0.25">
      <c r="A225" s="23" t="str">
        <f>IF(מלאי!D228&lt;&gt;"",מלאי!D228,"")</f>
        <v/>
      </c>
      <c r="B225" s="23" t="str">
        <f>IF(מלאי!D228&lt;&gt;"",מלאי!B228&amp;IF(מלאי!C228&lt;&gt;""," ("&amp;מלאי!C228&amp;")",""),"")</f>
        <v/>
      </c>
      <c r="C225" s="23" t="str">
        <f>IFERROR(INDEX(הגדרות!$S$2:$S$50,MATCH(מלאי!B228,הגדרות!$R$2:$R$50,0)),"")</f>
        <v/>
      </c>
      <c r="D225" s="23"/>
      <c r="E225" s="23"/>
    </row>
    <row r="226" spans="1:5" ht="15" customHeight="1" x14ac:dyDescent="0.25">
      <c r="A226" s="23" t="str">
        <f>IF(מלאי!D229&lt;&gt;"",מלאי!D229,"")</f>
        <v/>
      </c>
      <c r="B226" s="23" t="str">
        <f>IF(מלאי!D229&lt;&gt;"",מלאי!B229&amp;IF(מלאי!C229&lt;&gt;""," ("&amp;מלאי!C229&amp;")",""),"")</f>
        <v/>
      </c>
      <c r="C226" s="23" t="str">
        <f>IFERROR(INDEX(הגדרות!$S$2:$S$50,MATCH(מלאי!B229,הגדרות!$R$2:$R$50,0)),"")</f>
        <v/>
      </c>
      <c r="D226" s="23"/>
      <c r="E226" s="23"/>
    </row>
    <row r="227" spans="1:5" ht="15" customHeight="1" x14ac:dyDescent="0.25">
      <c r="A227" s="23" t="str">
        <f>IF(מלאי!D230&lt;&gt;"",מלאי!D230,"")</f>
        <v/>
      </c>
      <c r="B227" s="23" t="str">
        <f>IF(מלאי!D230&lt;&gt;"",מלאי!B230&amp;IF(מלאי!C230&lt;&gt;""," ("&amp;מלאי!C230&amp;")",""),"")</f>
        <v/>
      </c>
      <c r="C227" s="23" t="str">
        <f>IFERROR(INDEX(הגדרות!$S$2:$S$50,MATCH(מלאי!B230,הגדרות!$R$2:$R$50,0)),"")</f>
        <v/>
      </c>
      <c r="D227" s="23"/>
      <c r="E227" s="23"/>
    </row>
    <row r="228" spans="1:5" ht="15" customHeight="1" x14ac:dyDescent="0.25">
      <c r="A228" s="23" t="str">
        <f>IF(מלאי!D231&lt;&gt;"",מלאי!D231,"")</f>
        <v/>
      </c>
      <c r="B228" s="23" t="str">
        <f>IF(מלאי!D231&lt;&gt;"",מלאי!B231&amp;IF(מלאי!C231&lt;&gt;""," ("&amp;מלאי!C231&amp;")",""),"")</f>
        <v/>
      </c>
      <c r="C228" s="23" t="str">
        <f>IFERROR(INDEX(הגדרות!$S$2:$S$50,MATCH(מלאי!B231,הגדרות!$R$2:$R$50,0)),"")</f>
        <v/>
      </c>
      <c r="D228" s="23"/>
      <c r="E228" s="23"/>
    </row>
    <row r="229" spans="1:5" ht="15" customHeight="1" x14ac:dyDescent="0.25">
      <c r="A229" s="23" t="str">
        <f>IF(מלאי!D232&lt;&gt;"",מלאי!D232,"")</f>
        <v/>
      </c>
      <c r="B229" s="23" t="str">
        <f>IF(מלאי!D232&lt;&gt;"",מלאי!B232&amp;IF(מלאי!C232&lt;&gt;""," ("&amp;מלאי!C232&amp;")",""),"")</f>
        <v/>
      </c>
      <c r="C229" s="23" t="str">
        <f>IFERROR(INDEX(הגדרות!$S$2:$S$50,MATCH(מלאי!B232,הגדרות!$R$2:$R$50,0)),"")</f>
        <v/>
      </c>
      <c r="D229" s="23"/>
      <c r="E229" s="23"/>
    </row>
    <row r="230" spans="1:5" ht="15" customHeight="1" x14ac:dyDescent="0.25">
      <c r="A230" s="23" t="str">
        <f>IF(מלאי!D233&lt;&gt;"",מלאי!D233,"")</f>
        <v/>
      </c>
      <c r="B230" s="23" t="str">
        <f>IF(מלאי!D233&lt;&gt;"",מלאי!B233&amp;IF(מלאי!C233&lt;&gt;""," ("&amp;מלאי!C233&amp;")",""),"")</f>
        <v/>
      </c>
      <c r="C230" s="23" t="str">
        <f>IFERROR(INDEX(הגדרות!$S$2:$S$50,MATCH(מלאי!B233,הגדרות!$R$2:$R$50,0)),"")</f>
        <v/>
      </c>
      <c r="D230" s="23"/>
      <c r="E230" s="23"/>
    </row>
    <row r="231" spans="1:5" ht="15" customHeight="1" x14ac:dyDescent="0.25">
      <c r="A231" s="23" t="str">
        <f>IF(מלאי!D234&lt;&gt;"",מלאי!D234,"")</f>
        <v/>
      </c>
      <c r="B231" s="23" t="str">
        <f>IF(מלאי!D234&lt;&gt;"",מלאי!B234&amp;IF(מלאי!C234&lt;&gt;""," ("&amp;מלאי!C234&amp;")",""),"")</f>
        <v/>
      </c>
      <c r="C231" s="23" t="str">
        <f>IFERROR(INDEX(הגדרות!$S$2:$S$50,MATCH(מלאי!B234,הגדרות!$R$2:$R$50,0)),"")</f>
        <v/>
      </c>
      <c r="D231" s="23"/>
      <c r="E231" s="23"/>
    </row>
    <row r="232" spans="1:5" ht="15" customHeight="1" x14ac:dyDescent="0.25">
      <c r="A232" s="23" t="str">
        <f>IF(מלאי!D235&lt;&gt;"",מלאי!D235,"")</f>
        <v/>
      </c>
      <c r="B232" s="23" t="str">
        <f>IF(מלאי!D235&lt;&gt;"",מלאי!B235&amp;IF(מלאי!C235&lt;&gt;""," ("&amp;מלאי!C235&amp;")",""),"")</f>
        <v/>
      </c>
      <c r="C232" s="23" t="str">
        <f>IFERROR(INDEX(הגדרות!$S$2:$S$50,MATCH(מלאי!B235,הגדרות!$R$2:$R$50,0)),"")</f>
        <v/>
      </c>
      <c r="D232" s="23"/>
      <c r="E232" s="23"/>
    </row>
    <row r="233" spans="1:5" ht="15" customHeight="1" x14ac:dyDescent="0.25">
      <c r="A233" s="23" t="str">
        <f>IF(מלאי!D236&lt;&gt;"",מלאי!D236,"")</f>
        <v/>
      </c>
      <c r="B233" s="23" t="str">
        <f>IF(מלאי!D236&lt;&gt;"",מלאי!B236&amp;IF(מלאי!C236&lt;&gt;""," ("&amp;מלאי!C236&amp;")",""),"")</f>
        <v/>
      </c>
      <c r="C233" s="23" t="str">
        <f>IFERROR(INDEX(הגדרות!$S$2:$S$50,MATCH(מלאי!B236,הגדרות!$R$2:$R$50,0)),"")</f>
        <v/>
      </c>
      <c r="D233" s="23"/>
      <c r="E233" s="23"/>
    </row>
    <row r="234" spans="1:5" ht="15" customHeight="1" x14ac:dyDescent="0.25">
      <c r="A234" s="23" t="str">
        <f>IF(מלאי!D237&lt;&gt;"",מלאי!D237,"")</f>
        <v/>
      </c>
      <c r="B234" s="23" t="str">
        <f>IF(מלאי!D237&lt;&gt;"",מלאי!B237&amp;IF(מלאי!C237&lt;&gt;""," ("&amp;מלאי!C237&amp;")",""),"")</f>
        <v/>
      </c>
      <c r="C234" s="23" t="str">
        <f>IFERROR(INDEX(הגדרות!$S$2:$S$50,MATCH(מלאי!B237,הגדרות!$R$2:$R$50,0)),"")</f>
        <v/>
      </c>
      <c r="D234" s="23"/>
      <c r="E234" s="23"/>
    </row>
    <row r="235" spans="1:5" ht="15" customHeight="1" x14ac:dyDescent="0.25">
      <c r="A235" s="23" t="str">
        <f>IF(מלאי!D238&lt;&gt;"",מלאי!D238,"")</f>
        <v/>
      </c>
      <c r="B235" s="23" t="str">
        <f>IF(מלאי!D238&lt;&gt;"",מלאי!B238&amp;IF(מלאי!C238&lt;&gt;""," ("&amp;מלאי!C238&amp;")",""),"")</f>
        <v/>
      </c>
      <c r="C235" s="23" t="str">
        <f>IFERROR(INDEX(הגדרות!$S$2:$S$50,MATCH(מלאי!B238,הגדרות!$R$2:$R$50,0)),"")</f>
        <v/>
      </c>
      <c r="D235" s="23"/>
      <c r="E235" s="23"/>
    </row>
    <row r="236" spans="1:5" ht="15" customHeight="1" x14ac:dyDescent="0.25">
      <c r="A236" s="23" t="str">
        <f>IF(מלאי!D239&lt;&gt;"",מלאי!D239,"")</f>
        <v/>
      </c>
      <c r="B236" s="23" t="str">
        <f>IF(מלאי!D239&lt;&gt;"",מלאי!B239&amp;IF(מלאי!C239&lt;&gt;""," ("&amp;מלאי!C239&amp;")",""),"")</f>
        <v/>
      </c>
      <c r="C236" s="23" t="str">
        <f>IFERROR(INDEX(הגדרות!$S$2:$S$50,MATCH(מלאי!B239,הגדרות!$R$2:$R$50,0)),"")</f>
        <v/>
      </c>
      <c r="D236" s="23"/>
      <c r="E236" s="23"/>
    </row>
    <row r="237" spans="1:5" ht="15" customHeight="1" x14ac:dyDescent="0.25">
      <c r="A237" s="23" t="str">
        <f>IF(מלאי!D240&lt;&gt;"",מלאי!D240,"")</f>
        <v/>
      </c>
      <c r="B237" s="23" t="str">
        <f>IF(מלאי!D240&lt;&gt;"",מלאי!B240&amp;IF(מלאי!C240&lt;&gt;""," ("&amp;מלאי!C240&amp;")",""),"")</f>
        <v/>
      </c>
      <c r="C237" s="23" t="str">
        <f>IFERROR(INDEX(הגדרות!$S$2:$S$50,MATCH(מלאי!B240,הגדרות!$R$2:$R$50,0)),"")</f>
        <v/>
      </c>
      <c r="D237" s="23"/>
      <c r="E237" s="23"/>
    </row>
    <row r="238" spans="1:5" ht="15" customHeight="1" x14ac:dyDescent="0.25">
      <c r="A238" s="23" t="str">
        <f>IF(מלאי!D241&lt;&gt;"",מלאי!D241,"")</f>
        <v/>
      </c>
      <c r="B238" s="23" t="str">
        <f>IF(מלאי!D241&lt;&gt;"",מלאי!B241&amp;IF(מלאי!C241&lt;&gt;""," ("&amp;מלאי!C241&amp;")",""),"")</f>
        <v/>
      </c>
      <c r="C238" s="23" t="str">
        <f>IFERROR(INDEX(הגדרות!$S$2:$S$50,MATCH(מלאי!B241,הגדרות!$R$2:$R$50,0)),"")</f>
        <v/>
      </c>
      <c r="D238" s="23"/>
      <c r="E238" s="23"/>
    </row>
    <row r="239" spans="1:5" ht="15" customHeight="1" x14ac:dyDescent="0.25">
      <c r="A239" s="23" t="str">
        <f>IF(מלאי!D242&lt;&gt;"",מלאי!D242,"")</f>
        <v/>
      </c>
      <c r="B239" s="23" t="str">
        <f>IF(מלאי!D242&lt;&gt;"",מלאי!B242&amp;IF(מלאי!C242&lt;&gt;""," ("&amp;מלאי!C242&amp;")",""),"")</f>
        <v/>
      </c>
      <c r="C239" s="23" t="str">
        <f>IFERROR(INDEX(הגדרות!$S$2:$S$50,MATCH(מלאי!B242,הגדרות!$R$2:$R$50,0)),"")</f>
        <v/>
      </c>
      <c r="D239" s="23"/>
      <c r="E239" s="23"/>
    </row>
    <row r="240" spans="1:5" ht="15" customHeight="1" x14ac:dyDescent="0.25">
      <c r="A240" s="23" t="str">
        <f>IF(מלאי!D243&lt;&gt;"",מלאי!D243,"")</f>
        <v/>
      </c>
      <c r="B240" s="23" t="str">
        <f>IF(מלאי!D243&lt;&gt;"",מלאי!B243&amp;IF(מלאי!C243&lt;&gt;""," ("&amp;מלאי!C243&amp;")",""),"")</f>
        <v/>
      </c>
      <c r="C240" s="23" t="str">
        <f>IFERROR(INDEX(הגדרות!$S$2:$S$50,MATCH(מלאי!B243,הגדרות!$R$2:$R$50,0)),"")</f>
        <v/>
      </c>
      <c r="D240" s="23"/>
      <c r="E240" s="23"/>
    </row>
    <row r="241" spans="1:5" ht="15" customHeight="1" x14ac:dyDescent="0.25">
      <c r="A241" s="23" t="str">
        <f>IF(מלאי!D244&lt;&gt;"",מלאי!D244,"")</f>
        <v/>
      </c>
      <c r="B241" s="23" t="str">
        <f>IF(מלאי!D244&lt;&gt;"",מלאי!B244&amp;IF(מלאי!C244&lt;&gt;""," ("&amp;מלאי!C244&amp;")",""),"")</f>
        <v/>
      </c>
      <c r="C241" s="23" t="str">
        <f>IFERROR(INDEX(הגדרות!$S$2:$S$50,MATCH(מלאי!B244,הגדרות!$R$2:$R$50,0)),"")</f>
        <v/>
      </c>
      <c r="D241" s="23"/>
      <c r="E241" s="23"/>
    </row>
    <row r="242" spans="1:5" ht="15" customHeight="1" x14ac:dyDescent="0.25">
      <c r="A242" s="23" t="str">
        <f>IF(מלאי!D245&lt;&gt;"",מלאי!D245,"")</f>
        <v/>
      </c>
      <c r="B242" s="23" t="str">
        <f>IF(מלאי!D245&lt;&gt;"",מלאי!B245&amp;IF(מלאי!C245&lt;&gt;""," ("&amp;מלאי!C245&amp;")",""),"")</f>
        <v/>
      </c>
      <c r="C242" s="23" t="str">
        <f>IFERROR(INDEX(הגדרות!$S$2:$S$50,MATCH(מלאי!B245,הגדרות!$R$2:$R$50,0)),"")</f>
        <v/>
      </c>
      <c r="D242" s="23"/>
      <c r="E242" s="23"/>
    </row>
    <row r="243" spans="1:5" ht="15" customHeight="1" x14ac:dyDescent="0.25">
      <c r="A243" s="23" t="str">
        <f>IF(מלאי!D246&lt;&gt;"",מלאי!D246,"")</f>
        <v/>
      </c>
      <c r="B243" s="23" t="str">
        <f>IF(מלאי!D246&lt;&gt;"",מלאי!B246&amp;IF(מלאי!C246&lt;&gt;""," ("&amp;מלאי!C246&amp;")",""),"")</f>
        <v/>
      </c>
      <c r="C243" s="23" t="str">
        <f>IFERROR(INDEX(הגדרות!$S$2:$S$50,MATCH(מלאי!B246,הגדרות!$R$2:$R$50,0)),"")</f>
        <v/>
      </c>
      <c r="D243" s="23"/>
      <c r="E243" s="23"/>
    </row>
    <row r="244" spans="1:5" ht="15" customHeight="1" x14ac:dyDescent="0.25">
      <c r="A244" s="23" t="str">
        <f>IF(מלאי!D247&lt;&gt;"",מלאי!D247,"")</f>
        <v/>
      </c>
      <c r="B244" s="23" t="str">
        <f>IF(מלאי!D247&lt;&gt;"",מלאי!B247&amp;IF(מלאי!C247&lt;&gt;""," ("&amp;מלאי!C247&amp;")",""),"")</f>
        <v/>
      </c>
      <c r="C244" s="23" t="str">
        <f>IFERROR(INDEX(הגדרות!$S$2:$S$50,MATCH(מלאי!B247,הגדרות!$R$2:$R$50,0)),"")</f>
        <v/>
      </c>
      <c r="D244" s="23"/>
      <c r="E244" s="23"/>
    </row>
    <row r="245" spans="1:5" ht="15" customHeight="1" x14ac:dyDescent="0.25">
      <c r="A245" s="23" t="str">
        <f>IF(מלאי!D248&lt;&gt;"",מלאי!D248,"")</f>
        <v/>
      </c>
      <c r="B245" s="23" t="str">
        <f>IF(מלאי!D248&lt;&gt;"",מלאי!B248&amp;IF(מלאי!C248&lt;&gt;""," ("&amp;מלאי!C248&amp;")",""),"")</f>
        <v/>
      </c>
      <c r="C245" s="23" t="str">
        <f>IFERROR(INDEX(הגדרות!$S$2:$S$50,MATCH(מלאי!B248,הגדרות!$R$2:$R$50,0)),"")</f>
        <v/>
      </c>
      <c r="D245" s="23"/>
      <c r="E245" s="23"/>
    </row>
    <row r="246" spans="1:5" ht="15" customHeight="1" x14ac:dyDescent="0.25">
      <c r="A246" s="23" t="str">
        <f>IF(מלאי!D249&lt;&gt;"",מלאי!D249,"")</f>
        <v/>
      </c>
      <c r="B246" s="23" t="str">
        <f>IF(מלאי!D249&lt;&gt;"",מלאי!B249&amp;IF(מלאי!C249&lt;&gt;""," ("&amp;מלאי!C249&amp;")",""),"")</f>
        <v/>
      </c>
      <c r="C246" s="23" t="str">
        <f>IFERROR(INDEX(הגדרות!$S$2:$S$50,MATCH(מלאי!B249,הגדרות!$R$2:$R$50,0)),"")</f>
        <v/>
      </c>
      <c r="D246" s="23"/>
      <c r="E246" s="23"/>
    </row>
    <row r="247" spans="1:5" ht="15" customHeight="1" x14ac:dyDescent="0.25">
      <c r="A247" s="23" t="str">
        <f>IF(מלאי!D250&lt;&gt;"",מלאי!D250,"")</f>
        <v/>
      </c>
      <c r="B247" s="23" t="str">
        <f>IF(מלאי!D250&lt;&gt;"",מלאי!B250&amp;IF(מלאי!C250&lt;&gt;""," ("&amp;מלאי!C250&amp;")",""),"")</f>
        <v/>
      </c>
      <c r="C247" s="23" t="str">
        <f>IFERROR(INDEX(הגדרות!$S$2:$S$50,MATCH(מלאי!B250,הגדרות!$R$2:$R$50,0)),"")</f>
        <v/>
      </c>
      <c r="D247" s="23"/>
      <c r="E247" s="23"/>
    </row>
    <row r="248" spans="1:5" ht="15" customHeight="1" x14ac:dyDescent="0.25">
      <c r="A248" s="23" t="str">
        <f>IF(מלאי!D251&lt;&gt;"",מלאי!D251,"")</f>
        <v/>
      </c>
      <c r="B248" s="23" t="str">
        <f>IF(מלאי!D251&lt;&gt;"",מלאי!B251&amp;IF(מלאי!C251&lt;&gt;""," ("&amp;מלאי!C251&amp;")",""),"")</f>
        <v/>
      </c>
      <c r="C248" s="23" t="str">
        <f>IFERROR(INDEX(הגדרות!$S$2:$S$50,MATCH(מלאי!B251,הגדרות!$R$2:$R$50,0)),"")</f>
        <v/>
      </c>
      <c r="D248" s="23"/>
      <c r="E248" s="23"/>
    </row>
    <row r="249" spans="1:5" ht="15" customHeight="1" x14ac:dyDescent="0.25">
      <c r="A249" s="23" t="str">
        <f>IF(מלאי!D252&lt;&gt;"",מלאי!D252,"")</f>
        <v/>
      </c>
      <c r="B249" s="23" t="str">
        <f>IF(מלאי!D252&lt;&gt;"",מלאי!B252&amp;IF(מלאי!C252&lt;&gt;""," ("&amp;מלאי!C252&amp;")",""),"")</f>
        <v/>
      </c>
      <c r="C249" s="23" t="str">
        <f>IFERROR(INDEX(הגדרות!$S$2:$S$50,MATCH(מלאי!B252,הגדרות!$R$2:$R$50,0)),"")</f>
        <v/>
      </c>
      <c r="D249" s="23"/>
      <c r="E249" s="23"/>
    </row>
    <row r="250" spans="1:5" ht="15" customHeight="1" x14ac:dyDescent="0.25">
      <c r="A250" s="23" t="str">
        <f>IF(מלאי!D253&lt;&gt;"",מלאי!D253,"")</f>
        <v/>
      </c>
      <c r="B250" s="23" t="str">
        <f>IF(מלאי!D253&lt;&gt;"",מלאי!B253&amp;IF(מלאי!C253&lt;&gt;""," ("&amp;מלאי!C253&amp;")",""),"")</f>
        <v/>
      </c>
      <c r="C250" s="23" t="str">
        <f>IFERROR(INDEX(הגדרות!$S$2:$S$50,MATCH(מלאי!B253,הגדרות!$R$2:$R$50,0)),"")</f>
        <v/>
      </c>
      <c r="D250" s="23"/>
      <c r="E250" s="23"/>
    </row>
    <row r="251" spans="1:5" ht="15" customHeight="1" x14ac:dyDescent="0.25">
      <c r="A251" s="23" t="str">
        <f>IF(מלאי!D254&lt;&gt;"",מלאי!D254,"")</f>
        <v/>
      </c>
      <c r="B251" s="23" t="str">
        <f>IF(מלאי!D254&lt;&gt;"",מלאי!B254&amp;IF(מלאי!C254&lt;&gt;""," ("&amp;מלאי!C254&amp;")",""),"")</f>
        <v/>
      </c>
      <c r="C251" s="23" t="str">
        <f>IFERROR(INDEX(הגדרות!$S$2:$S$50,MATCH(מלאי!B254,הגדרות!$R$2:$R$50,0)),"")</f>
        <v/>
      </c>
      <c r="D251" s="23"/>
      <c r="E251" s="23"/>
    </row>
    <row r="252" spans="1:5" ht="15" customHeight="1" x14ac:dyDescent="0.25">
      <c r="A252" s="23" t="str">
        <f>IF(מלאי!D255&lt;&gt;"",מלאי!D255,"")</f>
        <v/>
      </c>
      <c r="B252" s="23" t="str">
        <f>IF(מלאי!D255&lt;&gt;"",מלאי!B255&amp;IF(מלאי!C255&lt;&gt;""," ("&amp;מלאי!C255&amp;")",""),"")</f>
        <v/>
      </c>
      <c r="C252" s="23" t="str">
        <f>IFERROR(INDEX(הגדרות!$S$2:$S$50,MATCH(מלאי!B255,הגדרות!$R$2:$R$50,0)),"")</f>
        <v/>
      </c>
      <c r="D252" s="23"/>
      <c r="E252" s="23"/>
    </row>
    <row r="253" spans="1:5" ht="15" customHeight="1" x14ac:dyDescent="0.25">
      <c r="A253" s="23" t="str">
        <f>IF(מלאי!D256&lt;&gt;"",מלאי!D256,"")</f>
        <v/>
      </c>
      <c r="B253" s="23" t="str">
        <f>IF(מלאי!D256&lt;&gt;"",מלאי!B256&amp;IF(מלאי!C256&lt;&gt;""," ("&amp;מלאי!C256&amp;")",""),"")</f>
        <v/>
      </c>
      <c r="C253" s="23" t="str">
        <f>IFERROR(INDEX(הגדרות!$S$2:$S$50,MATCH(מלאי!B256,הגדרות!$R$2:$R$50,0)),"")</f>
        <v/>
      </c>
      <c r="D253" s="23"/>
      <c r="E253" s="23"/>
    </row>
    <row r="254" spans="1:5" ht="15" customHeight="1" x14ac:dyDescent="0.25">
      <c r="A254" s="23" t="str">
        <f>IF(מלאי!D257&lt;&gt;"",מלאי!D257,"")</f>
        <v/>
      </c>
      <c r="B254" s="23" t="str">
        <f>IF(מלאי!D257&lt;&gt;"",מלאי!B257&amp;IF(מלאי!C257&lt;&gt;""," ("&amp;מלאי!C257&amp;")",""),"")</f>
        <v/>
      </c>
      <c r="C254" s="23" t="str">
        <f>IFERROR(INDEX(הגדרות!$S$2:$S$50,MATCH(מלאי!B257,הגדרות!$R$2:$R$50,0)),"")</f>
        <v/>
      </c>
      <c r="D254" s="23"/>
      <c r="E254" s="23"/>
    </row>
    <row r="255" spans="1:5" ht="15" customHeight="1" x14ac:dyDescent="0.25">
      <c r="A255" s="23" t="str">
        <f>IF(מלאי!D258&lt;&gt;"",מלאי!D258,"")</f>
        <v/>
      </c>
      <c r="B255" s="23" t="str">
        <f>IF(מלאי!D258&lt;&gt;"",מלאי!B258&amp;IF(מלאי!C258&lt;&gt;""," ("&amp;מלאי!C258&amp;")",""),"")</f>
        <v/>
      </c>
      <c r="C255" s="23" t="str">
        <f>IFERROR(INDEX(הגדרות!$S$2:$S$50,MATCH(מלאי!B258,הגדרות!$R$2:$R$50,0)),"")</f>
        <v/>
      </c>
      <c r="D255" s="23"/>
      <c r="E255" s="23"/>
    </row>
    <row r="256" spans="1:5" ht="15" customHeight="1" x14ac:dyDescent="0.25">
      <c r="A256" s="23" t="str">
        <f>IF(מלאי!D259&lt;&gt;"",מלאי!D259,"")</f>
        <v/>
      </c>
      <c r="B256" s="23" t="str">
        <f>IF(מלאי!D259&lt;&gt;"",מלאי!B259&amp;IF(מלאי!C259&lt;&gt;""," ("&amp;מלאי!C259&amp;")",""),"")</f>
        <v/>
      </c>
      <c r="C256" s="23" t="str">
        <f>IFERROR(INDEX(הגדרות!$S$2:$S$50,MATCH(מלאי!B259,הגדרות!$R$2:$R$50,0)),"")</f>
        <v/>
      </c>
      <c r="D256" s="23"/>
      <c r="E256" s="23"/>
    </row>
    <row r="257" spans="1:5" ht="15" customHeight="1" x14ac:dyDescent="0.25">
      <c r="A257" s="23" t="str">
        <f>IF(מלאי!D260&lt;&gt;"",מלאי!D260,"")</f>
        <v/>
      </c>
      <c r="B257" s="23" t="str">
        <f>IF(מלאי!D260&lt;&gt;"",מלאי!B260&amp;IF(מלאי!C260&lt;&gt;""," ("&amp;מלאי!C260&amp;")",""),"")</f>
        <v/>
      </c>
      <c r="C257" s="23" t="str">
        <f>IFERROR(INDEX(הגדרות!$S$2:$S$50,MATCH(מלאי!B260,הגדרות!$R$2:$R$50,0)),"")</f>
        <v/>
      </c>
      <c r="D257" s="23"/>
      <c r="E257" s="23"/>
    </row>
    <row r="258" spans="1:5" ht="15" customHeight="1" x14ac:dyDescent="0.25">
      <c r="A258" s="23" t="str">
        <f>IF(מלאי!D261&lt;&gt;"",מלאי!D261,"")</f>
        <v/>
      </c>
      <c r="B258" s="23" t="str">
        <f>IF(מלאי!D261&lt;&gt;"",מלאי!B261&amp;IF(מלאי!C261&lt;&gt;""," ("&amp;מלאי!C261&amp;")",""),"")</f>
        <v/>
      </c>
      <c r="C258" s="23" t="str">
        <f>IFERROR(INDEX(הגדרות!$S$2:$S$50,MATCH(מלאי!B261,הגדרות!$R$2:$R$50,0)),"")</f>
        <v/>
      </c>
      <c r="D258" s="23"/>
      <c r="E258" s="23"/>
    </row>
    <row r="259" spans="1:5" ht="15" customHeight="1" x14ac:dyDescent="0.25">
      <c r="A259" s="23" t="str">
        <f>IF(מלאי!D262&lt;&gt;"",מלאי!D262,"")</f>
        <v/>
      </c>
      <c r="B259" s="23" t="str">
        <f>IF(מלאי!D262&lt;&gt;"",מלאי!B262&amp;IF(מלאי!C262&lt;&gt;""," ("&amp;מלאי!C262&amp;")",""),"")</f>
        <v/>
      </c>
      <c r="C259" s="23" t="str">
        <f>IFERROR(INDEX(הגדרות!$S$2:$S$50,MATCH(מלאי!B262,הגדרות!$R$2:$R$50,0)),"")</f>
        <v/>
      </c>
      <c r="D259" s="23"/>
      <c r="E259" s="23"/>
    </row>
    <row r="260" spans="1:5" ht="15" customHeight="1" x14ac:dyDescent="0.25">
      <c r="A260" s="23" t="str">
        <f>IF(מלאי!D263&lt;&gt;"",מלאי!D263,"")</f>
        <v/>
      </c>
      <c r="B260" s="23" t="str">
        <f>IF(מלאי!D263&lt;&gt;"",מלאי!B263&amp;IF(מלאי!C263&lt;&gt;""," ("&amp;מלאי!C263&amp;")",""),"")</f>
        <v/>
      </c>
      <c r="C260" s="23" t="str">
        <f>IFERROR(INDEX(הגדרות!$S$2:$S$50,MATCH(מלאי!B263,הגדרות!$R$2:$R$50,0)),"")</f>
        <v/>
      </c>
      <c r="D260" s="23"/>
      <c r="E260" s="23"/>
    </row>
    <row r="261" spans="1:5" ht="15" customHeight="1" x14ac:dyDescent="0.25">
      <c r="A261" s="23" t="str">
        <f>IF(מלאי!D264&lt;&gt;"",מלאי!D264,"")</f>
        <v/>
      </c>
      <c r="B261" s="23" t="str">
        <f>IF(מלאי!D264&lt;&gt;"",מלאי!B264&amp;IF(מלאי!C264&lt;&gt;""," ("&amp;מלאי!C264&amp;")",""),"")</f>
        <v/>
      </c>
      <c r="C261" s="23" t="str">
        <f>IFERROR(INDEX(הגדרות!$S$2:$S$50,MATCH(מלאי!B264,הגדרות!$R$2:$R$50,0)),"")</f>
        <v/>
      </c>
      <c r="D261" s="23"/>
      <c r="E261" s="23"/>
    </row>
    <row r="262" spans="1:5" ht="15" customHeight="1" x14ac:dyDescent="0.25">
      <c r="A262" s="23" t="str">
        <f>IF(מלאי!D265&lt;&gt;"",מלאי!D265,"")</f>
        <v/>
      </c>
      <c r="B262" s="23" t="str">
        <f>IF(מלאי!D265&lt;&gt;"",מלאי!B265&amp;IF(מלאי!C265&lt;&gt;""," ("&amp;מלאי!C265&amp;")",""),"")</f>
        <v/>
      </c>
      <c r="C262" s="23" t="str">
        <f>IFERROR(INDEX(הגדרות!$S$2:$S$50,MATCH(מלאי!B265,הגדרות!$R$2:$R$50,0)),"")</f>
        <v/>
      </c>
      <c r="D262" s="23"/>
      <c r="E262" s="23"/>
    </row>
    <row r="263" spans="1:5" ht="15" customHeight="1" x14ac:dyDescent="0.25">
      <c r="A263" s="23" t="str">
        <f>IF(מלאי!D266&lt;&gt;"",מלאי!D266,"")</f>
        <v/>
      </c>
      <c r="B263" s="23" t="str">
        <f>IF(מלאי!D266&lt;&gt;"",מלאי!B266&amp;IF(מלאי!C266&lt;&gt;""," ("&amp;מלאי!C266&amp;")",""),"")</f>
        <v/>
      </c>
      <c r="C263" s="23" t="str">
        <f>IFERROR(INDEX(הגדרות!$S$2:$S$50,MATCH(מלאי!B266,הגדרות!$R$2:$R$50,0)),"")</f>
        <v/>
      </c>
      <c r="D263" s="23"/>
      <c r="E263" s="23"/>
    </row>
    <row r="264" spans="1:5" ht="15" customHeight="1" x14ac:dyDescent="0.25">
      <c r="A264" s="23" t="str">
        <f>IF(מלאי!D267&lt;&gt;"",מלאי!D267,"")</f>
        <v/>
      </c>
      <c r="B264" s="23" t="str">
        <f>IF(מלאי!D267&lt;&gt;"",מלאי!B267&amp;IF(מלאי!C267&lt;&gt;""," ("&amp;מלאי!C267&amp;")",""),"")</f>
        <v/>
      </c>
      <c r="C264" s="23" t="str">
        <f>IFERROR(INDEX(הגדרות!$S$2:$S$50,MATCH(מלאי!B267,הגדרות!$R$2:$R$50,0)),"")</f>
        <v/>
      </c>
      <c r="D264" s="23"/>
      <c r="E264" s="23"/>
    </row>
    <row r="265" spans="1:5" ht="15" customHeight="1" x14ac:dyDescent="0.25">
      <c r="A265" s="23" t="str">
        <f>IF(מלאי!D268&lt;&gt;"",מלאי!D268,"")</f>
        <v/>
      </c>
      <c r="B265" s="23" t="str">
        <f>IF(מלאי!D268&lt;&gt;"",מלאי!B268&amp;IF(מלאי!C268&lt;&gt;""," ("&amp;מלאי!C268&amp;")",""),"")</f>
        <v/>
      </c>
      <c r="C265" s="23" t="str">
        <f>IFERROR(INDEX(הגדרות!$S$2:$S$50,MATCH(מלאי!B268,הגדרות!$R$2:$R$50,0)),"")</f>
        <v/>
      </c>
      <c r="D265" s="23"/>
      <c r="E265" s="23"/>
    </row>
    <row r="266" spans="1:5" ht="15" customHeight="1" x14ac:dyDescent="0.25">
      <c r="A266" s="23" t="str">
        <f>IF(מלאי!D269&lt;&gt;"",מלאי!D269,"")</f>
        <v/>
      </c>
      <c r="B266" s="23" t="str">
        <f>IF(מלאי!D269&lt;&gt;"",מלאי!B269&amp;IF(מלאי!C269&lt;&gt;""," ("&amp;מלאי!C269&amp;")",""),"")</f>
        <v/>
      </c>
      <c r="C266" s="23" t="str">
        <f>IFERROR(INDEX(הגדרות!$S$2:$S$50,MATCH(מלאי!B269,הגדרות!$R$2:$R$50,0)),"")</f>
        <v/>
      </c>
      <c r="D266" s="23"/>
      <c r="E266" s="23"/>
    </row>
    <row r="267" spans="1:5" ht="15" customHeight="1" x14ac:dyDescent="0.25">
      <c r="A267" s="23" t="str">
        <f>IF(מלאי!D270&lt;&gt;"",מלאי!D270,"")</f>
        <v/>
      </c>
      <c r="B267" s="23" t="str">
        <f>IF(מלאי!D270&lt;&gt;"",מלאי!B270&amp;IF(מלאי!C270&lt;&gt;""," ("&amp;מלאי!C270&amp;")",""),"")</f>
        <v/>
      </c>
      <c r="C267" s="23" t="str">
        <f>IFERROR(INDEX(הגדרות!$S$2:$S$50,MATCH(מלאי!B270,הגדרות!$R$2:$R$50,0)),"")</f>
        <v/>
      </c>
      <c r="D267" s="23"/>
      <c r="E267" s="23"/>
    </row>
    <row r="268" spans="1:5" ht="15" customHeight="1" x14ac:dyDescent="0.25">
      <c r="A268" s="23" t="str">
        <f>IF(מלאי!D271&lt;&gt;"",מלאי!D271,"")</f>
        <v/>
      </c>
      <c r="B268" s="23" t="str">
        <f>IF(מלאי!D271&lt;&gt;"",מלאי!B271&amp;IF(מלאי!C271&lt;&gt;""," ("&amp;מלאי!C271&amp;")",""),"")</f>
        <v/>
      </c>
      <c r="C268" s="23" t="str">
        <f>IFERROR(INDEX(הגדרות!$S$2:$S$50,MATCH(מלאי!B271,הגדרות!$R$2:$R$50,0)),"")</f>
        <v/>
      </c>
      <c r="D268" s="23"/>
      <c r="E268" s="23"/>
    </row>
    <row r="269" spans="1:5" ht="15" customHeight="1" x14ac:dyDescent="0.25">
      <c r="A269" s="23" t="str">
        <f>IF(מלאי!D272&lt;&gt;"",מלאי!D272,"")</f>
        <v/>
      </c>
      <c r="B269" s="23" t="str">
        <f>IF(מלאי!D272&lt;&gt;"",מלאי!B272&amp;IF(מלאי!C272&lt;&gt;""," ("&amp;מלאי!C272&amp;")",""),"")</f>
        <v/>
      </c>
      <c r="C269" s="23" t="str">
        <f>IFERROR(INDEX(הגדרות!$S$2:$S$50,MATCH(מלאי!B272,הגדרות!$R$2:$R$50,0)),"")</f>
        <v/>
      </c>
      <c r="D269" s="23"/>
      <c r="E269" s="23"/>
    </row>
    <row r="270" spans="1:5" ht="15" customHeight="1" x14ac:dyDescent="0.25">
      <c r="A270" s="23" t="str">
        <f>IF(מלאי!D273&lt;&gt;"",מלאי!D273,"")</f>
        <v/>
      </c>
      <c r="B270" s="23" t="str">
        <f>IF(מלאי!D273&lt;&gt;"",מלאי!B273&amp;IF(מלאי!C273&lt;&gt;""," ("&amp;מלאי!C273&amp;")",""),"")</f>
        <v/>
      </c>
      <c r="C270" s="23" t="str">
        <f>IFERROR(INDEX(הגדרות!$S$2:$S$50,MATCH(מלאי!B273,הגדרות!$R$2:$R$50,0)),"")</f>
        <v/>
      </c>
      <c r="D270" s="23"/>
      <c r="E270" s="23"/>
    </row>
    <row r="271" spans="1:5" ht="15" customHeight="1" x14ac:dyDescent="0.25">
      <c r="A271" s="23" t="str">
        <f>IF(מלאי!D274&lt;&gt;"",מלאי!D274,"")</f>
        <v/>
      </c>
      <c r="B271" s="23" t="str">
        <f>IF(מלאי!D274&lt;&gt;"",מלאי!B274&amp;IF(מלאי!C274&lt;&gt;""," ("&amp;מלאי!C274&amp;")",""),"")</f>
        <v/>
      </c>
      <c r="C271" s="23" t="str">
        <f>IFERROR(INDEX(הגדרות!$S$2:$S$50,MATCH(מלאי!B274,הגדרות!$R$2:$R$50,0)),"")</f>
        <v/>
      </c>
      <c r="D271" s="23"/>
      <c r="E271" s="23"/>
    </row>
    <row r="272" spans="1:5" ht="15" customHeight="1" x14ac:dyDescent="0.25">
      <c r="A272" s="23" t="str">
        <f>IF(מלאי!D275&lt;&gt;"",מלאי!D275,"")</f>
        <v/>
      </c>
      <c r="B272" s="23" t="str">
        <f>IF(מלאי!D275&lt;&gt;"",מלאי!B275&amp;IF(מלאי!C275&lt;&gt;""," ("&amp;מלאי!C275&amp;")",""),"")</f>
        <v/>
      </c>
      <c r="C272" s="23" t="str">
        <f>IFERROR(INDEX(הגדרות!$S$2:$S$50,MATCH(מלאי!B275,הגדרות!$R$2:$R$50,0)),"")</f>
        <v/>
      </c>
      <c r="D272" s="23"/>
      <c r="E272" s="23"/>
    </row>
    <row r="273" spans="1:5" ht="15" customHeight="1" x14ac:dyDescent="0.25">
      <c r="A273" s="23" t="str">
        <f>IF(מלאי!D276&lt;&gt;"",מלאי!D276,"")</f>
        <v/>
      </c>
      <c r="B273" s="23" t="str">
        <f>IF(מלאי!D276&lt;&gt;"",מלאי!B276&amp;IF(מלאי!C276&lt;&gt;""," ("&amp;מלאי!C276&amp;")",""),"")</f>
        <v/>
      </c>
      <c r="C273" s="23" t="str">
        <f>IFERROR(INDEX(הגדרות!$S$2:$S$50,MATCH(מלאי!B276,הגדרות!$R$2:$R$50,0)),"")</f>
        <v/>
      </c>
      <c r="D273" s="23"/>
      <c r="E273" s="23"/>
    </row>
    <row r="274" spans="1:5" ht="15" customHeight="1" x14ac:dyDescent="0.25">
      <c r="A274" s="23" t="str">
        <f>IF(מלאי!D277&lt;&gt;"",מלאי!D277,"")</f>
        <v/>
      </c>
      <c r="B274" s="23" t="str">
        <f>IF(מלאי!D277&lt;&gt;"",מלאי!B277&amp;IF(מלאי!C277&lt;&gt;""," ("&amp;מלאי!C277&amp;")",""),"")</f>
        <v/>
      </c>
      <c r="C274" s="23" t="str">
        <f>IFERROR(INDEX(הגדרות!$S$2:$S$50,MATCH(מלאי!B277,הגדרות!$R$2:$R$50,0)),"")</f>
        <v/>
      </c>
      <c r="D274" s="23"/>
      <c r="E274" s="23"/>
    </row>
    <row r="275" spans="1:5" ht="15" customHeight="1" x14ac:dyDescent="0.25">
      <c r="A275" s="23" t="str">
        <f>IF(מלאי!D278&lt;&gt;"",מלאי!D278,"")</f>
        <v/>
      </c>
      <c r="B275" s="23" t="str">
        <f>IF(מלאי!D278&lt;&gt;"",מלאי!B278&amp;IF(מלאי!C278&lt;&gt;""," ("&amp;מלאי!C278&amp;")",""),"")</f>
        <v/>
      </c>
      <c r="C275" s="23" t="str">
        <f>IFERROR(INDEX(הגדרות!$S$2:$S$50,MATCH(מלאי!B278,הגדרות!$R$2:$R$50,0)),"")</f>
        <v/>
      </c>
      <c r="D275" s="23"/>
      <c r="E275" s="23"/>
    </row>
    <row r="276" spans="1:5" ht="15" customHeight="1" x14ac:dyDescent="0.25">
      <c r="A276" s="23" t="str">
        <f>IF(מלאי!D279&lt;&gt;"",מלאי!D279,"")</f>
        <v/>
      </c>
      <c r="B276" s="23" t="str">
        <f>IF(מלאי!D279&lt;&gt;"",מלאי!B279&amp;IF(מלאי!C279&lt;&gt;""," ("&amp;מלאי!C279&amp;")",""),"")</f>
        <v/>
      </c>
      <c r="C276" s="23" t="str">
        <f>IFERROR(INDEX(הגדרות!$S$2:$S$50,MATCH(מלאי!B279,הגדרות!$R$2:$R$50,0)),"")</f>
        <v/>
      </c>
      <c r="D276" s="23"/>
      <c r="E276" s="23"/>
    </row>
    <row r="277" spans="1:5" ht="15" customHeight="1" x14ac:dyDescent="0.25">
      <c r="A277" s="23" t="str">
        <f>IF(מלאי!D280&lt;&gt;"",מלאי!D280,"")</f>
        <v/>
      </c>
      <c r="B277" s="23" t="str">
        <f>IF(מלאי!D280&lt;&gt;"",מלאי!B280&amp;IF(מלאי!C280&lt;&gt;""," ("&amp;מלאי!C280&amp;")",""),"")</f>
        <v/>
      </c>
      <c r="C277" s="23" t="str">
        <f>IFERROR(INDEX(הגדרות!$S$2:$S$50,MATCH(מלאי!B280,הגדרות!$R$2:$R$50,0)),"")</f>
        <v/>
      </c>
      <c r="D277" s="23"/>
      <c r="E277" s="23"/>
    </row>
    <row r="278" spans="1:5" ht="15" customHeight="1" x14ac:dyDescent="0.25">
      <c r="A278" s="23" t="str">
        <f>IF(מלאי!D281&lt;&gt;"",מלאי!D281,"")</f>
        <v/>
      </c>
      <c r="B278" s="23" t="str">
        <f>IF(מלאי!D281&lt;&gt;"",מלאי!B281&amp;IF(מלאי!C281&lt;&gt;""," ("&amp;מלאי!C281&amp;")",""),"")</f>
        <v/>
      </c>
      <c r="C278" s="23" t="str">
        <f>IFERROR(INDEX(הגדרות!$S$2:$S$50,MATCH(מלאי!B281,הגדרות!$R$2:$R$50,0)),"")</f>
        <v/>
      </c>
      <c r="D278" s="23"/>
      <c r="E278" s="23"/>
    </row>
    <row r="279" spans="1:5" ht="15" customHeight="1" x14ac:dyDescent="0.25">
      <c r="A279" s="23" t="str">
        <f>IF(מלאי!D282&lt;&gt;"",מלאי!D282,"")</f>
        <v/>
      </c>
      <c r="B279" s="23" t="str">
        <f>IF(מלאי!D282&lt;&gt;"",מלאי!B282&amp;IF(מלאי!C282&lt;&gt;""," ("&amp;מלאי!C282&amp;")",""),"")</f>
        <v/>
      </c>
      <c r="C279" s="23" t="str">
        <f>IFERROR(INDEX(הגדרות!$S$2:$S$50,MATCH(מלאי!B282,הגדרות!$R$2:$R$50,0)),"")</f>
        <v/>
      </c>
      <c r="D279" s="23"/>
      <c r="E279" s="23"/>
    </row>
    <row r="280" spans="1:5" ht="15" customHeight="1" x14ac:dyDescent="0.25">
      <c r="A280" s="23" t="str">
        <f>IF(מלאי!D283&lt;&gt;"",מלאי!D283,"")</f>
        <v/>
      </c>
      <c r="B280" s="23" t="str">
        <f>IF(מלאי!D283&lt;&gt;"",מלאי!B283&amp;IF(מלאי!C283&lt;&gt;""," ("&amp;מלאי!C283&amp;")",""),"")</f>
        <v/>
      </c>
      <c r="C280" s="23" t="str">
        <f>IFERROR(INDEX(הגדרות!$S$2:$S$50,MATCH(מלאי!B283,הגדרות!$R$2:$R$50,0)),"")</f>
        <v/>
      </c>
      <c r="D280" s="23"/>
      <c r="E280" s="23"/>
    </row>
    <row r="281" spans="1:5" ht="15" customHeight="1" x14ac:dyDescent="0.25">
      <c r="A281" s="23" t="str">
        <f>IF(מלאי!D284&lt;&gt;"",מלאי!D284,"")</f>
        <v/>
      </c>
      <c r="B281" s="23" t="str">
        <f>IF(מלאי!D284&lt;&gt;"",מלאי!B284&amp;IF(מלאי!C284&lt;&gt;""," ("&amp;מלאי!C284&amp;")",""),"")</f>
        <v/>
      </c>
      <c r="C281" s="23" t="str">
        <f>IFERROR(INDEX(הגדרות!$S$2:$S$50,MATCH(מלאי!B284,הגדרות!$R$2:$R$50,0)),"")</f>
        <v/>
      </c>
      <c r="D281" s="23"/>
      <c r="E281" s="23"/>
    </row>
    <row r="282" spans="1:5" ht="15" customHeight="1" x14ac:dyDescent="0.25">
      <c r="A282" s="23" t="str">
        <f>IF(מלאי!D285&lt;&gt;"",מלאי!D285,"")</f>
        <v/>
      </c>
      <c r="B282" s="23" t="str">
        <f>IF(מלאי!D285&lt;&gt;"",מלאי!B285&amp;IF(מלאי!C285&lt;&gt;""," ("&amp;מלאי!C285&amp;")",""),"")</f>
        <v/>
      </c>
      <c r="C282" s="23" t="str">
        <f>IFERROR(INDEX(הגדרות!$S$2:$S$50,MATCH(מלאי!B285,הגדרות!$R$2:$R$50,0)),"")</f>
        <v/>
      </c>
      <c r="D282" s="23"/>
      <c r="E282" s="23"/>
    </row>
    <row r="283" spans="1:5" ht="15" customHeight="1" x14ac:dyDescent="0.25">
      <c r="A283" s="23" t="str">
        <f>IF(מלאי!D286&lt;&gt;"",מלאי!D286,"")</f>
        <v/>
      </c>
      <c r="B283" s="23" t="str">
        <f>IF(מלאי!D286&lt;&gt;"",מלאי!B286&amp;IF(מלאי!C286&lt;&gt;""," ("&amp;מלאי!C286&amp;")",""),"")</f>
        <v/>
      </c>
      <c r="C283" s="23" t="str">
        <f>IFERROR(INDEX(הגדרות!$S$2:$S$50,MATCH(מלאי!B286,הגדרות!$R$2:$R$50,0)),"")</f>
        <v/>
      </c>
      <c r="D283" s="23"/>
      <c r="E283" s="23"/>
    </row>
    <row r="284" spans="1:5" ht="15" customHeight="1" x14ac:dyDescent="0.25">
      <c r="A284" s="23" t="str">
        <f>IF(מלאי!D287&lt;&gt;"",מלאי!D287,"")</f>
        <v/>
      </c>
      <c r="B284" s="23" t="str">
        <f>IF(מלאי!D287&lt;&gt;"",מלאי!B287&amp;IF(מלאי!C287&lt;&gt;""," ("&amp;מלאי!C287&amp;")",""),"")</f>
        <v/>
      </c>
      <c r="C284" s="23" t="str">
        <f>IFERROR(INDEX(הגדרות!$S$2:$S$50,MATCH(מלאי!B287,הגדרות!$R$2:$R$50,0)),"")</f>
        <v/>
      </c>
      <c r="D284" s="23"/>
      <c r="E284" s="23"/>
    </row>
    <row r="285" spans="1:5" ht="15" customHeight="1" x14ac:dyDescent="0.25">
      <c r="A285" s="23" t="str">
        <f>IF(מלאי!D288&lt;&gt;"",מלאי!D288,"")</f>
        <v/>
      </c>
      <c r="B285" s="23" t="str">
        <f>IF(מלאי!D288&lt;&gt;"",מלאי!B288&amp;IF(מלאי!C288&lt;&gt;""," ("&amp;מלאי!C288&amp;")",""),"")</f>
        <v/>
      </c>
      <c r="C285" s="23" t="str">
        <f>IFERROR(INDEX(הגדרות!$S$2:$S$50,MATCH(מלאי!B288,הגדרות!$R$2:$R$50,0)),"")</f>
        <v/>
      </c>
      <c r="D285" s="23"/>
      <c r="E285" s="23"/>
    </row>
    <row r="286" spans="1:5" ht="15" customHeight="1" x14ac:dyDescent="0.25">
      <c r="A286" s="23" t="str">
        <f>IF(מלאי!D289&lt;&gt;"",מלאי!D289,"")</f>
        <v/>
      </c>
      <c r="B286" s="23" t="str">
        <f>IF(מלאי!D289&lt;&gt;"",מלאי!B289&amp;IF(מלאי!C289&lt;&gt;""," ("&amp;מלאי!C289&amp;")",""),"")</f>
        <v/>
      </c>
      <c r="C286" s="23" t="str">
        <f>IFERROR(INDEX(הגדרות!$S$2:$S$50,MATCH(מלאי!B289,הגדרות!$R$2:$R$50,0)),"")</f>
        <v/>
      </c>
      <c r="D286" s="23"/>
      <c r="E286" s="23"/>
    </row>
    <row r="287" spans="1:5" ht="15" customHeight="1" x14ac:dyDescent="0.25">
      <c r="A287" s="23" t="str">
        <f>IF(מלאי!D290&lt;&gt;"",מלאי!D290,"")</f>
        <v/>
      </c>
      <c r="B287" s="23" t="str">
        <f>IF(מלאי!D290&lt;&gt;"",מלאי!B290&amp;IF(מלאי!C290&lt;&gt;""," ("&amp;מלאי!C290&amp;")",""),"")</f>
        <v/>
      </c>
      <c r="C287" s="23" t="str">
        <f>IFERROR(INDEX(הגדרות!$S$2:$S$50,MATCH(מלאי!B290,הגדרות!$R$2:$R$50,0)),"")</f>
        <v/>
      </c>
      <c r="D287" s="23"/>
      <c r="E287" s="23"/>
    </row>
    <row r="288" spans="1:5" ht="15" customHeight="1" x14ac:dyDescent="0.25">
      <c r="A288" s="23" t="str">
        <f>IF(מלאי!D291&lt;&gt;"",מלאי!D291,"")</f>
        <v/>
      </c>
      <c r="B288" s="23" t="str">
        <f>IF(מלאי!D291&lt;&gt;"",מלאי!B291&amp;IF(מלאי!C291&lt;&gt;""," ("&amp;מלאי!C291&amp;")",""),"")</f>
        <v/>
      </c>
      <c r="C288" s="23" t="str">
        <f>IFERROR(INDEX(הגדרות!$S$2:$S$50,MATCH(מלאי!B291,הגדרות!$R$2:$R$50,0)),"")</f>
        <v/>
      </c>
      <c r="D288" s="23"/>
      <c r="E288" s="23"/>
    </row>
    <row r="289" spans="1:5" ht="15" customHeight="1" x14ac:dyDescent="0.25">
      <c r="A289" s="23" t="str">
        <f>IF(מלאי!D292&lt;&gt;"",מלאי!D292,"")</f>
        <v/>
      </c>
      <c r="B289" s="23" t="str">
        <f>IF(מלאי!D292&lt;&gt;"",מלאי!B292&amp;IF(מלאי!C292&lt;&gt;""," ("&amp;מלאי!C292&amp;")",""),"")</f>
        <v/>
      </c>
      <c r="C289" s="23" t="str">
        <f>IFERROR(INDEX(הגדרות!$S$2:$S$50,MATCH(מלאי!B292,הגדרות!$R$2:$R$50,0)),"")</f>
        <v/>
      </c>
      <c r="D289" s="23"/>
      <c r="E289" s="23"/>
    </row>
    <row r="290" spans="1:5" ht="15" customHeight="1" x14ac:dyDescent="0.25">
      <c r="A290" s="23" t="str">
        <f>IF(מלאי!D293&lt;&gt;"",מלאי!D293,"")</f>
        <v/>
      </c>
      <c r="B290" s="23" t="str">
        <f>IF(מלאי!D293&lt;&gt;"",מלאי!B293&amp;IF(מלאי!C293&lt;&gt;""," ("&amp;מלאי!C293&amp;")",""),"")</f>
        <v/>
      </c>
      <c r="C290" s="23" t="str">
        <f>IFERROR(INDEX(הגדרות!$S$2:$S$50,MATCH(מלאי!B293,הגדרות!$R$2:$R$50,0)),"")</f>
        <v/>
      </c>
      <c r="D290" s="23"/>
      <c r="E290" s="23"/>
    </row>
    <row r="291" spans="1:5" ht="15" customHeight="1" x14ac:dyDescent="0.25">
      <c r="A291" s="23" t="str">
        <f>IF(מלאי!D294&lt;&gt;"",מלאי!D294,"")</f>
        <v/>
      </c>
      <c r="B291" s="23" t="str">
        <f>IF(מלאי!D294&lt;&gt;"",מלאי!B294&amp;IF(מלאי!C294&lt;&gt;""," ("&amp;מלאי!C294&amp;")",""),"")</f>
        <v/>
      </c>
      <c r="C291" s="23" t="str">
        <f>IFERROR(INDEX(הגדרות!$S$2:$S$50,MATCH(מלאי!B294,הגדרות!$R$2:$R$50,0)),"")</f>
        <v/>
      </c>
      <c r="D291" s="23"/>
      <c r="E291" s="23"/>
    </row>
    <row r="292" spans="1:5" ht="15" customHeight="1" x14ac:dyDescent="0.25">
      <c r="A292" s="23" t="str">
        <f>IF(מלאי!D295&lt;&gt;"",מלאי!D295,"")</f>
        <v/>
      </c>
      <c r="B292" s="23" t="str">
        <f>IF(מלאי!D295&lt;&gt;"",מלאי!B295&amp;IF(מלאי!C295&lt;&gt;""," ("&amp;מלאי!C295&amp;")",""),"")</f>
        <v/>
      </c>
      <c r="C292" s="23" t="str">
        <f>IFERROR(INDEX(הגדרות!$S$2:$S$50,MATCH(מלאי!B295,הגדרות!$R$2:$R$50,0)),"")</f>
        <v/>
      </c>
      <c r="D292" s="23"/>
      <c r="E292" s="23"/>
    </row>
    <row r="293" spans="1:5" ht="15" customHeight="1" x14ac:dyDescent="0.25">
      <c r="A293" s="23" t="str">
        <f>IF(מלאי!D296&lt;&gt;"",מלאי!D296,"")</f>
        <v/>
      </c>
      <c r="B293" s="23" t="str">
        <f>IF(מלאי!D296&lt;&gt;"",מלאי!B296&amp;IF(מלאי!C296&lt;&gt;""," ("&amp;מלאי!C296&amp;")",""),"")</f>
        <v/>
      </c>
      <c r="C293" s="23" t="str">
        <f>IFERROR(INDEX(הגדרות!$S$2:$S$50,MATCH(מלאי!B296,הגדרות!$R$2:$R$50,0)),"")</f>
        <v/>
      </c>
      <c r="D293" s="23"/>
      <c r="E293" s="23"/>
    </row>
    <row r="294" spans="1:5" ht="15" customHeight="1" x14ac:dyDescent="0.25">
      <c r="A294" s="23" t="str">
        <f>IF(מלאי!D297&lt;&gt;"",מלאי!D297,"")</f>
        <v/>
      </c>
      <c r="B294" s="23" t="str">
        <f>IF(מלאי!D297&lt;&gt;"",מלאי!B297&amp;IF(מלאי!C297&lt;&gt;""," ("&amp;מלאי!C297&amp;")",""),"")</f>
        <v/>
      </c>
      <c r="C294" s="23" t="str">
        <f>IFERROR(INDEX(הגדרות!$S$2:$S$50,MATCH(מלאי!B297,הגדרות!$R$2:$R$50,0)),"")</f>
        <v/>
      </c>
      <c r="D294" s="23"/>
      <c r="E294" s="23"/>
    </row>
    <row r="295" spans="1:5" ht="15" customHeight="1" x14ac:dyDescent="0.25">
      <c r="A295" s="23" t="str">
        <f>IF(מלאי!D298&lt;&gt;"",מלאי!D298,"")</f>
        <v/>
      </c>
      <c r="B295" s="23" t="str">
        <f>IF(מלאי!D298&lt;&gt;"",מלאי!B298&amp;IF(מלאי!C298&lt;&gt;""," ("&amp;מלאי!C298&amp;")",""),"")</f>
        <v/>
      </c>
      <c r="C295" s="23" t="str">
        <f>IFERROR(INDEX(הגדרות!$S$2:$S$50,MATCH(מלאי!B298,הגדרות!$R$2:$R$50,0)),"")</f>
        <v/>
      </c>
      <c r="D295" s="23"/>
      <c r="E295" s="23"/>
    </row>
    <row r="296" spans="1:5" ht="15" customHeight="1" x14ac:dyDescent="0.25">
      <c r="A296" s="23" t="str">
        <f>IF(מלאי!D299&lt;&gt;"",מלאי!D299,"")</f>
        <v/>
      </c>
      <c r="B296" s="23" t="str">
        <f>IF(מלאי!D299&lt;&gt;"",מלאי!B299&amp;IF(מלאי!C299&lt;&gt;""," ("&amp;מלאי!C299&amp;")",""),"")</f>
        <v/>
      </c>
      <c r="C296" s="23" t="str">
        <f>IFERROR(INDEX(הגדרות!$S$2:$S$50,MATCH(מלאי!B299,הגדרות!$R$2:$R$50,0)),"")</f>
        <v/>
      </c>
      <c r="D296" s="23"/>
      <c r="E296" s="23"/>
    </row>
    <row r="297" spans="1:5" ht="15" customHeight="1" x14ac:dyDescent="0.25">
      <c r="A297" s="23" t="str">
        <f>IF(מלאי!D300&lt;&gt;"",מלאי!D300,"")</f>
        <v/>
      </c>
      <c r="B297" s="23" t="str">
        <f>IF(מלאי!D300&lt;&gt;"",מלאי!B300&amp;IF(מלאי!C300&lt;&gt;""," ("&amp;מלאי!C300&amp;")",""),"")</f>
        <v/>
      </c>
      <c r="C297" s="23" t="str">
        <f>IFERROR(INDEX(הגדרות!$S$2:$S$50,MATCH(מלאי!B300,הגדרות!$R$2:$R$50,0)),"")</f>
        <v/>
      </c>
      <c r="D297" s="23"/>
      <c r="E297" s="23"/>
    </row>
    <row r="298" spans="1:5" ht="15" customHeight="1" x14ac:dyDescent="0.25">
      <c r="A298" s="23" t="str">
        <f>IF(מלאי!D301&lt;&gt;"",מלאי!D301,"")</f>
        <v/>
      </c>
      <c r="B298" s="23" t="str">
        <f>IF(מלאי!D301&lt;&gt;"",מלאי!B301&amp;IF(מלאי!C301&lt;&gt;""," ("&amp;מלאי!C301&amp;")",""),"")</f>
        <v/>
      </c>
      <c r="C298" s="23" t="str">
        <f>IFERROR(INDEX(הגדרות!$S$2:$S$50,MATCH(מלאי!B301,הגדרות!$R$2:$R$50,0)),"")</f>
        <v/>
      </c>
      <c r="D298" s="23"/>
      <c r="E298" s="23"/>
    </row>
    <row r="299" spans="1:5" ht="15" customHeight="1" x14ac:dyDescent="0.25">
      <c r="A299" s="23" t="str">
        <f>IF(מלאי!D302&lt;&gt;"",מלאי!D302,"")</f>
        <v/>
      </c>
      <c r="B299" s="23" t="str">
        <f>IF(מלאי!D302&lt;&gt;"",מלאי!B302&amp;IF(מלאי!C302&lt;&gt;""," ("&amp;מלאי!C302&amp;")",""),"")</f>
        <v/>
      </c>
      <c r="C299" s="23" t="str">
        <f>IFERROR(INDEX(הגדרות!$S$2:$S$50,MATCH(מלאי!B302,הגדרות!$R$2:$R$50,0)),"")</f>
        <v/>
      </c>
      <c r="D299" s="23"/>
      <c r="E299" s="23"/>
    </row>
    <row r="300" spans="1:5" ht="15" customHeight="1" x14ac:dyDescent="0.25">
      <c r="A300" s="23" t="str">
        <f>IF(מלאי!D303&lt;&gt;"",מלאי!D303,"")</f>
        <v/>
      </c>
      <c r="B300" s="23" t="str">
        <f>IF(מלאי!D303&lt;&gt;"",מלאי!B303&amp;IF(מלאי!C303&lt;&gt;""," ("&amp;מלאי!C303&amp;")",""),"")</f>
        <v/>
      </c>
      <c r="C300" s="23" t="str">
        <f>IFERROR(INDEX(הגדרות!$S$2:$S$50,MATCH(מלאי!B303,הגדרות!$R$2:$R$50,0)),"")</f>
        <v/>
      </c>
      <c r="D300" s="23"/>
      <c r="E300" s="23"/>
    </row>
    <row r="301" spans="1:5" ht="15" customHeight="1" x14ac:dyDescent="0.25">
      <c r="A301" s="23" t="str">
        <f>IF(מלאי!D304&lt;&gt;"",מלאי!D304,"")</f>
        <v/>
      </c>
      <c r="B301" s="23" t="str">
        <f>IF(מלאי!D304&lt;&gt;"",מלאי!B304&amp;IF(מלאי!C304&lt;&gt;""," ("&amp;מלאי!C304&amp;")",""),"")</f>
        <v/>
      </c>
      <c r="C301" s="23" t="str">
        <f>IFERROR(INDEX(הגדרות!$S$2:$S$50,MATCH(מלאי!B304,הגדרות!$R$2:$R$50,0)),"")</f>
        <v/>
      </c>
      <c r="D301" s="23"/>
      <c r="E301" s="23"/>
    </row>
    <row r="302" spans="1:5" ht="15" customHeight="1" x14ac:dyDescent="0.25">
      <c r="A302" s="23" t="str">
        <f>IF(מלאי!D305&lt;&gt;"",מלאי!D305,"")</f>
        <v/>
      </c>
      <c r="B302" s="23" t="str">
        <f>IF(מלאי!D305&lt;&gt;"",מלאי!B305&amp;IF(מלאי!C305&lt;&gt;""," ("&amp;מלאי!C305&amp;")",""),"")</f>
        <v/>
      </c>
      <c r="C302" s="23" t="str">
        <f>IFERROR(INDEX(הגדרות!$S$2:$S$50,MATCH(מלאי!B305,הגדרות!$R$2:$R$50,0)),"")</f>
        <v/>
      </c>
      <c r="D302" s="23"/>
      <c r="E302" s="23"/>
    </row>
    <row r="303" spans="1:5" ht="15" customHeight="1" x14ac:dyDescent="0.25">
      <c r="A303" s="23" t="str">
        <f>IF(מלאי!D306&lt;&gt;"",מלאי!D306,"")</f>
        <v/>
      </c>
      <c r="B303" s="23" t="str">
        <f>IF(מלאי!D306&lt;&gt;"",מלאי!B306&amp;IF(מלאי!C306&lt;&gt;""," ("&amp;מלאי!C306&amp;")",""),"")</f>
        <v/>
      </c>
      <c r="C303" s="23" t="str">
        <f>IFERROR(INDEX(הגדרות!$S$2:$S$50,MATCH(מלאי!B306,הגדרות!$R$2:$R$50,0)),"")</f>
        <v/>
      </c>
      <c r="D303" s="23"/>
      <c r="E303" s="23"/>
    </row>
    <row r="304" spans="1:5" ht="15" customHeight="1" x14ac:dyDescent="0.25">
      <c r="A304" s="23" t="str">
        <f>IF(מלאי!D307&lt;&gt;"",מלאי!D307,"")</f>
        <v/>
      </c>
      <c r="B304" s="23" t="str">
        <f>IF(מלאי!D307&lt;&gt;"",מלאי!B307&amp;IF(מלאי!C307&lt;&gt;""," ("&amp;מלאי!C307&amp;")",""),"")</f>
        <v/>
      </c>
      <c r="C304" s="23" t="str">
        <f>IFERROR(INDEX(הגדרות!$S$2:$S$50,MATCH(מלאי!B307,הגדרות!$R$2:$R$50,0)),"")</f>
        <v/>
      </c>
      <c r="D304" s="23"/>
      <c r="E304" s="23"/>
    </row>
    <row r="305" spans="1:5" ht="15" customHeight="1" x14ac:dyDescent="0.25">
      <c r="A305" s="23" t="str">
        <f>IF(מלאי!D308&lt;&gt;"",מלאי!D308,"")</f>
        <v/>
      </c>
      <c r="B305" s="23" t="str">
        <f>IF(מלאי!D308&lt;&gt;"",מלאי!B308&amp;IF(מלאי!C308&lt;&gt;""," ("&amp;מלאי!C308&amp;")",""),"")</f>
        <v/>
      </c>
      <c r="C305" s="23" t="str">
        <f>IFERROR(INDEX(הגדרות!$S$2:$S$50,MATCH(מלאי!B308,הגדרות!$R$2:$R$50,0)),"")</f>
        <v/>
      </c>
      <c r="D305" s="23"/>
      <c r="E305" s="23"/>
    </row>
    <row r="306" spans="1:5" ht="15" customHeight="1" x14ac:dyDescent="0.25">
      <c r="A306" s="23" t="str">
        <f>IF(מלאי!D309&lt;&gt;"",מלאי!D309,"")</f>
        <v/>
      </c>
      <c r="B306" s="23" t="str">
        <f>IF(מלאי!D309&lt;&gt;"",מלאי!B309&amp;IF(מלאי!C309&lt;&gt;""," ("&amp;מלאי!C309&amp;")",""),"")</f>
        <v/>
      </c>
      <c r="C306" s="23" t="str">
        <f>IFERROR(INDEX(הגדרות!$S$2:$S$50,MATCH(מלאי!B309,הגדרות!$R$2:$R$50,0)),"")</f>
        <v/>
      </c>
      <c r="D306" s="23"/>
      <c r="E306" s="23"/>
    </row>
    <row r="307" spans="1:5" ht="15" customHeight="1" x14ac:dyDescent="0.25">
      <c r="A307" s="23" t="str">
        <f>IF(מלאי!D310&lt;&gt;"",מלאי!D310,"")</f>
        <v/>
      </c>
      <c r="B307" s="23" t="str">
        <f>IF(מלאי!D310&lt;&gt;"",מלאי!B310&amp;IF(מלאי!C310&lt;&gt;""," ("&amp;מלאי!C310&amp;")",""),"")</f>
        <v/>
      </c>
      <c r="C307" s="23" t="str">
        <f>IFERROR(INDEX(הגדרות!$S$2:$S$50,MATCH(מלאי!B310,הגדרות!$R$2:$R$50,0)),"")</f>
        <v/>
      </c>
      <c r="D307" s="23"/>
      <c r="E307" s="23"/>
    </row>
    <row r="308" spans="1:5" ht="15" customHeight="1" x14ac:dyDescent="0.25">
      <c r="A308" s="23" t="str">
        <f>IF(מלאי!D311&lt;&gt;"",מלאי!D311,"")</f>
        <v/>
      </c>
      <c r="B308" s="23" t="str">
        <f>IF(מלאי!D311&lt;&gt;"",מלאי!B311&amp;IF(מלאי!C311&lt;&gt;""," ("&amp;מלאי!C311&amp;")",""),"")</f>
        <v/>
      </c>
      <c r="C308" s="23" t="str">
        <f>IFERROR(INDEX(הגדרות!$S$2:$S$50,MATCH(מלאי!B311,הגדרות!$R$2:$R$50,0)),"")</f>
        <v/>
      </c>
      <c r="D308" s="23"/>
      <c r="E308" s="23"/>
    </row>
    <row r="309" spans="1:5" ht="15" customHeight="1" x14ac:dyDescent="0.25">
      <c r="A309" s="23" t="str">
        <f>IF(מלאי!D312&lt;&gt;"",מלאי!D312,"")</f>
        <v/>
      </c>
      <c r="B309" s="23" t="str">
        <f>IF(מלאי!D312&lt;&gt;"",מלאי!B312&amp;IF(מלאי!C312&lt;&gt;""," ("&amp;מלאי!C312&amp;")",""),"")</f>
        <v/>
      </c>
      <c r="C309" s="23" t="str">
        <f>IFERROR(INDEX(הגדרות!$S$2:$S$50,MATCH(מלאי!B312,הגדרות!$R$2:$R$50,0)),"")</f>
        <v/>
      </c>
      <c r="D309" s="23"/>
      <c r="E309" s="23"/>
    </row>
    <row r="310" spans="1:5" ht="15" customHeight="1" x14ac:dyDescent="0.25">
      <c r="A310" s="23" t="str">
        <f>IF(מלאי!D313&lt;&gt;"",מלאי!D313,"")</f>
        <v/>
      </c>
      <c r="B310" s="23" t="str">
        <f>IF(מלאי!D313&lt;&gt;"",מלאי!B313&amp;IF(מלאי!C313&lt;&gt;""," ("&amp;מלאי!C313&amp;")",""),"")</f>
        <v/>
      </c>
      <c r="C310" s="23" t="str">
        <f>IFERROR(INDEX(הגדרות!$S$2:$S$50,MATCH(מלאי!B313,הגדרות!$R$2:$R$50,0)),"")</f>
        <v/>
      </c>
      <c r="D310" s="23"/>
      <c r="E310" s="23"/>
    </row>
    <row r="311" spans="1:5" ht="15" customHeight="1" x14ac:dyDescent="0.25">
      <c r="A311" s="23" t="str">
        <f>IF(מלאי!D314&lt;&gt;"",מלאי!D314,"")</f>
        <v/>
      </c>
      <c r="B311" s="23" t="str">
        <f>IF(מלאי!D314&lt;&gt;"",מלאי!B314&amp;IF(מלאי!C314&lt;&gt;""," ("&amp;מלאי!C314&amp;")",""),"")</f>
        <v/>
      </c>
      <c r="C311" s="23" t="str">
        <f>IFERROR(INDEX(הגדרות!$S$2:$S$50,MATCH(מלאי!B314,הגדרות!$R$2:$R$50,0)),"")</f>
        <v/>
      </c>
      <c r="D311" s="23"/>
      <c r="E311" s="23"/>
    </row>
    <row r="312" spans="1:5" ht="15" customHeight="1" x14ac:dyDescent="0.25">
      <c r="A312" s="23" t="str">
        <f>IF(מלאי!D315&lt;&gt;"",מלאי!D315,"")</f>
        <v/>
      </c>
      <c r="B312" s="23" t="str">
        <f>IF(מלאי!D315&lt;&gt;"",מלאי!B315&amp;IF(מלאי!C315&lt;&gt;""," ("&amp;מלאי!C315&amp;")",""),"")</f>
        <v/>
      </c>
      <c r="C312" s="23" t="str">
        <f>IFERROR(INDEX(הגדרות!$S$2:$S$50,MATCH(מלאי!B315,הגדרות!$R$2:$R$50,0)),"")</f>
        <v/>
      </c>
      <c r="D312" s="23"/>
      <c r="E312" s="23"/>
    </row>
    <row r="313" spans="1:5" ht="15" customHeight="1" x14ac:dyDescent="0.25">
      <c r="A313" s="23" t="str">
        <f>IF(מלאי!D316&lt;&gt;"",מלאי!D316,"")</f>
        <v/>
      </c>
      <c r="B313" s="23" t="str">
        <f>IF(מלאי!D316&lt;&gt;"",מלאי!B316&amp;IF(מלאי!C316&lt;&gt;""," ("&amp;מלאי!C316&amp;")",""),"")</f>
        <v/>
      </c>
      <c r="C313" s="23" t="str">
        <f>IFERROR(INDEX(הגדרות!$S$2:$S$50,MATCH(מלאי!B316,הגדרות!$R$2:$R$50,0)),"")</f>
        <v/>
      </c>
      <c r="D313" s="23"/>
      <c r="E313" s="23"/>
    </row>
    <row r="314" spans="1:5" ht="15" customHeight="1" x14ac:dyDescent="0.25">
      <c r="A314" s="23" t="str">
        <f>IF(מלאי!D317&lt;&gt;"",מלאי!D317,"")</f>
        <v/>
      </c>
      <c r="B314" s="23" t="str">
        <f>IF(מלאי!D317&lt;&gt;"",מלאי!B317&amp;IF(מלאי!C317&lt;&gt;""," ("&amp;מלאי!C317&amp;")",""),"")</f>
        <v/>
      </c>
      <c r="C314" s="23" t="str">
        <f>IFERROR(INDEX(הגדרות!$S$2:$S$50,MATCH(מלאי!B317,הגדרות!$R$2:$R$50,0)),"")</f>
        <v/>
      </c>
      <c r="D314" s="23"/>
      <c r="E314" s="23"/>
    </row>
    <row r="315" spans="1:5" ht="15" customHeight="1" x14ac:dyDescent="0.25">
      <c r="A315" s="23" t="str">
        <f>IF(מלאי!D318&lt;&gt;"",מלאי!D318,"")</f>
        <v/>
      </c>
      <c r="B315" s="23" t="str">
        <f>IF(מלאי!D318&lt;&gt;"",מלאי!B318&amp;IF(מלאי!C318&lt;&gt;""," ("&amp;מלאי!C318&amp;")",""),"")</f>
        <v/>
      </c>
      <c r="C315" s="23" t="str">
        <f>IFERROR(INDEX(הגדרות!$S$2:$S$50,MATCH(מלאי!B318,הגדרות!$R$2:$R$50,0)),"")</f>
        <v/>
      </c>
      <c r="D315" s="23"/>
      <c r="E315" s="23"/>
    </row>
    <row r="316" spans="1:5" ht="15" customHeight="1" x14ac:dyDescent="0.25">
      <c r="A316" s="23" t="str">
        <f>IF(מלאי!D319&lt;&gt;"",מלאי!D319,"")</f>
        <v/>
      </c>
      <c r="B316" s="23" t="str">
        <f>IF(מלאי!D319&lt;&gt;"",מלאי!B319&amp;IF(מלאי!C319&lt;&gt;""," ("&amp;מלאי!C319&amp;")",""),"")</f>
        <v/>
      </c>
      <c r="C316" s="23" t="str">
        <f>IFERROR(INDEX(הגדרות!$S$2:$S$50,MATCH(מלאי!B319,הגדרות!$R$2:$R$50,0)),"")</f>
        <v/>
      </c>
      <c r="D316" s="23"/>
      <c r="E316" s="23"/>
    </row>
    <row r="317" spans="1:5" ht="15" customHeight="1" x14ac:dyDescent="0.25">
      <c r="A317" s="23" t="str">
        <f>IF(מלאי!D320&lt;&gt;"",מלאי!D320,"")</f>
        <v/>
      </c>
      <c r="B317" s="23" t="str">
        <f>IF(מלאי!D320&lt;&gt;"",מלאי!B320&amp;IF(מלאי!C320&lt;&gt;""," ("&amp;מלאי!C320&amp;")",""),"")</f>
        <v/>
      </c>
      <c r="C317" s="23" t="str">
        <f>IFERROR(INDEX(הגדרות!$S$2:$S$50,MATCH(מלאי!B320,הגדרות!$R$2:$R$50,0)),"")</f>
        <v/>
      </c>
      <c r="D317" s="23"/>
      <c r="E317" s="23"/>
    </row>
    <row r="318" spans="1:5" ht="15" customHeight="1" x14ac:dyDescent="0.25">
      <c r="A318" s="23" t="str">
        <f>IF(מלאי!D321&lt;&gt;"",מלאי!D321,"")</f>
        <v/>
      </c>
      <c r="B318" s="23" t="str">
        <f>IF(מלאי!D321&lt;&gt;"",מלאי!B321&amp;IF(מלאי!C321&lt;&gt;""," ("&amp;מלאי!C321&amp;")",""),"")</f>
        <v/>
      </c>
      <c r="C318" s="23" t="str">
        <f>IFERROR(INDEX(הגדרות!$S$2:$S$50,MATCH(מלאי!B321,הגדרות!$R$2:$R$50,0)),"")</f>
        <v/>
      </c>
      <c r="D318" s="23"/>
      <c r="E318" s="23"/>
    </row>
    <row r="319" spans="1:5" ht="15" customHeight="1" x14ac:dyDescent="0.25">
      <c r="A319" s="23" t="str">
        <f>IF(מלאי!D322&lt;&gt;"",מלאי!D322,"")</f>
        <v/>
      </c>
      <c r="B319" s="23" t="str">
        <f>IF(מלאי!D322&lt;&gt;"",מלאי!B322&amp;IF(מלאי!C322&lt;&gt;""," ("&amp;מלאי!C322&amp;")",""),"")</f>
        <v/>
      </c>
      <c r="C319" s="23" t="str">
        <f>IFERROR(INDEX(הגדרות!$S$2:$S$50,MATCH(מלאי!B322,הגדרות!$R$2:$R$50,0)),"")</f>
        <v/>
      </c>
      <c r="D319" s="23"/>
      <c r="E319" s="23"/>
    </row>
    <row r="320" spans="1:5" ht="15" customHeight="1" x14ac:dyDescent="0.25">
      <c r="A320" s="23" t="str">
        <f>IF(מלאי!D323&lt;&gt;"",מלאי!D323,"")</f>
        <v/>
      </c>
      <c r="B320" s="23" t="str">
        <f>IF(מלאי!D323&lt;&gt;"",מלאי!B323&amp;IF(מלאי!C323&lt;&gt;""," ("&amp;מלאי!C323&amp;")",""),"")</f>
        <v/>
      </c>
      <c r="C320" s="23" t="str">
        <f>IFERROR(INDEX(הגדרות!$S$2:$S$50,MATCH(מלאי!B323,הגדרות!$R$2:$R$50,0)),"")</f>
        <v/>
      </c>
      <c r="D320" s="23"/>
      <c r="E320" s="23"/>
    </row>
    <row r="321" spans="1:5" ht="15" customHeight="1" x14ac:dyDescent="0.25">
      <c r="A321" s="23" t="str">
        <f>IF(מלאי!D324&lt;&gt;"",מלאי!D324,"")</f>
        <v/>
      </c>
      <c r="B321" s="23" t="str">
        <f>IF(מלאי!D324&lt;&gt;"",מלאי!B324&amp;IF(מלאי!C324&lt;&gt;""," ("&amp;מלאי!C324&amp;")",""),"")</f>
        <v/>
      </c>
      <c r="C321" s="23" t="str">
        <f>IFERROR(INDEX(הגדרות!$S$2:$S$50,MATCH(מלאי!B324,הגדרות!$R$2:$R$50,0)),"")</f>
        <v/>
      </c>
      <c r="D321" s="23"/>
      <c r="E321" s="23"/>
    </row>
    <row r="322" spans="1:5" ht="15" customHeight="1" x14ac:dyDescent="0.25">
      <c r="A322" s="23" t="str">
        <f>IF(מלאי!D325&lt;&gt;"",מלאי!D325,"")</f>
        <v/>
      </c>
      <c r="B322" s="23" t="str">
        <f>IF(מלאי!D325&lt;&gt;"",מלאי!B325&amp;IF(מלאי!C325&lt;&gt;""," ("&amp;מלאי!C325&amp;")",""),"")</f>
        <v/>
      </c>
      <c r="C322" s="23" t="str">
        <f>IFERROR(INDEX(הגדרות!$S$2:$S$50,MATCH(מלאי!B325,הגדרות!$R$2:$R$50,0)),"")</f>
        <v/>
      </c>
      <c r="D322" s="23"/>
      <c r="E322" s="23"/>
    </row>
    <row r="323" spans="1:5" ht="15" customHeight="1" x14ac:dyDescent="0.25">
      <c r="A323" s="23" t="str">
        <f>IF(מלאי!D326&lt;&gt;"",מלאי!D326,"")</f>
        <v/>
      </c>
      <c r="B323" s="23" t="str">
        <f>IF(מלאי!D326&lt;&gt;"",מלאי!B326&amp;IF(מלאי!C326&lt;&gt;""," ("&amp;מלאי!C326&amp;")",""),"")</f>
        <v/>
      </c>
      <c r="C323" s="23" t="str">
        <f>IFERROR(INDEX(הגדרות!$S$2:$S$50,MATCH(מלאי!B326,הגדרות!$R$2:$R$50,0)),"")</f>
        <v/>
      </c>
      <c r="D323" s="23"/>
      <c r="E323" s="23"/>
    </row>
    <row r="324" spans="1:5" ht="15" customHeight="1" x14ac:dyDescent="0.25">
      <c r="A324" s="23" t="str">
        <f>IF(מלאי!D327&lt;&gt;"",מלאי!D327,"")</f>
        <v/>
      </c>
      <c r="B324" s="23" t="str">
        <f>IF(מלאי!D327&lt;&gt;"",מלאי!B327&amp;IF(מלאי!C327&lt;&gt;""," ("&amp;מלאי!C327&amp;")",""),"")</f>
        <v/>
      </c>
      <c r="C324" s="23" t="str">
        <f>IFERROR(INDEX(הגדרות!$S$2:$S$50,MATCH(מלאי!B327,הגדרות!$R$2:$R$50,0)),"")</f>
        <v/>
      </c>
      <c r="D324" s="23"/>
      <c r="E324" s="23"/>
    </row>
    <row r="325" spans="1:5" ht="15" customHeight="1" x14ac:dyDescent="0.25">
      <c r="A325" s="23" t="str">
        <f>IF(מלאי!D328&lt;&gt;"",מלאי!D328,"")</f>
        <v/>
      </c>
      <c r="B325" s="23" t="str">
        <f>IF(מלאי!D328&lt;&gt;"",מלאי!B328&amp;IF(מלאי!C328&lt;&gt;""," ("&amp;מלאי!C328&amp;")",""),"")</f>
        <v/>
      </c>
      <c r="C325" s="23" t="str">
        <f>IFERROR(INDEX(הגדרות!$S$2:$S$50,MATCH(מלאי!B328,הגדרות!$R$2:$R$50,0)),"")</f>
        <v/>
      </c>
      <c r="D325" s="23"/>
      <c r="E325" s="23"/>
    </row>
    <row r="326" spans="1:5" ht="15" customHeight="1" x14ac:dyDescent="0.25">
      <c r="A326" s="23" t="str">
        <f>IF(מלאי!D329&lt;&gt;"",מלאי!D329,"")</f>
        <v/>
      </c>
      <c r="B326" s="23" t="str">
        <f>IF(מלאי!D329&lt;&gt;"",מלאי!B329&amp;IF(מלאי!C329&lt;&gt;""," ("&amp;מלאי!C329&amp;")",""),"")</f>
        <v/>
      </c>
      <c r="C326" s="23" t="str">
        <f>IFERROR(INDEX(הגדרות!$S$2:$S$50,MATCH(מלאי!B329,הגדרות!$R$2:$R$50,0)),"")</f>
        <v/>
      </c>
      <c r="D326" s="23"/>
      <c r="E326" s="23"/>
    </row>
    <row r="327" spans="1:5" ht="15" customHeight="1" x14ac:dyDescent="0.25">
      <c r="A327" s="23" t="str">
        <f>IF(מלאי!D330&lt;&gt;"",מלאי!D330,"")</f>
        <v/>
      </c>
      <c r="B327" s="23" t="str">
        <f>IF(מלאי!D330&lt;&gt;"",מלאי!B330&amp;IF(מלאי!C330&lt;&gt;""," ("&amp;מלאי!C330&amp;")",""),"")</f>
        <v/>
      </c>
      <c r="C327" s="23" t="str">
        <f>IFERROR(INDEX(הגדרות!$S$2:$S$50,MATCH(מלאי!B330,הגדרות!$R$2:$R$50,0)),"")</f>
        <v/>
      </c>
      <c r="D327" s="23"/>
      <c r="E327" s="23"/>
    </row>
    <row r="328" spans="1:5" ht="15" customHeight="1" x14ac:dyDescent="0.25">
      <c r="A328" s="23" t="str">
        <f>IF(מלאי!D331&lt;&gt;"",מלאי!D331,"")</f>
        <v/>
      </c>
      <c r="B328" s="23" t="str">
        <f>IF(מלאי!D331&lt;&gt;"",מלאי!B331&amp;IF(מלאי!C331&lt;&gt;""," ("&amp;מלאי!C331&amp;")",""),"")</f>
        <v/>
      </c>
      <c r="C328" s="23" t="str">
        <f>IFERROR(INDEX(הגדרות!$S$2:$S$50,MATCH(מלאי!B331,הגדרות!$R$2:$R$50,0)),"")</f>
        <v/>
      </c>
      <c r="D328" s="23"/>
      <c r="E328" s="23"/>
    </row>
    <row r="329" spans="1:5" ht="15" customHeight="1" x14ac:dyDescent="0.25">
      <c r="A329" s="23" t="str">
        <f>IF(מלאי!D332&lt;&gt;"",מלאי!D332,"")</f>
        <v/>
      </c>
      <c r="B329" s="23" t="str">
        <f>IF(מלאי!D332&lt;&gt;"",מלאי!B332&amp;IF(מלאי!C332&lt;&gt;""," ("&amp;מלאי!C332&amp;")",""),"")</f>
        <v/>
      </c>
      <c r="C329" s="23" t="str">
        <f>IFERROR(INDEX(הגדרות!$S$2:$S$50,MATCH(מלאי!B332,הגדרות!$R$2:$R$50,0)),"")</f>
        <v/>
      </c>
      <c r="D329" s="23"/>
      <c r="E329" s="23"/>
    </row>
    <row r="330" spans="1:5" ht="15" customHeight="1" x14ac:dyDescent="0.25">
      <c r="A330" s="23" t="str">
        <f>IF(מלאי!D333&lt;&gt;"",מלאי!D333,"")</f>
        <v/>
      </c>
      <c r="B330" s="23" t="str">
        <f>IF(מלאי!D333&lt;&gt;"",מלאי!B333&amp;IF(מלאי!C333&lt;&gt;""," ("&amp;מלאי!C333&amp;")",""),"")</f>
        <v/>
      </c>
      <c r="C330" s="23" t="str">
        <f>IFERROR(INDEX(הגדרות!$S$2:$S$50,MATCH(מלאי!B333,הגדרות!$R$2:$R$50,0)),"")</f>
        <v/>
      </c>
      <c r="D330" s="23"/>
      <c r="E330" s="23"/>
    </row>
    <row r="331" spans="1:5" ht="15" customHeight="1" x14ac:dyDescent="0.25">
      <c r="A331" s="23" t="str">
        <f>IF(מלאי!D334&lt;&gt;"",מלאי!D334,"")</f>
        <v/>
      </c>
      <c r="B331" s="23" t="str">
        <f>IF(מלאי!D334&lt;&gt;"",מלאי!B334&amp;IF(מלאי!C334&lt;&gt;""," ("&amp;מלאי!C334&amp;")",""),"")</f>
        <v/>
      </c>
      <c r="C331" s="23" t="str">
        <f>IFERROR(INDEX(הגדרות!$S$2:$S$50,MATCH(מלאי!B334,הגדרות!$R$2:$R$50,0)),"")</f>
        <v/>
      </c>
      <c r="D331" s="23"/>
      <c r="E331" s="23"/>
    </row>
    <row r="332" spans="1:5" ht="15" customHeight="1" x14ac:dyDescent="0.25">
      <c r="A332" s="23" t="str">
        <f>IF(מלאי!D335&lt;&gt;"",מלאי!D335,"")</f>
        <v/>
      </c>
      <c r="B332" s="23" t="str">
        <f>IF(מלאי!D335&lt;&gt;"",מלאי!B335&amp;IF(מלאי!C335&lt;&gt;""," ("&amp;מלאי!C335&amp;")",""),"")</f>
        <v/>
      </c>
      <c r="C332" s="23" t="str">
        <f>IFERROR(INDEX(הגדרות!$S$2:$S$50,MATCH(מלאי!B335,הגדרות!$R$2:$R$50,0)),"")</f>
        <v/>
      </c>
      <c r="D332" s="23"/>
      <c r="E332" s="23"/>
    </row>
    <row r="333" spans="1:5" ht="15" customHeight="1" x14ac:dyDescent="0.25">
      <c r="A333" s="23" t="str">
        <f>IF(מלאי!D336&lt;&gt;"",מלאי!D336,"")</f>
        <v/>
      </c>
      <c r="B333" s="23" t="str">
        <f>IF(מלאי!D336&lt;&gt;"",מלאי!B336&amp;IF(מלאי!C336&lt;&gt;""," ("&amp;מלאי!C336&amp;")",""),"")</f>
        <v/>
      </c>
      <c r="C333" s="23" t="str">
        <f>IFERROR(INDEX(הגדרות!$S$2:$S$50,MATCH(מלאי!B336,הגדרות!$R$2:$R$50,0)),"")</f>
        <v/>
      </c>
      <c r="D333" s="23"/>
      <c r="E333" s="23"/>
    </row>
    <row r="334" spans="1:5" ht="15" customHeight="1" x14ac:dyDescent="0.25">
      <c r="A334" s="23" t="str">
        <f>IF(מלאי!D337&lt;&gt;"",מלאי!D337,"")</f>
        <v/>
      </c>
      <c r="B334" s="23" t="str">
        <f>IF(מלאי!D337&lt;&gt;"",מלאי!B337&amp;IF(מלאי!C337&lt;&gt;""," ("&amp;מלאי!C337&amp;")",""),"")</f>
        <v/>
      </c>
      <c r="C334" s="23" t="str">
        <f>IFERROR(INDEX(הגדרות!$S$2:$S$50,MATCH(מלאי!B337,הגדרות!$R$2:$R$50,0)),"")</f>
        <v/>
      </c>
      <c r="D334" s="23"/>
      <c r="E334" s="23"/>
    </row>
    <row r="335" spans="1:5" ht="15" customHeight="1" x14ac:dyDescent="0.25">
      <c r="A335" s="23" t="str">
        <f>IF(מלאי!D338&lt;&gt;"",מלאי!D338,"")</f>
        <v/>
      </c>
      <c r="B335" s="23" t="str">
        <f>IF(מלאי!D338&lt;&gt;"",מלאי!B338&amp;IF(מלאי!C338&lt;&gt;""," ("&amp;מלאי!C338&amp;")",""),"")</f>
        <v/>
      </c>
      <c r="C335" s="23" t="str">
        <f>IFERROR(INDEX(הגדרות!$S$2:$S$50,MATCH(מלאי!B338,הגדרות!$R$2:$R$50,0)),"")</f>
        <v/>
      </c>
      <c r="D335" s="23"/>
      <c r="E335" s="23"/>
    </row>
    <row r="336" spans="1:5" ht="15" customHeight="1" x14ac:dyDescent="0.25">
      <c r="A336" s="23" t="str">
        <f>IF(מלאי!D339&lt;&gt;"",מלאי!D339,"")</f>
        <v/>
      </c>
      <c r="B336" s="23" t="str">
        <f>IF(מלאי!D339&lt;&gt;"",מלאי!B339&amp;IF(מלאי!C339&lt;&gt;""," ("&amp;מלאי!C339&amp;")",""),"")</f>
        <v/>
      </c>
      <c r="C336" s="23" t="str">
        <f>IFERROR(INDEX(הגדרות!$S$2:$S$50,MATCH(מלאי!B339,הגדרות!$R$2:$R$50,0)),"")</f>
        <v/>
      </c>
      <c r="D336" s="23"/>
      <c r="E336" s="23"/>
    </row>
    <row r="337" spans="1:5" ht="15" customHeight="1" x14ac:dyDescent="0.25">
      <c r="A337" s="23" t="str">
        <f>IF(מלאי!D340&lt;&gt;"",מלאי!D340,"")</f>
        <v/>
      </c>
      <c r="B337" s="23" t="str">
        <f>IF(מלאי!D340&lt;&gt;"",מלאי!B340&amp;IF(מלאי!C340&lt;&gt;""," ("&amp;מלאי!C340&amp;")",""),"")</f>
        <v/>
      </c>
      <c r="C337" s="23" t="str">
        <f>IFERROR(INDEX(הגדרות!$S$2:$S$50,MATCH(מלאי!B340,הגדרות!$R$2:$R$50,0)),"")</f>
        <v/>
      </c>
      <c r="D337" s="23"/>
      <c r="E337" s="23"/>
    </row>
    <row r="338" spans="1:5" ht="15" customHeight="1" x14ac:dyDescent="0.25">
      <c r="A338" s="23" t="str">
        <f>IF(מלאי!D341&lt;&gt;"",מלאי!D341,"")</f>
        <v/>
      </c>
      <c r="B338" s="23" t="str">
        <f>IF(מלאי!D341&lt;&gt;"",מלאי!B341&amp;IF(מלאי!C341&lt;&gt;""," ("&amp;מלאי!C341&amp;")",""),"")</f>
        <v/>
      </c>
      <c r="C338" s="23" t="str">
        <f>IFERROR(INDEX(הגדרות!$S$2:$S$50,MATCH(מלאי!B341,הגדרות!$R$2:$R$50,0)),"")</f>
        <v/>
      </c>
      <c r="D338" s="23"/>
      <c r="E338" s="23"/>
    </row>
    <row r="339" spans="1:5" ht="15" customHeight="1" x14ac:dyDescent="0.25">
      <c r="A339" s="23" t="str">
        <f>IF(מלאי!D342&lt;&gt;"",מלאי!D342,"")</f>
        <v/>
      </c>
      <c r="B339" s="23" t="str">
        <f>IF(מלאי!D342&lt;&gt;"",מלאי!B342&amp;IF(מלאי!C342&lt;&gt;""," ("&amp;מלאי!C342&amp;")",""),"")</f>
        <v/>
      </c>
      <c r="C339" s="23" t="str">
        <f>IFERROR(INDEX(הגדרות!$S$2:$S$50,MATCH(מלאי!B342,הגדרות!$R$2:$R$50,0)),"")</f>
        <v/>
      </c>
      <c r="D339" s="23"/>
      <c r="E339" s="23"/>
    </row>
    <row r="340" spans="1:5" ht="15" customHeight="1" x14ac:dyDescent="0.25">
      <c r="A340" s="23" t="str">
        <f>IF(מלאי!D343&lt;&gt;"",מלאי!D343,"")</f>
        <v/>
      </c>
      <c r="B340" s="23" t="str">
        <f>IF(מלאי!D343&lt;&gt;"",מלאי!B343&amp;IF(מלאי!C343&lt;&gt;""," ("&amp;מלאי!C343&amp;")",""),"")</f>
        <v/>
      </c>
      <c r="C340" s="23" t="str">
        <f>IFERROR(INDEX(הגדרות!$S$2:$S$50,MATCH(מלאי!B343,הגדרות!$R$2:$R$50,0)),"")</f>
        <v/>
      </c>
      <c r="D340" s="23"/>
      <c r="E340" s="23"/>
    </row>
    <row r="341" spans="1:5" ht="15" customHeight="1" x14ac:dyDescent="0.25">
      <c r="A341" s="23" t="str">
        <f>IF(מלאי!D344&lt;&gt;"",מלאי!D344,"")</f>
        <v/>
      </c>
      <c r="B341" s="23" t="str">
        <f>IF(מלאי!D344&lt;&gt;"",מלאי!B344&amp;IF(מלאי!C344&lt;&gt;""," ("&amp;מלאי!C344&amp;")",""),"")</f>
        <v/>
      </c>
      <c r="C341" s="23" t="str">
        <f>IFERROR(INDEX(הגדרות!$S$2:$S$50,MATCH(מלאי!B344,הגדרות!$R$2:$R$50,0)),"")</f>
        <v/>
      </c>
      <c r="D341" s="23"/>
      <c r="E341" s="23"/>
    </row>
    <row r="342" spans="1:5" ht="15" customHeight="1" x14ac:dyDescent="0.25">
      <c r="A342" s="23" t="str">
        <f>IF(מלאי!D345&lt;&gt;"",מלאי!D345,"")</f>
        <v/>
      </c>
      <c r="B342" s="23" t="str">
        <f>IF(מלאי!D345&lt;&gt;"",מלאי!B345&amp;IF(מלאי!C345&lt;&gt;""," ("&amp;מלאי!C345&amp;")",""),"")</f>
        <v/>
      </c>
      <c r="C342" s="23" t="str">
        <f>IFERROR(INDEX(הגדרות!$S$2:$S$50,MATCH(מלאי!B345,הגדרות!$R$2:$R$50,0)),"")</f>
        <v/>
      </c>
      <c r="D342" s="23"/>
      <c r="E342" s="23"/>
    </row>
    <row r="343" spans="1:5" ht="15" customHeight="1" x14ac:dyDescent="0.25">
      <c r="A343" s="23" t="str">
        <f>IF(מלאי!D346&lt;&gt;"",מלאי!D346,"")</f>
        <v/>
      </c>
      <c r="B343" s="23" t="str">
        <f>IF(מלאי!D346&lt;&gt;"",מלאי!B346&amp;IF(מלאי!C346&lt;&gt;""," ("&amp;מלאי!C346&amp;")",""),"")</f>
        <v/>
      </c>
      <c r="C343" s="23" t="str">
        <f>IFERROR(INDEX(הגדרות!$S$2:$S$50,MATCH(מלאי!B346,הגדרות!$R$2:$R$50,0)),"")</f>
        <v/>
      </c>
      <c r="D343" s="23"/>
      <c r="E343" s="23"/>
    </row>
    <row r="344" spans="1:5" ht="15" customHeight="1" x14ac:dyDescent="0.25">
      <c r="A344" s="23" t="str">
        <f>IF(מלאי!D347&lt;&gt;"",מלאי!D347,"")</f>
        <v/>
      </c>
      <c r="B344" s="23" t="str">
        <f>IF(מלאי!D347&lt;&gt;"",מלאי!B347&amp;IF(מלאי!C347&lt;&gt;""," ("&amp;מלאי!C347&amp;")",""),"")</f>
        <v/>
      </c>
      <c r="C344" s="23" t="str">
        <f>IFERROR(INDEX(הגדרות!$S$2:$S$50,MATCH(מלאי!B347,הגדרות!$R$2:$R$50,0)),"")</f>
        <v/>
      </c>
      <c r="D344" s="23"/>
      <c r="E344" s="23"/>
    </row>
    <row r="345" spans="1:5" ht="15" customHeight="1" x14ac:dyDescent="0.25">
      <c r="A345" s="23" t="str">
        <f>IF(מלאי!D348&lt;&gt;"",מלאי!D348,"")</f>
        <v/>
      </c>
      <c r="B345" s="23" t="str">
        <f>IF(מלאי!D348&lt;&gt;"",מלאי!B348&amp;IF(מלאי!C348&lt;&gt;""," ("&amp;מלאי!C348&amp;")",""),"")</f>
        <v/>
      </c>
      <c r="C345" s="23" t="str">
        <f>IFERROR(INDEX(הגדרות!$S$2:$S$50,MATCH(מלאי!B348,הגדרות!$R$2:$R$50,0)),"")</f>
        <v/>
      </c>
      <c r="D345" s="23"/>
      <c r="E345" s="23"/>
    </row>
    <row r="346" spans="1:5" ht="15" customHeight="1" x14ac:dyDescent="0.25">
      <c r="A346" s="23" t="str">
        <f>IF(מלאי!D349&lt;&gt;"",מלאי!D349,"")</f>
        <v/>
      </c>
      <c r="B346" s="23" t="str">
        <f>IF(מלאי!D349&lt;&gt;"",מלאי!B349&amp;IF(מלאי!C349&lt;&gt;""," ("&amp;מלאי!C349&amp;")",""),"")</f>
        <v/>
      </c>
      <c r="C346" s="23" t="str">
        <f>IFERROR(INDEX(הגדרות!$S$2:$S$50,MATCH(מלאי!B349,הגדרות!$R$2:$R$50,0)),"")</f>
        <v/>
      </c>
      <c r="D346" s="23"/>
      <c r="E346" s="23"/>
    </row>
    <row r="347" spans="1:5" ht="15" customHeight="1" x14ac:dyDescent="0.25">
      <c r="A347" s="23" t="str">
        <f>IF(מלאי!D350&lt;&gt;"",מלאי!D350,"")</f>
        <v/>
      </c>
      <c r="B347" s="23" t="str">
        <f>IF(מלאי!D350&lt;&gt;"",מלאי!B350&amp;IF(מלאי!C350&lt;&gt;""," ("&amp;מלאי!C350&amp;")",""),"")</f>
        <v/>
      </c>
      <c r="C347" s="23" t="str">
        <f>IFERROR(INDEX(הגדרות!$S$2:$S$50,MATCH(מלאי!B350,הגדרות!$R$2:$R$50,0)),"")</f>
        <v/>
      </c>
      <c r="D347" s="23"/>
      <c r="E347" s="23"/>
    </row>
    <row r="348" spans="1:5" ht="15" customHeight="1" x14ac:dyDescent="0.25">
      <c r="A348" s="23" t="str">
        <f>IF(מלאי!D351&lt;&gt;"",מלאי!D351,"")</f>
        <v/>
      </c>
      <c r="B348" s="23" t="str">
        <f>IF(מלאי!D351&lt;&gt;"",מלאי!B351&amp;IF(מלאי!C351&lt;&gt;""," ("&amp;מלאי!C351&amp;")",""),"")</f>
        <v/>
      </c>
      <c r="C348" s="23" t="str">
        <f>IFERROR(INDEX(הגדרות!$S$2:$S$50,MATCH(מלאי!B351,הגדרות!$R$2:$R$50,0)),"")</f>
        <v/>
      </c>
      <c r="D348" s="23"/>
      <c r="E348" s="23"/>
    </row>
    <row r="349" spans="1:5" ht="15" customHeight="1" x14ac:dyDescent="0.25">
      <c r="A349" s="23" t="str">
        <f>IF(מלאי!D352&lt;&gt;"",מלאי!D352,"")</f>
        <v/>
      </c>
      <c r="B349" s="23" t="str">
        <f>IF(מלאי!D352&lt;&gt;"",מלאי!B352&amp;IF(מלאי!C352&lt;&gt;""," ("&amp;מלאי!C352&amp;")",""),"")</f>
        <v/>
      </c>
      <c r="C349" s="23" t="str">
        <f>IFERROR(INDEX(הגדרות!$S$2:$S$50,MATCH(מלאי!B352,הגדרות!$R$2:$R$50,0)),"")</f>
        <v/>
      </c>
      <c r="D349" s="23"/>
      <c r="E349" s="23"/>
    </row>
    <row r="350" spans="1:5" ht="15" customHeight="1" x14ac:dyDescent="0.25">
      <c r="A350" s="23" t="str">
        <f>IF(מלאי!D353&lt;&gt;"",מלאי!D353,"")</f>
        <v/>
      </c>
      <c r="B350" s="23" t="str">
        <f>IF(מלאי!D353&lt;&gt;"",מלאי!B353&amp;IF(מלאי!C353&lt;&gt;""," ("&amp;מלאי!C353&amp;")",""),"")</f>
        <v/>
      </c>
      <c r="C350" s="23" t="str">
        <f>IFERROR(INDEX(הגדרות!$S$2:$S$50,MATCH(מלאי!B353,הגדרות!$R$2:$R$50,0)),"")</f>
        <v/>
      </c>
      <c r="D350" s="23"/>
      <c r="E350" s="23"/>
    </row>
    <row r="351" spans="1:5" ht="15" customHeight="1" x14ac:dyDescent="0.25">
      <c r="A351" s="23" t="str">
        <f>IF(מלאי!D354&lt;&gt;"",מלאי!D354,"")</f>
        <v/>
      </c>
      <c r="B351" s="23" t="str">
        <f>IF(מלאי!D354&lt;&gt;"",מלאי!B354&amp;IF(מלאי!C354&lt;&gt;""," ("&amp;מלאי!C354&amp;")",""),"")</f>
        <v/>
      </c>
      <c r="C351" s="23" t="str">
        <f>IFERROR(INDEX(הגדרות!$S$2:$S$50,MATCH(מלאי!B354,הגדרות!$R$2:$R$50,0)),"")</f>
        <v/>
      </c>
      <c r="D351" s="23"/>
      <c r="E351" s="23"/>
    </row>
    <row r="352" spans="1:5" ht="15" customHeight="1" x14ac:dyDescent="0.25">
      <c r="A352" s="23" t="str">
        <f>IF(מלאי!D355&lt;&gt;"",מלאי!D355,"")</f>
        <v/>
      </c>
      <c r="B352" s="23" t="str">
        <f>IF(מלאי!D355&lt;&gt;"",מלאי!B355&amp;IF(מלאי!C355&lt;&gt;""," ("&amp;מלאי!C355&amp;")",""),"")</f>
        <v/>
      </c>
      <c r="C352" s="23" t="str">
        <f>IFERROR(INDEX(הגדרות!$S$2:$S$50,MATCH(מלאי!B355,הגדרות!$R$2:$R$50,0)),"")</f>
        <v/>
      </c>
      <c r="D352" s="23"/>
      <c r="E352" s="23"/>
    </row>
    <row r="353" spans="1:5" ht="15" customHeight="1" x14ac:dyDescent="0.25">
      <c r="A353" s="23" t="str">
        <f>IF(מלאי!D356&lt;&gt;"",מלאי!D356,"")</f>
        <v/>
      </c>
      <c r="B353" s="23" t="str">
        <f>IF(מלאי!D356&lt;&gt;"",מלאי!B356&amp;IF(מלאי!C356&lt;&gt;""," ("&amp;מלאי!C356&amp;")",""),"")</f>
        <v/>
      </c>
      <c r="C353" s="23" t="str">
        <f>IFERROR(INDEX(הגדרות!$S$2:$S$50,MATCH(מלאי!B356,הגדרות!$R$2:$R$50,0)),"")</f>
        <v/>
      </c>
      <c r="D353" s="23"/>
      <c r="E353" s="23"/>
    </row>
    <row r="354" spans="1:5" ht="15" customHeight="1" x14ac:dyDescent="0.25">
      <c r="A354" s="23" t="str">
        <f>IF(מלאי!D357&lt;&gt;"",מלאי!D357,"")</f>
        <v/>
      </c>
      <c r="B354" s="23" t="str">
        <f>IF(מלאי!D357&lt;&gt;"",מלאי!B357&amp;IF(מלאי!C357&lt;&gt;""," ("&amp;מלאי!C357&amp;")",""),"")</f>
        <v/>
      </c>
      <c r="C354" s="23" t="str">
        <f>IFERROR(INDEX(הגדרות!$S$2:$S$50,MATCH(מלאי!B357,הגדרות!$R$2:$R$50,0)),"")</f>
        <v/>
      </c>
      <c r="D354" s="23"/>
      <c r="E354" s="23"/>
    </row>
  </sheetData>
  <sheetProtection password="CC81" sheet="1"/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"/>
  <sheetViews>
    <sheetView rightToLeft="1" tabSelected="1" topLeftCell="A11" zoomScale="130" zoomScaleNormal="130" workbookViewId="0">
      <selection activeCell="D25" sqref="D25"/>
    </sheetView>
  </sheetViews>
  <sheetFormatPr defaultColWidth="8.7109375" defaultRowHeight="15" x14ac:dyDescent="0.25"/>
  <cols>
    <col min="1" max="1" width="14" customWidth="1"/>
    <col min="2" max="2" width="20" customWidth="1"/>
    <col min="3" max="3" width="12" customWidth="1"/>
    <col min="4" max="6" width="14" customWidth="1"/>
    <col min="7" max="7" width="12" customWidth="1"/>
    <col min="8" max="8" width="64.28515625" customWidth="1"/>
  </cols>
  <sheetData>
    <row r="1" spans="1:8" ht="19.5" customHeight="1" x14ac:dyDescent="0.25">
      <c r="A1" s="60" t="s">
        <v>136</v>
      </c>
      <c r="B1" s="54"/>
      <c r="C1" s="54"/>
      <c r="D1" s="54"/>
      <c r="E1" s="54"/>
      <c r="F1" s="54"/>
      <c r="G1" s="54"/>
      <c r="H1" s="55"/>
    </row>
    <row r="3" spans="1:8" ht="15.75" customHeight="1" x14ac:dyDescent="0.25">
      <c r="A3" s="62" t="s">
        <v>1</v>
      </c>
      <c r="B3" s="54"/>
      <c r="C3" s="54"/>
      <c r="D3" s="54"/>
      <c r="E3" s="55"/>
    </row>
    <row r="4" spans="1:8" ht="15" customHeight="1" x14ac:dyDescent="0.25">
      <c r="A4" s="1" t="s">
        <v>2</v>
      </c>
      <c r="B4" s="2" t="s">
        <v>3</v>
      </c>
      <c r="D4" s="1" t="s">
        <v>4</v>
      </c>
      <c r="E4" s="2" t="s">
        <v>3</v>
      </c>
    </row>
    <row r="5" spans="1:8" ht="15" customHeight="1" x14ac:dyDescent="0.25">
      <c r="A5" s="1" t="s">
        <v>5</v>
      </c>
      <c r="B5" s="2" t="s">
        <v>3</v>
      </c>
      <c r="D5" s="1" t="s">
        <v>6</v>
      </c>
      <c r="E5" s="2" t="s">
        <v>3</v>
      </c>
    </row>
    <row r="6" spans="1:8" ht="15" customHeight="1" x14ac:dyDescent="0.25">
      <c r="A6" s="1" t="s">
        <v>7</v>
      </c>
      <c r="B6" s="2" t="s">
        <v>3</v>
      </c>
      <c r="D6" s="1" t="s">
        <v>8</v>
      </c>
      <c r="E6" s="2" t="s">
        <v>3</v>
      </c>
    </row>
    <row r="7" spans="1:8" ht="15" customHeight="1" x14ac:dyDescent="0.25">
      <c r="A7" s="1" t="s">
        <v>9</v>
      </c>
      <c r="B7" s="2" t="s">
        <v>3</v>
      </c>
      <c r="D7" s="1" t="s">
        <v>10</v>
      </c>
      <c r="E7" s="2" t="s">
        <v>3</v>
      </c>
    </row>
    <row r="8" spans="1:8" ht="15" customHeight="1" x14ac:dyDescent="0.25">
      <c r="A8" s="1" t="s">
        <v>11</v>
      </c>
      <c r="B8" s="2" t="s">
        <v>3</v>
      </c>
      <c r="D8" s="1" t="s">
        <v>12</v>
      </c>
      <c r="E8" s="2" t="s">
        <v>3</v>
      </c>
    </row>
    <row r="9" spans="1:8" ht="23.25" customHeight="1" x14ac:dyDescent="0.25">
      <c r="A9" s="1" t="s">
        <v>13</v>
      </c>
      <c r="B9" s="2" t="s">
        <v>14</v>
      </c>
      <c r="D9" s="1" t="s">
        <v>15</v>
      </c>
      <c r="E9" s="2" t="s">
        <v>3</v>
      </c>
    </row>
    <row r="10" spans="1:8" ht="15" customHeight="1" x14ac:dyDescent="0.25">
      <c r="A10" s="1" t="s">
        <v>137</v>
      </c>
      <c r="B10" s="24" t="s">
        <v>3</v>
      </c>
      <c r="D10" s="1" t="s">
        <v>138</v>
      </c>
      <c r="E10" s="25"/>
    </row>
    <row r="11" spans="1:8" ht="23.25" customHeight="1" x14ac:dyDescent="0.25">
      <c r="D11" s="1" t="s">
        <v>139</v>
      </c>
      <c r="E11" s="25"/>
    </row>
    <row r="12" spans="1:8" ht="15" customHeight="1" x14ac:dyDescent="0.25">
      <c r="A12" s="59" t="s">
        <v>16</v>
      </c>
      <c r="B12" s="54"/>
      <c r="C12" s="55"/>
      <c r="E12" s="61" t="s">
        <v>17</v>
      </c>
      <c r="F12" s="54"/>
      <c r="G12" s="54"/>
      <c r="H12" s="55"/>
    </row>
    <row r="13" spans="1:8" ht="17.25" customHeight="1" x14ac:dyDescent="0.25">
      <c r="A13" s="1" t="s">
        <v>18</v>
      </c>
      <c r="C13" s="3" t="e">
        <f>SUMPRODUCT(מלאי!$AE$3:$AE$357)</f>
        <v>#REF!</v>
      </c>
      <c r="E13" s="4" t="s">
        <v>19</v>
      </c>
      <c r="F13" s="5" t="e">
        <f>SUMPRODUCT((מלאי!$AE$3:$AE$357)*(מלאי!T3:T357="במלאי"))</f>
        <v>#REF!</v>
      </c>
      <c r="G13" s="4" t="s">
        <v>20</v>
      </c>
      <c r="H13" s="6" t="e">
        <f>SUMPRODUCT((מלאי!$AE$3:$AE$357)*(מלאי!T3:T357="מושאל"))</f>
        <v>#REF!</v>
      </c>
    </row>
    <row r="14" spans="1:8" ht="17.25" customHeight="1" x14ac:dyDescent="0.25">
      <c r="A14" s="1" t="s">
        <v>21</v>
      </c>
      <c r="C14" s="7" t="e">
        <f>IF('לוח בקרה טכנו-מבצעי'!$B$4="הכל",SUMPRODUCT((מלאי!$AE$3:$AE$357)*(מלאי!J3:J357="כן")*(מלאי!L3:L357="כן")),SUMPRODUCT((מלאי!$AE$3:$AE$357)*(((מלאי!J3:J357="כן")*((מלאי!Z3:Z357='לוח בקרה טכנו-מבצעי'!$B$4)+(מלאי!AA3:AA357='לוח בקרה טכנו-מבצעי'!$B$4)&gt;0)*(מלאי!L3:L357="כן")+(מלאי!I3:I357&lt;&gt;"")*(מלאי!K3:K357="כן")*((מלאי!AB3:AB357='לוח בקרה טכנו-מבצעי'!$B$4)+(מלאי!AC3:AC357='לוח בקרה טכנו-מבצעי'!$B$4)&gt;0)*(מלאי!M3:M357="כן"))&gt;0)))</f>
        <v>#REF!</v>
      </c>
      <c r="E14" s="4" t="s">
        <v>22</v>
      </c>
      <c r="F14" s="8" t="e" cm="1">
        <f t="array" ref="F14">SUMPRODUCT((מלאי!$AE$3:$AE$357)*(מלאי!T3:T357="בחדר תצוגה"))</f>
        <v>#REF!</v>
      </c>
      <c r="G14" s="4" t="s">
        <v>23</v>
      </c>
      <c r="H14" s="9" t="e">
        <f>SUMPRODUCT((מלאי!$AE$3:$AE$357)*(מלאי!T3:T357="בתיק הדגמה"))</f>
        <v>#REF!</v>
      </c>
    </row>
    <row r="15" spans="1:8" ht="23.25" customHeight="1" x14ac:dyDescent="0.25">
      <c r="A15" s="1" t="s">
        <v>24</v>
      </c>
      <c r="C15" s="3" t="e">
        <f>IF('לוח בקרה טכנו-מבצעי'!$B$4="הכל",SUMPRODUCT((מלאי!$AE$3:$AE$357)*(מלאי!J3:J357="כן")*(מלאי!L3:L357&lt;&gt;"כן")),SUMPRODUCT((מלאי!$AE$3:$AE$357)*(((מלאי!J3:J357="כן")*((מלאי!Z3:Z357='לוח בקרה טכנו-מבצעי'!$B$4)+(מלאי!AA3:AA357='לוח בקרה טכנו-מבצעי'!$B$4)&gt;0)*(מלאי!L3:L357&lt;&gt;"כן")+(מלאי!I3:I357&lt;&gt;"")*(מלאי!K3:K357="כן")*((מלאי!AB3:AB357='לוח בקרה טכנו-מבצעי'!$B$4)+(מלאי!AC3:AC357='לוח בקרה טכנו-מבצעי'!$B$4)&gt;0)*(מלאי!M3:M357&lt;&gt;"כן"))&gt;0)*(((מלאי!J3:J357="כן")*((מלאי!Z3:Z357='לוח בקרה טכנו-מבצעי'!$B$4)+(מלאי!AA3:AA357='לוח בקרה טכנו-מבצעי'!$B$4)&gt;0)*(מלאי!L3:L357="כן")+(מלאי!I3:I357&lt;&gt;"")*(מלאי!K3:K357="כן")*((מלאי!AB3:AB357='לוח בקרה טכנו-מבצעי'!$B$4)+(מלאי!AC3:AC357='לוח בקרה טכנו-מבצעי'!$B$4)&gt;0)*(מלאי!M3:M357="כן"))=0)))</f>
        <v>#REF!</v>
      </c>
      <c r="E15" s="10" t="s">
        <v>25</v>
      </c>
      <c r="F15" s="11" t="str">
        <f>IF('לוח בקרה טכנו-מבצעי'!$B$4="הכל","-",SUMPRODUCT((מלאי!$AE$3:$AE$357)*((מלאי!J3:J357="כן")*(1-1*(((מלאי!Z3:Z357='לוח בקרה טכנו-מבצעי'!$B$4)+(מלאי!AA3:AA357='לוח בקרה טכנו-מבצעי'!$B$4)&gt;0)))+(מלאי!I3:I357&lt;&gt;"")*(מלאי!K3:K357="כן")*(1-1*(((מלאי!AB3:AB357='לוח בקרה טכנו-מבצעי'!$B$4)+(מלאי!AC3:AC357='לוח בקרה טכנו-מבצעי'!$B$4)&gt;0)))&gt;0)*(((מלאי!J3:J357="כן")*((מלאי!Z3:Z357='לוח בקרה טכנו-מבצעי'!$B$4)+(מלאי!AA3:AA357='לוח בקרה טכנו-מבצעי'!$B$4)&gt;0)+(מלאי!I3:I357&lt;&gt;"")*(מלאי!K3:K357="כן")*((מלאי!AB3:AB357='לוח בקרה טכנו-מבצעי'!$B$4)+(מלאי!AC3:AC357='לוח בקרה טכנו-מבצעי'!$B$4)&gt;0))=0)))</f>
        <v>-</v>
      </c>
      <c r="G15" s="12" t="s">
        <v>26</v>
      </c>
      <c r="H15" s="13" t="e">
        <f>SUMPRODUCT((מלאי!$AE$3:$AE$357)*(מלאי!S3:S357="כן"))</f>
        <v>#REF!</v>
      </c>
    </row>
    <row r="16" spans="1:8" ht="17.25" customHeight="1" x14ac:dyDescent="0.25">
      <c r="A16" s="1" t="s">
        <v>27</v>
      </c>
      <c r="C16" s="3" t="e">
        <f>IF('לוח בקרה טכנו-מבצעי'!$B$4="הכל",SUMPRODUCT((מלאי!$AE$3:$AE$357)*(מלאי!J3:J357&lt;&gt;"כן")*(מלאי!L3:L357="כן")),SUMPRODUCT((מלאי!$AE$3:$AE$357)*(מלאי!L3:L357="כן")*(((מלאי!J3:J357="כן")*((מלאי!Z3:Z357='לוח בקרה טכנו-מבצעי'!$B$4)+(מלאי!AA3:AA357='לוח בקרה טכנו-מבצעי'!$B$4)&gt;0)+(מלאי!I3:I357&lt;&gt;"")*(מלאי!K3:K357="כן")*((מלאי!AB3:AB357='לוח בקרה טכנו-מבצעי'!$B$4)+(מלאי!AC3:AC357='לוח בקרה טכנו-מבצעי'!$B$4)&gt;0))=0)))</f>
        <v>#REF!</v>
      </c>
      <c r="E16" s="14" t="s">
        <v>28</v>
      </c>
      <c r="F16" s="15">
        <f>SUMPRODUCT((מלאי!D3:D357&lt;&gt;"")*(מלאי!Q3:Q357="כן"))</f>
        <v>15</v>
      </c>
    </row>
    <row r="18" spans="1:8" ht="13.5" customHeight="1" x14ac:dyDescent="0.25">
      <c r="A18" s="59" t="s">
        <v>29</v>
      </c>
      <c r="B18" s="54"/>
      <c r="C18" s="54"/>
      <c r="D18" s="54"/>
      <c r="E18" s="54"/>
      <c r="F18" s="54"/>
      <c r="G18" s="54"/>
      <c r="H18" s="55"/>
    </row>
    <row r="19" spans="1:8" ht="15" customHeight="1" x14ac:dyDescent="0.25">
      <c r="A19" s="16" t="s">
        <v>30</v>
      </c>
      <c r="B19" s="16" t="s">
        <v>31</v>
      </c>
      <c r="C19" s="16" t="s">
        <v>32</v>
      </c>
      <c r="D19" s="16" t="s">
        <v>33</v>
      </c>
      <c r="E19" s="16" t="s">
        <v>34</v>
      </c>
      <c r="F19" s="16" t="s">
        <v>35</v>
      </c>
      <c r="G19" s="16" t="s">
        <v>36</v>
      </c>
      <c r="H19" s="16" t="s">
        <v>37</v>
      </c>
    </row>
    <row r="20" spans="1:8" ht="15" customHeight="1" x14ac:dyDescent="0.25">
      <c r="A20" s="17" t="str">
        <f>IFERROR(INDEX(מלאי!A:A,MATCH(1,מלאי!$AG$3:$AG$357,0)+3-1),"")</f>
        <v/>
      </c>
      <c r="B20" s="17" t="str">
        <f>IFERROR(INDEX(מלאי!B:B,MATCH(1,מלאי!$AG$3:$AG$357,0)+3-1),"")</f>
        <v/>
      </c>
      <c r="C20" s="17" t="str">
        <f>IFERROR(INDEX(מלאי!C:C,MATCH(1,מלאי!$AG$3:$AG$357,0)+3-1),"")</f>
        <v/>
      </c>
      <c r="D20" s="17" t="str">
        <f>IFERROR(INDEX(מלאי!D:D,MATCH(1,מלאי!$AG$3:$AG$357,0)+3-1),"")</f>
        <v/>
      </c>
      <c r="E20" s="17" t="str">
        <f>IFERROR(INDEX(מלאי!H:H,MATCH(1,מלאי!$AG$3:$AG$357,0)+3-1),"")</f>
        <v/>
      </c>
      <c r="F20" s="17" t="str">
        <f>IFERROR(INDEX(מלאי!I:I,MATCH(1,מלאי!$AG$3:$AG$357,0)+3-1),"")</f>
        <v/>
      </c>
      <c r="G20" s="17" t="str">
        <f>IFERROR(INDEX(מלאי!T:T,MATCH(1,מלאי!$AG$3:$AG$357,0)+3-1),"")</f>
        <v/>
      </c>
      <c r="H20" s="18" t="str">
        <f>IFERROR(INDEX(מלאי!U:U,MATCH(1,מלאי!$AG$3:$AG$357,0)+3-1)&amp;IF(INDEX(מלאי!O:O,MATCH(1,מלאי!$AG$3:$AG$357,0)+3-1)="לא",IF(INDEX(מלאי!U:U,MATCH(1,מלאי!$AG$3:$AG$357,0)+3-1)&lt;&gt;"","  |  ","")&amp;"גרסה לא סופית"&amp;IF(INDEX(מלאי!P:P,MATCH(1,מלאי!$AG$3:$AG$357,0)+3-1)&lt;&gt;"",": "&amp;INDEX(מלאי!P:P,MATCH(1,מלאי!$AG$3:$AG$357,0)+3-1),"")&amp;IF(INDEX(מלאי!Q:Q,MATCH(1,מלאי!$AG$3:$AG$357,0)+3-1)="כן"," (פיתוח)",""),"")&amp;IF(INDEX(מלאי!S:S,MATCH(1,מלאי!$AG$3:$AG$357,0)+3-1)="כן",IF(OR(INDEX(מלאי!U:U,MATCH(1,מלאי!$AG$3:$AG$357,0)+3-1)&lt;&gt;"",INDEX(מלאי!O:O,MATCH(1,מלאי!$AG$3:$AG$357,0)+3-1)="לא"),"  |  ","")&amp;"פער תכולה","")&amp;IF(INDEX(מלאי!N:N,MATCH(1,מלאי!$AG$3:$AG$357,0)+3-1)="לא",IF(OR(INDEX(מלאי!U:U,MATCH(1,מלאי!$AG$3:$AG$357,0)+3-1)&lt;&gt;"",INDEX(מלאי!O:O,MATCH(1,מלאי!$AG$3:$AG$357,0)+3-1)="לא",INDEX(מלאי!S:S,MATCH(1,מלאי!$AG$3:$AG$357,0)+3-1)="כן"),"  |  ","")&amp;"פיצ'רים לא תקינים",""),"")</f>
        <v/>
      </c>
    </row>
    <row r="21" spans="1:8" ht="15" customHeight="1" x14ac:dyDescent="0.25">
      <c r="A21" s="19" t="str">
        <f>IFERROR(INDEX(מלאי!A:A,MATCH(2,מלאי!$AG$3:$AG$357,0)+3-1),"")</f>
        <v/>
      </c>
      <c r="B21" s="19" t="str">
        <f>IFERROR(INDEX(מלאי!B:B,MATCH(2,מלאי!$AG$3:$AG$357,0)+3-1),"")</f>
        <v/>
      </c>
      <c r="C21" s="19" t="str">
        <f>IFERROR(INDEX(מלאי!C:C,MATCH(2,מלאי!$AG$3:$AG$357,0)+3-1),"")</f>
        <v/>
      </c>
      <c r="D21" s="19" t="str">
        <f>IFERROR(INDEX(מלאי!D:D,MATCH(2,מלאי!$AG$3:$AG$357,0)+3-1),"")</f>
        <v/>
      </c>
      <c r="E21" s="19" t="str">
        <f>IFERROR(INDEX(מלאי!H:H,MATCH(2,מלאי!$AG$3:$AG$357,0)+3-1),"")</f>
        <v/>
      </c>
      <c r="F21" s="19" t="str">
        <f>IFERROR(INDEX(מלאי!I:I,MATCH(2,מלאי!$AG$3:$AG$357,0)+3-1),"")</f>
        <v/>
      </c>
      <c r="G21" s="19" t="str">
        <f>IFERROR(INDEX(מלאי!T:T,MATCH(2,מלאי!$AG$3:$AG$357,0)+3-1),"")</f>
        <v/>
      </c>
      <c r="H21" s="20" t="str">
        <f>IFERROR(INDEX(מלאי!U:U,MATCH(2,מלאי!$AG$3:$AG$357,0)+3-1)&amp;IF(INDEX(מלאי!O:O,MATCH(2,מלאי!$AG$3:$AG$357,0)+3-1)="לא",IF(INDEX(מלאי!U:U,MATCH(2,מלאי!$AG$3:$AG$357,0)+3-1)&lt;&gt;"","  |  ","")&amp;"גרסה לא סופית"&amp;IF(INDEX(מלאי!P:P,MATCH(2,מלאי!$AG$3:$AG$357,0)+3-1)&lt;&gt;"",": "&amp;INDEX(מלאי!P:P,MATCH(2,מלאי!$AG$3:$AG$357,0)+3-1),"")&amp;IF(INDEX(מלאי!Q:Q,MATCH(2,מלאי!$AG$3:$AG$357,0)+3-1)="כן"," (פיתוח)",""),"")&amp;IF(INDEX(מלאי!S:S,MATCH(2,מלאי!$AG$3:$AG$357,0)+3-1)="כן",IF(OR(INDEX(מלאי!U:U,MATCH(2,מלאי!$AG$3:$AG$357,0)+3-1)&lt;&gt;"",INDEX(מלאי!O:O,MATCH(2,מלאי!$AG$3:$AG$357,0)+3-1)="לא"),"  |  ","")&amp;"פער תכולה","")&amp;IF(INDEX(מלאי!N:N,MATCH(2,מלאי!$AG$3:$AG$357,0)+3-1)="לא",IF(OR(INDEX(מלאי!U:U,MATCH(2,מלאי!$AG$3:$AG$357,0)+3-1)&lt;&gt;"",INDEX(מלאי!O:O,MATCH(2,מלאי!$AG$3:$AG$357,0)+3-1)="לא",INDEX(מלאי!S:S,MATCH(2,מלאי!$AG$3:$AG$357,0)+3-1)="כן"),"  |  ","")&amp;"פיצ'רים לא תקינים",""),"")</f>
        <v/>
      </c>
    </row>
    <row r="22" spans="1:8" ht="15" customHeight="1" x14ac:dyDescent="0.25">
      <c r="A22" s="17" t="str">
        <f>IFERROR(INDEX(מלאי!A:A,MATCH(3,מלאי!$AG$3:$AG$357,0)+3-1),"")</f>
        <v/>
      </c>
      <c r="B22" s="17" t="str">
        <f>IFERROR(INDEX(מלאי!B:B,MATCH(3,מלאי!$AG$3:$AG$357,0)+3-1),"")</f>
        <v/>
      </c>
      <c r="C22" s="17" t="str">
        <f>IFERROR(INDEX(מלאי!C:C,MATCH(3,מלאי!$AG$3:$AG$357,0)+3-1),"")</f>
        <v/>
      </c>
      <c r="D22" s="17" t="str">
        <f>IFERROR(INDEX(מלאי!D:D,MATCH(3,מלאי!$AG$3:$AG$357,0)+3-1),"")</f>
        <v/>
      </c>
      <c r="E22" s="17" t="str">
        <f>IFERROR(INDEX(מלאי!H:H,MATCH(3,מלאי!$AG$3:$AG$357,0)+3-1),"")</f>
        <v/>
      </c>
      <c r="F22" s="17" t="str">
        <f>IFERROR(INDEX(מלאי!I:I,MATCH(3,מלאי!$AG$3:$AG$357,0)+3-1),"")</f>
        <v/>
      </c>
      <c r="G22" s="17" t="str">
        <f>IFERROR(INDEX(מלאי!T:T,MATCH(3,מלאי!$AG$3:$AG$357,0)+3-1),"")</f>
        <v/>
      </c>
      <c r="H22" s="18" t="str">
        <f>IFERROR(INDEX(מלאי!U:U,MATCH(3,מלאי!$AG$3:$AG$357,0)+3-1)&amp;IF(INDEX(מלאי!O:O,MATCH(3,מלאי!$AG$3:$AG$357,0)+3-1)="לא",IF(INDEX(מלאי!U:U,MATCH(3,מלאי!$AG$3:$AG$357,0)+3-1)&lt;&gt;"","  |  ","")&amp;"גרסה לא סופית"&amp;IF(INDEX(מלאי!P:P,MATCH(3,מלאי!$AG$3:$AG$357,0)+3-1)&lt;&gt;"",": "&amp;INDEX(מלאי!P:P,MATCH(3,מלאי!$AG$3:$AG$357,0)+3-1),"")&amp;IF(INDEX(מלאי!Q:Q,MATCH(3,מלאי!$AG$3:$AG$357,0)+3-1)="כן"," (פיתוח)",""),"")&amp;IF(INDEX(מלאי!S:S,MATCH(3,מלאי!$AG$3:$AG$357,0)+3-1)="כן",IF(OR(INDEX(מלאי!U:U,MATCH(3,מלאי!$AG$3:$AG$357,0)+3-1)&lt;&gt;"",INDEX(מלאי!O:O,MATCH(3,מלאי!$AG$3:$AG$357,0)+3-1)="לא"),"  |  ","")&amp;"פער תכולה","")&amp;IF(INDEX(מלאי!N:N,MATCH(3,מלאי!$AG$3:$AG$357,0)+3-1)="לא",IF(OR(INDEX(מלאי!U:U,MATCH(3,מלאי!$AG$3:$AG$357,0)+3-1)&lt;&gt;"",INDEX(מלאי!O:O,MATCH(3,מלאי!$AG$3:$AG$357,0)+3-1)="לא",INDEX(מלאי!S:S,MATCH(3,מלאי!$AG$3:$AG$357,0)+3-1)="כן"),"  |  ","")&amp;"פיצ'רים לא תקינים",""),"")</f>
        <v/>
      </c>
    </row>
    <row r="23" spans="1:8" ht="15" customHeight="1" x14ac:dyDescent="0.25">
      <c r="A23" s="19" t="str">
        <f>IFERROR(INDEX(מלאי!A:A,MATCH(4,מלאי!$AG$3:$AG$357,0)+3-1),"")</f>
        <v/>
      </c>
      <c r="B23" s="19" t="str">
        <f>IFERROR(INDEX(מלאי!B:B,MATCH(4,מלאי!$AG$3:$AG$357,0)+3-1),"")</f>
        <v/>
      </c>
      <c r="C23" s="19" t="str">
        <f>IFERROR(INDEX(מלאי!C:C,MATCH(4,מלאי!$AG$3:$AG$357,0)+3-1),"")</f>
        <v/>
      </c>
      <c r="D23" s="19" t="str">
        <f>IFERROR(INDEX(מלאי!D:D,MATCH(4,מלאי!$AG$3:$AG$357,0)+3-1),"")</f>
        <v/>
      </c>
      <c r="E23" s="19" t="str">
        <f>IFERROR(INDEX(מלאי!H:H,MATCH(4,מלאי!$AG$3:$AG$357,0)+3-1),"")</f>
        <v/>
      </c>
      <c r="F23" s="19" t="str">
        <f>IFERROR(INDEX(מלאי!I:I,MATCH(4,מלאי!$AG$3:$AG$357,0)+3-1),"")</f>
        <v/>
      </c>
      <c r="G23" s="19" t="str">
        <f>IFERROR(INDEX(מלאי!T:T,MATCH(4,מלאי!$AG$3:$AG$357,0)+3-1),"")</f>
        <v/>
      </c>
      <c r="H23" s="20" t="str">
        <f>IFERROR(INDEX(מלאי!U:U,MATCH(4,מלאי!$AG$3:$AG$357,0)+3-1)&amp;IF(INDEX(מלאי!O:O,MATCH(4,מלאי!$AG$3:$AG$357,0)+3-1)="לא",IF(INDEX(מלאי!U:U,MATCH(4,מלאי!$AG$3:$AG$357,0)+3-1)&lt;&gt;"","  |  ","")&amp;"גרסה לא סופית"&amp;IF(INDEX(מלאי!P:P,MATCH(4,מלאי!$AG$3:$AG$357,0)+3-1)&lt;&gt;"",": "&amp;INDEX(מלאי!P:P,MATCH(4,מלאי!$AG$3:$AG$357,0)+3-1),"")&amp;IF(INDEX(מלאי!Q:Q,MATCH(4,מלאי!$AG$3:$AG$357,0)+3-1)="כן"," (פיתוח)",""),"")&amp;IF(INDEX(מלאי!S:S,MATCH(4,מלאי!$AG$3:$AG$357,0)+3-1)="כן",IF(OR(INDEX(מלאי!U:U,MATCH(4,מלאי!$AG$3:$AG$357,0)+3-1)&lt;&gt;"",INDEX(מלאי!O:O,MATCH(4,מלאי!$AG$3:$AG$357,0)+3-1)="לא"),"  |  ","")&amp;"פער תכולה","")&amp;IF(INDEX(מלאי!N:N,MATCH(4,מלאי!$AG$3:$AG$357,0)+3-1)="לא",IF(OR(INDEX(מלאי!U:U,MATCH(4,מלאי!$AG$3:$AG$357,0)+3-1)&lt;&gt;"",INDEX(מלאי!O:O,MATCH(4,מלאי!$AG$3:$AG$357,0)+3-1)="לא",INDEX(מלאי!S:S,MATCH(4,מלאי!$AG$3:$AG$357,0)+3-1)="כן"),"  |  ","")&amp;"פיצ'רים לא תקינים",""),"")</f>
        <v/>
      </c>
    </row>
    <row r="24" spans="1:8" ht="15" customHeight="1" x14ac:dyDescent="0.25">
      <c r="A24" s="17" t="str">
        <f>IFERROR(INDEX(מלאי!A:A,MATCH(5,מלאי!$AG$3:$AG$357,0)+3-1),"")</f>
        <v/>
      </c>
      <c r="B24" s="17" t="str">
        <f>IFERROR(INDEX(מלאי!B:B,MATCH(5,מלאי!$AG$3:$AG$357,0)+3-1),"")</f>
        <v/>
      </c>
      <c r="C24" s="17" t="str">
        <f>IFERROR(INDEX(מלאי!C:C,MATCH(5,מלאי!$AG$3:$AG$357,0)+3-1),"")</f>
        <v/>
      </c>
      <c r="D24" s="17" t="str">
        <f>IFERROR(INDEX(מלאי!D:D,MATCH(5,מלאי!$AG$3:$AG$357,0)+3-1),"")</f>
        <v/>
      </c>
      <c r="E24" s="17" t="str">
        <f>IFERROR(INDEX(מלאי!H:H,MATCH(5,מלאי!$AG$3:$AG$357,0)+3-1),"")</f>
        <v/>
      </c>
      <c r="F24" s="17" t="str">
        <f>IFERROR(INDEX(מלאי!I:I,MATCH(5,מלאי!$AG$3:$AG$357,0)+3-1),"")</f>
        <v/>
      </c>
      <c r="G24" s="17" t="str">
        <f>IFERROR(INDEX(מלאי!T:T,MATCH(5,מלאי!$AG$3:$AG$357,0)+3-1),"")</f>
        <v/>
      </c>
      <c r="H24" s="18" t="str">
        <f>IFERROR(INDEX(מלאי!U:U,MATCH(5,מלאי!$AG$3:$AG$357,0)+3-1)&amp;IF(INDEX(מלאי!O:O,MATCH(5,מלאי!$AG$3:$AG$357,0)+3-1)="לא",IF(INDEX(מלאי!U:U,MATCH(5,מלאי!$AG$3:$AG$357,0)+3-1)&lt;&gt;"","  |  ","")&amp;"גרסה לא סופית"&amp;IF(INDEX(מלאי!P:P,MATCH(5,מלאי!$AG$3:$AG$357,0)+3-1)&lt;&gt;"",": "&amp;INDEX(מלאי!P:P,MATCH(5,מלאי!$AG$3:$AG$357,0)+3-1),"")&amp;IF(INDEX(מלאי!Q:Q,MATCH(5,מלאי!$AG$3:$AG$357,0)+3-1)="כן"," (פיתוח)",""),"")&amp;IF(INDEX(מלאי!S:S,MATCH(5,מלאי!$AG$3:$AG$357,0)+3-1)="כן",IF(OR(INDEX(מלאי!U:U,MATCH(5,מלאי!$AG$3:$AG$357,0)+3-1)&lt;&gt;"",INDEX(מלאי!O:O,MATCH(5,מלאי!$AG$3:$AG$357,0)+3-1)="לא"),"  |  ","")&amp;"פער תכולה","")&amp;IF(INDEX(מלאי!N:N,MATCH(5,מלאי!$AG$3:$AG$357,0)+3-1)="לא",IF(OR(INDEX(מלאי!U:U,MATCH(5,מלאי!$AG$3:$AG$357,0)+3-1)&lt;&gt;"",INDEX(מלאי!O:O,MATCH(5,מלאי!$AG$3:$AG$357,0)+3-1)="לא",INDEX(מלאי!S:S,MATCH(5,מלאי!$AG$3:$AG$357,0)+3-1)="כן"),"  |  ","")&amp;"פיצ'רים לא תקינים",""),"")</f>
        <v/>
      </c>
    </row>
    <row r="25" spans="1:8" ht="15" customHeight="1" x14ac:dyDescent="0.25">
      <c r="A25" s="19" t="str">
        <f>IFERROR(INDEX(מלאי!A:A,MATCH(6,מלאי!$AG$3:$AG$357,0)+3-1),"")</f>
        <v/>
      </c>
      <c r="B25" s="19" t="str">
        <f>IFERROR(INDEX(מלאי!B:B,MATCH(6,מלאי!$AG$3:$AG$357,0)+3-1),"")</f>
        <v/>
      </c>
      <c r="C25" s="19" t="str">
        <f>IFERROR(INDEX(מלאי!C:C,MATCH(6,מלאי!$AG$3:$AG$357,0)+3-1),"")</f>
        <v/>
      </c>
      <c r="D25" s="19" t="str">
        <f>IFERROR(INDEX(מלאי!D:D,MATCH(6,מלאי!$AG$3:$AG$357,0)+3-1),"")</f>
        <v/>
      </c>
      <c r="E25" s="19" t="str">
        <f>IFERROR(INDEX(מלאי!H:H,MATCH(6,מלאי!$AG$3:$AG$357,0)+3-1),"")</f>
        <v/>
      </c>
      <c r="F25" s="19" t="str">
        <f>IFERROR(INDEX(מלאי!I:I,MATCH(6,מלאי!$AG$3:$AG$357,0)+3-1),"")</f>
        <v/>
      </c>
      <c r="G25" s="19" t="str">
        <f>IFERROR(INDEX(מלאי!T:T,MATCH(6,מלאי!$AG$3:$AG$357,0)+3-1),"")</f>
        <v/>
      </c>
      <c r="H25" s="20" t="str">
        <f>IFERROR(INDEX(מלאי!U:U,MATCH(6,מלאי!$AG$3:$AG$357,0)+3-1)&amp;IF(INDEX(מלאי!O:O,MATCH(6,מלאי!$AG$3:$AG$357,0)+3-1)="לא",IF(INDEX(מלאי!U:U,MATCH(6,מלאי!$AG$3:$AG$357,0)+3-1)&lt;&gt;"","  |  ","")&amp;"גרסה לא סופית"&amp;IF(INDEX(מלאי!P:P,MATCH(6,מלאי!$AG$3:$AG$357,0)+3-1)&lt;&gt;"",": "&amp;INDEX(מלאי!P:P,MATCH(6,מלאי!$AG$3:$AG$357,0)+3-1),"")&amp;IF(INDEX(מלאי!Q:Q,MATCH(6,מלאי!$AG$3:$AG$357,0)+3-1)="כן"," (פיתוח)",""),"")&amp;IF(INDEX(מלאי!S:S,MATCH(6,מלאי!$AG$3:$AG$357,0)+3-1)="כן",IF(OR(INDEX(מלאי!U:U,MATCH(6,מלאי!$AG$3:$AG$357,0)+3-1)&lt;&gt;"",INDEX(מלאי!O:O,MATCH(6,מלאי!$AG$3:$AG$357,0)+3-1)="לא"),"  |  ","")&amp;"פער תכולה","")&amp;IF(INDEX(מלאי!N:N,MATCH(6,מלאי!$AG$3:$AG$357,0)+3-1)="לא",IF(OR(INDEX(מלאי!U:U,MATCH(6,מלאי!$AG$3:$AG$357,0)+3-1)&lt;&gt;"",INDEX(מלאי!O:O,MATCH(6,מלאי!$AG$3:$AG$357,0)+3-1)="לא",INDEX(מלאי!S:S,MATCH(6,מלאי!$AG$3:$AG$357,0)+3-1)="כן"),"  |  ","")&amp;"פיצ'רים לא תקינים",""),"")</f>
        <v/>
      </c>
    </row>
    <row r="26" spans="1:8" ht="15" customHeight="1" x14ac:dyDescent="0.25">
      <c r="A26" s="17" t="str">
        <f>IFERROR(INDEX(מלאי!A:A,MATCH(7,מלאי!$AG$3:$AG$357,0)+3-1),"")</f>
        <v/>
      </c>
      <c r="B26" s="17" t="str">
        <f>IFERROR(INDEX(מלאי!B:B,MATCH(7,מלאי!$AG$3:$AG$357,0)+3-1),"")</f>
        <v/>
      </c>
      <c r="C26" s="17" t="str">
        <f>IFERROR(INDEX(מלאי!C:C,MATCH(7,מלאי!$AG$3:$AG$357,0)+3-1),"")</f>
        <v/>
      </c>
      <c r="D26" s="17" t="str">
        <f>IFERROR(INDEX(מלאי!D:D,MATCH(7,מלאי!$AG$3:$AG$357,0)+3-1),"")</f>
        <v/>
      </c>
      <c r="E26" s="17" t="str">
        <f>IFERROR(INDEX(מלאי!H:H,MATCH(7,מלאי!$AG$3:$AG$357,0)+3-1),"")</f>
        <v/>
      </c>
      <c r="F26" s="17" t="str">
        <f>IFERROR(INDEX(מלאי!I:I,MATCH(7,מלאי!$AG$3:$AG$357,0)+3-1),"")</f>
        <v/>
      </c>
      <c r="G26" s="17" t="str">
        <f>IFERROR(INDEX(מלאי!T:T,MATCH(7,מלאי!$AG$3:$AG$357,0)+3-1),"")</f>
        <v/>
      </c>
      <c r="H26" s="18" t="str">
        <f>IFERROR(INDEX(מלאי!U:U,MATCH(7,מלאי!$AG$3:$AG$357,0)+3-1)&amp;IF(INDEX(מלאי!O:O,MATCH(7,מלאי!$AG$3:$AG$357,0)+3-1)="לא",IF(INDEX(מלאי!U:U,MATCH(7,מלאי!$AG$3:$AG$357,0)+3-1)&lt;&gt;"","  |  ","")&amp;"גרסה לא סופית"&amp;IF(INDEX(מלאי!P:P,MATCH(7,מלאי!$AG$3:$AG$357,0)+3-1)&lt;&gt;"",": "&amp;INDEX(מלאי!P:P,MATCH(7,מלאי!$AG$3:$AG$357,0)+3-1),"")&amp;IF(INDEX(מלאי!Q:Q,MATCH(7,מלאי!$AG$3:$AG$357,0)+3-1)="כן"," (פיתוח)",""),"")&amp;IF(INDEX(מלאי!S:S,MATCH(7,מלאי!$AG$3:$AG$357,0)+3-1)="כן",IF(OR(INDEX(מלאי!U:U,MATCH(7,מלאי!$AG$3:$AG$357,0)+3-1)&lt;&gt;"",INDEX(מלאי!O:O,MATCH(7,מלאי!$AG$3:$AG$357,0)+3-1)="לא"),"  |  ","")&amp;"פער תכולה","")&amp;IF(INDEX(מלאי!N:N,MATCH(7,מלאי!$AG$3:$AG$357,0)+3-1)="לא",IF(OR(INDEX(מלאי!U:U,MATCH(7,מלאי!$AG$3:$AG$357,0)+3-1)&lt;&gt;"",INDEX(מלאי!O:O,MATCH(7,מלאי!$AG$3:$AG$357,0)+3-1)="לא",INDEX(מלאי!S:S,MATCH(7,מלאי!$AG$3:$AG$357,0)+3-1)="כן"),"  |  ","")&amp;"פיצ'רים לא תקינים",""),"")</f>
        <v/>
      </c>
    </row>
    <row r="27" spans="1:8" ht="15" customHeight="1" x14ac:dyDescent="0.25">
      <c r="A27" s="19" t="str">
        <f>IFERROR(INDEX(מלאי!A:A,MATCH(8,מלאי!$AG$3:$AG$357,0)+3-1),"")</f>
        <v/>
      </c>
      <c r="B27" s="19" t="str">
        <f>IFERROR(INDEX(מלאי!B:B,MATCH(8,מלאי!$AG$3:$AG$357,0)+3-1),"")</f>
        <v/>
      </c>
      <c r="C27" s="19" t="str">
        <f>IFERROR(INDEX(מלאי!C:C,MATCH(8,מלאי!$AG$3:$AG$357,0)+3-1),"")</f>
        <v/>
      </c>
      <c r="D27" s="19" t="str">
        <f>IFERROR(INDEX(מלאי!D:D,MATCH(8,מלאי!$AG$3:$AG$357,0)+3-1),"")</f>
        <v/>
      </c>
      <c r="E27" s="19" t="str">
        <f>IFERROR(INDEX(מלאי!H:H,MATCH(8,מלאי!$AG$3:$AG$357,0)+3-1),"")</f>
        <v/>
      </c>
      <c r="F27" s="19" t="str">
        <f>IFERROR(INDEX(מלאי!I:I,MATCH(8,מלאי!$AG$3:$AG$357,0)+3-1),"")</f>
        <v/>
      </c>
      <c r="G27" s="19" t="str">
        <f>IFERROR(INDEX(מלאי!T:T,MATCH(8,מלאי!$AG$3:$AG$357,0)+3-1),"")</f>
        <v/>
      </c>
      <c r="H27" s="20" t="str">
        <f>IFERROR(INDEX(מלאי!U:U,MATCH(8,מלאי!$AG$3:$AG$357,0)+3-1)&amp;IF(INDEX(מלאי!O:O,MATCH(8,מלאי!$AG$3:$AG$357,0)+3-1)="לא",IF(INDEX(מלאי!U:U,MATCH(8,מלאי!$AG$3:$AG$357,0)+3-1)&lt;&gt;"","  |  ","")&amp;"גרסה לא סופית"&amp;IF(INDEX(מלאי!P:P,MATCH(8,מלאי!$AG$3:$AG$357,0)+3-1)&lt;&gt;"",": "&amp;INDEX(מלאי!P:P,MATCH(8,מלאי!$AG$3:$AG$357,0)+3-1),"")&amp;IF(INDEX(מלאי!Q:Q,MATCH(8,מלאי!$AG$3:$AG$357,0)+3-1)="כן"," (פיתוח)",""),"")&amp;IF(INDEX(מלאי!S:S,MATCH(8,מלאי!$AG$3:$AG$357,0)+3-1)="כן",IF(OR(INDEX(מלאי!U:U,MATCH(8,מלאי!$AG$3:$AG$357,0)+3-1)&lt;&gt;"",INDEX(מלאי!O:O,MATCH(8,מלאי!$AG$3:$AG$357,0)+3-1)="לא"),"  |  ","")&amp;"פער תכולה","")&amp;IF(INDEX(מלאי!N:N,MATCH(8,מלאי!$AG$3:$AG$357,0)+3-1)="לא",IF(OR(INDEX(מלאי!U:U,MATCH(8,מלאי!$AG$3:$AG$357,0)+3-1)&lt;&gt;"",INDEX(מלאי!O:O,MATCH(8,מלאי!$AG$3:$AG$357,0)+3-1)="לא",INDEX(מלאי!S:S,MATCH(8,מלאי!$AG$3:$AG$357,0)+3-1)="כן"),"  |  ","")&amp;"פיצ'רים לא תקינים",""),"")</f>
        <v/>
      </c>
    </row>
    <row r="28" spans="1:8" ht="15" customHeight="1" x14ac:dyDescent="0.25">
      <c r="A28" s="17" t="str">
        <f>IFERROR(INDEX(מלאי!A:A,MATCH(9,מלאי!$AG$3:$AG$357,0)+3-1),"")</f>
        <v/>
      </c>
      <c r="B28" s="17" t="str">
        <f>IFERROR(INDEX(מלאי!B:B,MATCH(9,מלאי!$AG$3:$AG$357,0)+3-1),"")</f>
        <v/>
      </c>
      <c r="C28" s="17" t="str">
        <f>IFERROR(INDEX(מלאי!C:C,MATCH(9,מלאי!$AG$3:$AG$357,0)+3-1),"")</f>
        <v/>
      </c>
      <c r="D28" s="17" t="str">
        <f>IFERROR(INDEX(מלאי!D:D,MATCH(9,מלאי!$AG$3:$AG$357,0)+3-1),"")</f>
        <v/>
      </c>
      <c r="E28" s="17" t="str">
        <f>IFERROR(INDEX(מלאי!H:H,MATCH(9,מלאי!$AG$3:$AG$357,0)+3-1),"")</f>
        <v/>
      </c>
      <c r="F28" s="17" t="str">
        <f>IFERROR(INDEX(מלאי!I:I,MATCH(9,מלאי!$AG$3:$AG$357,0)+3-1),"")</f>
        <v/>
      </c>
      <c r="G28" s="17" t="str">
        <f>IFERROR(INDEX(מלאי!T:T,MATCH(9,מלאי!$AG$3:$AG$357,0)+3-1),"")</f>
        <v/>
      </c>
      <c r="H28" s="18" t="str">
        <f>IFERROR(INDEX(מלאי!U:U,MATCH(9,מלאי!$AG$3:$AG$357,0)+3-1)&amp;IF(INDEX(מלאי!O:O,MATCH(9,מלאי!$AG$3:$AG$357,0)+3-1)="לא",IF(INDEX(מלאי!U:U,MATCH(9,מלאי!$AG$3:$AG$357,0)+3-1)&lt;&gt;"","  |  ","")&amp;"גרסה לא סופית"&amp;IF(INDEX(מלאי!P:P,MATCH(9,מלאי!$AG$3:$AG$357,0)+3-1)&lt;&gt;"",": "&amp;INDEX(מלאי!P:P,MATCH(9,מלאי!$AG$3:$AG$357,0)+3-1),"")&amp;IF(INDEX(מלאי!Q:Q,MATCH(9,מלאי!$AG$3:$AG$357,0)+3-1)="כן"," (פיתוח)",""),"")&amp;IF(INDEX(מלאי!S:S,MATCH(9,מלאי!$AG$3:$AG$357,0)+3-1)="כן",IF(OR(INDEX(מלאי!U:U,MATCH(9,מלאי!$AG$3:$AG$357,0)+3-1)&lt;&gt;"",INDEX(מלאי!O:O,MATCH(9,מלאי!$AG$3:$AG$357,0)+3-1)="לא"),"  |  ","")&amp;"פער תכולה","")&amp;IF(INDEX(מלאי!N:N,MATCH(9,מלאי!$AG$3:$AG$357,0)+3-1)="לא",IF(OR(INDEX(מלאי!U:U,MATCH(9,מלאי!$AG$3:$AG$357,0)+3-1)&lt;&gt;"",INDEX(מלאי!O:O,MATCH(9,מלאי!$AG$3:$AG$357,0)+3-1)="לא",INDEX(מלאי!S:S,MATCH(9,מלאי!$AG$3:$AG$357,0)+3-1)="כן"),"  |  ","")&amp;"פיצ'רים לא תקינים",""),"")</f>
        <v/>
      </c>
    </row>
    <row r="29" spans="1:8" ht="15" customHeight="1" x14ac:dyDescent="0.25">
      <c r="A29" s="19" t="str">
        <f>IFERROR(INDEX(מלאי!A:A,MATCH(10,מלאי!$AG$3:$AG$357,0)+3-1),"")</f>
        <v/>
      </c>
      <c r="B29" s="19" t="str">
        <f>IFERROR(INDEX(מלאי!B:B,MATCH(10,מלאי!$AG$3:$AG$357,0)+3-1),"")</f>
        <v/>
      </c>
      <c r="C29" s="19" t="str">
        <f>IFERROR(INDEX(מלאי!C:C,MATCH(10,מלאי!$AG$3:$AG$357,0)+3-1),"")</f>
        <v/>
      </c>
      <c r="D29" s="19" t="str">
        <f>IFERROR(INDEX(מלאי!D:D,MATCH(10,מלאי!$AG$3:$AG$357,0)+3-1),"")</f>
        <v/>
      </c>
      <c r="E29" s="19" t="str">
        <f>IFERROR(INDEX(מלאי!H:H,MATCH(10,מלאי!$AG$3:$AG$357,0)+3-1),"")</f>
        <v/>
      </c>
      <c r="F29" s="19" t="str">
        <f>IFERROR(INDEX(מלאי!I:I,MATCH(10,מלאי!$AG$3:$AG$357,0)+3-1),"")</f>
        <v/>
      </c>
      <c r="G29" s="19" t="str">
        <f>IFERROR(INDEX(מלאי!T:T,MATCH(10,מלאי!$AG$3:$AG$357,0)+3-1),"")</f>
        <v/>
      </c>
      <c r="H29" s="20" t="str">
        <f>IFERROR(INDEX(מלאי!U:U,MATCH(10,מלאי!$AG$3:$AG$357,0)+3-1)&amp;IF(INDEX(מלאי!O:O,MATCH(10,מלאי!$AG$3:$AG$357,0)+3-1)="לא",IF(INDEX(מלאי!U:U,MATCH(10,מלאי!$AG$3:$AG$357,0)+3-1)&lt;&gt;"","  |  ","")&amp;"גרסה לא סופית"&amp;IF(INDEX(מלאי!P:P,MATCH(10,מלאי!$AG$3:$AG$357,0)+3-1)&lt;&gt;"",": "&amp;INDEX(מלאי!P:P,MATCH(10,מלאי!$AG$3:$AG$357,0)+3-1),"")&amp;IF(INDEX(מלאי!Q:Q,MATCH(10,מלאי!$AG$3:$AG$357,0)+3-1)="כן"," (פיתוח)",""),"")&amp;IF(INDEX(מלאי!S:S,MATCH(10,מלאי!$AG$3:$AG$357,0)+3-1)="כן",IF(OR(INDEX(מלאי!U:U,MATCH(10,מלאי!$AG$3:$AG$357,0)+3-1)&lt;&gt;"",INDEX(מלאי!O:O,MATCH(10,מלאי!$AG$3:$AG$357,0)+3-1)="לא"),"  |  ","")&amp;"פער תכולה","")&amp;IF(INDEX(מלאי!N:N,MATCH(10,מלאי!$AG$3:$AG$357,0)+3-1)="לא",IF(OR(INDEX(מלאי!U:U,MATCH(10,מלאי!$AG$3:$AG$357,0)+3-1)&lt;&gt;"",INDEX(מלאי!O:O,MATCH(10,מלאי!$AG$3:$AG$357,0)+3-1)="לא",INDEX(מלאי!S:S,MATCH(10,מלאי!$AG$3:$AG$357,0)+3-1)="כן"),"  |  ","")&amp;"פיצ'רים לא תקינים",""),"")</f>
        <v/>
      </c>
    </row>
    <row r="30" spans="1:8" ht="15" customHeight="1" x14ac:dyDescent="0.25">
      <c r="A30" s="17" t="str">
        <f>IFERROR(INDEX(מלאי!A:A,MATCH(11,מלאי!$AG$3:$AG$357,0)+3-1),"")</f>
        <v/>
      </c>
      <c r="B30" s="17" t="str">
        <f>IFERROR(INDEX(מלאי!B:B,MATCH(11,מלאי!$AG$3:$AG$357,0)+3-1),"")</f>
        <v/>
      </c>
      <c r="C30" s="17" t="str">
        <f>IFERROR(INDEX(מלאי!C:C,MATCH(11,מלאי!$AG$3:$AG$357,0)+3-1),"")</f>
        <v/>
      </c>
      <c r="D30" s="17" t="str">
        <f>IFERROR(INDEX(מלאי!D:D,MATCH(11,מלאי!$AG$3:$AG$357,0)+3-1),"")</f>
        <v/>
      </c>
      <c r="E30" s="17" t="str">
        <f>IFERROR(INDEX(מלאי!H:H,MATCH(11,מלאי!$AG$3:$AG$357,0)+3-1),"")</f>
        <v/>
      </c>
      <c r="F30" s="17" t="str">
        <f>IFERROR(INDEX(מלאי!I:I,MATCH(11,מלאי!$AG$3:$AG$357,0)+3-1),"")</f>
        <v/>
      </c>
      <c r="G30" s="17" t="str">
        <f>IFERROR(INDEX(מלאי!T:T,MATCH(11,מלאי!$AG$3:$AG$357,0)+3-1),"")</f>
        <v/>
      </c>
      <c r="H30" s="18" t="str">
        <f>IFERROR(INDEX(מלאי!U:U,MATCH(11,מלאי!$AG$3:$AG$357,0)+3-1)&amp;IF(INDEX(מלאי!O:O,MATCH(11,מלאי!$AG$3:$AG$357,0)+3-1)="לא",IF(INDEX(מלאי!U:U,MATCH(11,מלאי!$AG$3:$AG$357,0)+3-1)&lt;&gt;"","  |  ","")&amp;"גרסה לא סופית"&amp;IF(INDEX(מלאי!P:P,MATCH(11,מלאי!$AG$3:$AG$357,0)+3-1)&lt;&gt;"",": "&amp;INDEX(מלאי!P:P,MATCH(11,מלאי!$AG$3:$AG$357,0)+3-1),"")&amp;IF(INDEX(מלאי!Q:Q,MATCH(11,מלאי!$AG$3:$AG$357,0)+3-1)="כן"," (פיתוח)",""),"")&amp;IF(INDEX(מלאי!S:S,MATCH(11,מלאי!$AG$3:$AG$357,0)+3-1)="כן",IF(OR(INDEX(מלאי!U:U,MATCH(11,מלאי!$AG$3:$AG$357,0)+3-1)&lt;&gt;"",INDEX(מלאי!O:O,MATCH(11,מלאי!$AG$3:$AG$357,0)+3-1)="לא"),"  |  ","")&amp;"פער תכולה","")&amp;IF(INDEX(מלאי!N:N,MATCH(11,מלאי!$AG$3:$AG$357,0)+3-1)="לא",IF(OR(INDEX(מלאי!U:U,MATCH(11,מלאי!$AG$3:$AG$357,0)+3-1)&lt;&gt;"",INDEX(מלאי!O:O,MATCH(11,מלאי!$AG$3:$AG$357,0)+3-1)="לא",INDEX(מלאי!S:S,MATCH(11,מלאי!$AG$3:$AG$357,0)+3-1)="כן"),"  |  ","")&amp;"פיצ'רים לא תקינים",""),"")</f>
        <v/>
      </c>
    </row>
    <row r="31" spans="1:8" ht="15" customHeight="1" x14ac:dyDescent="0.25">
      <c r="A31" s="19" t="str">
        <f>IFERROR(INDEX(מלאי!A:A,MATCH(12,מלאי!$AG$3:$AG$357,0)+3-1),"")</f>
        <v/>
      </c>
      <c r="B31" s="19" t="str">
        <f>IFERROR(INDEX(מלאי!B:B,MATCH(12,מלאי!$AG$3:$AG$357,0)+3-1),"")</f>
        <v/>
      </c>
      <c r="C31" s="19" t="str">
        <f>IFERROR(INDEX(מלאי!C:C,MATCH(12,מלאי!$AG$3:$AG$357,0)+3-1),"")</f>
        <v/>
      </c>
      <c r="D31" s="19" t="str">
        <f>IFERROR(INDEX(מלאי!D:D,MATCH(12,מלאי!$AG$3:$AG$357,0)+3-1),"")</f>
        <v/>
      </c>
      <c r="E31" s="19" t="str">
        <f>IFERROR(INDEX(מלאי!H:H,MATCH(12,מלאי!$AG$3:$AG$357,0)+3-1),"")</f>
        <v/>
      </c>
      <c r="F31" s="19" t="str">
        <f>IFERROR(INDEX(מלאי!I:I,MATCH(12,מלאי!$AG$3:$AG$357,0)+3-1),"")</f>
        <v/>
      </c>
      <c r="G31" s="19" t="str">
        <f>IFERROR(INDEX(מלאי!T:T,MATCH(12,מלאי!$AG$3:$AG$357,0)+3-1),"")</f>
        <v/>
      </c>
      <c r="H31" s="20" t="str">
        <f>IFERROR(INDEX(מלאי!U:U,MATCH(12,מלאי!$AG$3:$AG$357,0)+3-1)&amp;IF(INDEX(מלאי!O:O,MATCH(12,מלאי!$AG$3:$AG$357,0)+3-1)="לא",IF(INDEX(מלאי!U:U,MATCH(12,מלאי!$AG$3:$AG$357,0)+3-1)&lt;&gt;"","  |  ","")&amp;"גרסה לא סופית"&amp;IF(INDEX(מלאי!P:P,MATCH(12,מלאי!$AG$3:$AG$357,0)+3-1)&lt;&gt;"",": "&amp;INDEX(מלאי!P:P,MATCH(12,מלאי!$AG$3:$AG$357,0)+3-1),"")&amp;IF(INDEX(מלאי!Q:Q,MATCH(12,מלאי!$AG$3:$AG$357,0)+3-1)="כן"," (פיתוח)",""),"")&amp;IF(INDEX(מלאי!S:S,MATCH(12,מלאי!$AG$3:$AG$357,0)+3-1)="כן",IF(OR(INDEX(מלאי!U:U,MATCH(12,מלאי!$AG$3:$AG$357,0)+3-1)&lt;&gt;"",INDEX(מלאי!O:O,MATCH(12,מלאי!$AG$3:$AG$357,0)+3-1)="לא"),"  |  ","")&amp;"פער תכולה","")&amp;IF(INDEX(מלאי!N:N,MATCH(12,מלאי!$AG$3:$AG$357,0)+3-1)="לא",IF(OR(INDEX(מלאי!U:U,MATCH(12,מלאי!$AG$3:$AG$357,0)+3-1)&lt;&gt;"",INDEX(מלאי!O:O,MATCH(12,מלאי!$AG$3:$AG$357,0)+3-1)="לא",INDEX(מלאי!S:S,MATCH(12,מלאי!$AG$3:$AG$357,0)+3-1)="כן"),"  |  ","")&amp;"פיצ'רים לא תקינים",""),"")</f>
        <v/>
      </c>
    </row>
    <row r="32" spans="1:8" ht="15" customHeight="1" x14ac:dyDescent="0.25">
      <c r="A32" s="17" t="str">
        <f>IFERROR(INDEX(מלאי!A:A,MATCH(13,מלאי!$AG$3:$AG$357,0)+3-1),"")</f>
        <v/>
      </c>
      <c r="B32" s="17" t="str">
        <f>IFERROR(INDEX(מלאי!B:B,MATCH(13,מלאי!$AG$3:$AG$357,0)+3-1),"")</f>
        <v/>
      </c>
      <c r="C32" s="17" t="str">
        <f>IFERROR(INDEX(מלאי!C:C,MATCH(13,מלאי!$AG$3:$AG$357,0)+3-1),"")</f>
        <v/>
      </c>
      <c r="D32" s="17" t="str">
        <f>IFERROR(INDEX(מלאי!D:D,MATCH(13,מלאי!$AG$3:$AG$357,0)+3-1),"")</f>
        <v/>
      </c>
      <c r="E32" s="17" t="str">
        <f>IFERROR(INDEX(מלאי!H:H,MATCH(13,מלאי!$AG$3:$AG$357,0)+3-1),"")</f>
        <v/>
      </c>
      <c r="F32" s="17" t="str">
        <f>IFERROR(INDEX(מלאי!I:I,MATCH(13,מלאי!$AG$3:$AG$357,0)+3-1),"")</f>
        <v/>
      </c>
      <c r="G32" s="17" t="str">
        <f>IFERROR(INDEX(מלאי!T:T,MATCH(13,מלאי!$AG$3:$AG$357,0)+3-1),"")</f>
        <v/>
      </c>
      <c r="H32" s="18" t="str">
        <f>IFERROR(INDEX(מלאי!U:U,MATCH(13,מלאי!$AG$3:$AG$357,0)+3-1)&amp;IF(INDEX(מלאי!O:O,MATCH(13,מלאי!$AG$3:$AG$357,0)+3-1)="לא",IF(INDEX(מלאי!U:U,MATCH(13,מלאי!$AG$3:$AG$357,0)+3-1)&lt;&gt;"","  |  ","")&amp;"גרסה לא סופית"&amp;IF(INDEX(מלאי!P:P,MATCH(13,מלאי!$AG$3:$AG$357,0)+3-1)&lt;&gt;"",": "&amp;INDEX(מלאי!P:P,MATCH(13,מלאי!$AG$3:$AG$357,0)+3-1),"")&amp;IF(INDEX(מלאי!Q:Q,MATCH(13,מלאי!$AG$3:$AG$357,0)+3-1)="כן"," (פיתוח)",""),"")&amp;IF(INDEX(מלאי!S:S,MATCH(13,מלאי!$AG$3:$AG$357,0)+3-1)="כן",IF(OR(INDEX(מלאי!U:U,MATCH(13,מלאי!$AG$3:$AG$357,0)+3-1)&lt;&gt;"",INDEX(מלאי!O:O,MATCH(13,מלאי!$AG$3:$AG$357,0)+3-1)="לא"),"  |  ","")&amp;"פער תכולה","")&amp;IF(INDEX(מלאי!N:N,MATCH(13,מלאי!$AG$3:$AG$357,0)+3-1)="לא",IF(OR(INDEX(מלאי!U:U,MATCH(13,מלאי!$AG$3:$AG$357,0)+3-1)&lt;&gt;"",INDEX(מלאי!O:O,MATCH(13,מלאי!$AG$3:$AG$357,0)+3-1)="לא",INDEX(מלאי!S:S,MATCH(13,מלאי!$AG$3:$AG$357,0)+3-1)="כן"),"  |  ","")&amp;"פיצ'רים לא תקינים",""),"")</f>
        <v/>
      </c>
    </row>
    <row r="33" spans="1:8" ht="15" customHeight="1" x14ac:dyDescent="0.25">
      <c r="A33" s="19" t="str">
        <f>IFERROR(INDEX(מלאי!A:A,MATCH(14,מלאי!$AG$3:$AG$357,0)+3-1),"")</f>
        <v/>
      </c>
      <c r="B33" s="19" t="str">
        <f>IFERROR(INDEX(מלאי!B:B,MATCH(14,מלאי!$AG$3:$AG$357,0)+3-1),"")</f>
        <v/>
      </c>
      <c r="C33" s="19" t="str">
        <f>IFERROR(INDEX(מלאי!C:C,MATCH(14,מלאי!$AG$3:$AG$357,0)+3-1),"")</f>
        <v/>
      </c>
      <c r="D33" s="19" t="str">
        <f>IFERROR(INDEX(מלאי!D:D,MATCH(14,מלאי!$AG$3:$AG$357,0)+3-1),"")</f>
        <v/>
      </c>
      <c r="E33" s="19" t="str">
        <f>IFERROR(INDEX(מלאי!H:H,MATCH(14,מלאי!$AG$3:$AG$357,0)+3-1),"")</f>
        <v/>
      </c>
      <c r="F33" s="19" t="str">
        <f>IFERROR(INDEX(מלאי!I:I,MATCH(14,מלאי!$AG$3:$AG$357,0)+3-1),"")</f>
        <v/>
      </c>
      <c r="G33" s="19" t="str">
        <f>IFERROR(INDEX(מלאי!T:T,MATCH(14,מלאי!$AG$3:$AG$357,0)+3-1),"")</f>
        <v/>
      </c>
      <c r="H33" s="20" t="str">
        <f>IFERROR(INDEX(מלאי!U:U,MATCH(14,מלאי!$AG$3:$AG$357,0)+3-1)&amp;IF(INDEX(מלאי!O:O,MATCH(14,מלאי!$AG$3:$AG$357,0)+3-1)="לא",IF(INDEX(מלאי!U:U,MATCH(14,מלאי!$AG$3:$AG$357,0)+3-1)&lt;&gt;"","  |  ","")&amp;"גרסה לא סופית"&amp;IF(INDEX(מלאי!P:P,MATCH(14,מלאי!$AG$3:$AG$357,0)+3-1)&lt;&gt;"",": "&amp;INDEX(מלאי!P:P,MATCH(14,מלאי!$AG$3:$AG$357,0)+3-1),"")&amp;IF(INDEX(מלאי!Q:Q,MATCH(14,מלאי!$AG$3:$AG$357,0)+3-1)="כן"," (פיתוח)",""),"")&amp;IF(INDEX(מלאי!S:S,MATCH(14,מלאי!$AG$3:$AG$357,0)+3-1)="כן",IF(OR(INDEX(מלאי!U:U,MATCH(14,מלאי!$AG$3:$AG$357,0)+3-1)&lt;&gt;"",INDEX(מלאי!O:O,MATCH(14,מלאי!$AG$3:$AG$357,0)+3-1)="לא"),"  |  ","")&amp;"פער תכולה","")&amp;IF(INDEX(מלאי!N:N,MATCH(14,מלאי!$AG$3:$AG$357,0)+3-1)="לא",IF(OR(INDEX(מלאי!U:U,MATCH(14,מלאי!$AG$3:$AG$357,0)+3-1)&lt;&gt;"",INDEX(מלאי!O:O,MATCH(14,מלאי!$AG$3:$AG$357,0)+3-1)="לא",INDEX(מלאי!S:S,MATCH(14,מלאי!$AG$3:$AG$357,0)+3-1)="כן"),"  |  ","")&amp;"פיצ'רים לא תקינים",""),"")</f>
        <v/>
      </c>
    </row>
    <row r="34" spans="1:8" ht="15" customHeight="1" x14ac:dyDescent="0.25">
      <c r="A34" s="17" t="str">
        <f>IFERROR(INDEX(מלאי!A:A,MATCH(15,מלאי!$AG$3:$AG$357,0)+3-1),"")</f>
        <v/>
      </c>
      <c r="B34" s="17" t="str">
        <f>IFERROR(INDEX(מלאי!B:B,MATCH(15,מלאי!$AG$3:$AG$357,0)+3-1),"")</f>
        <v/>
      </c>
      <c r="C34" s="17" t="str">
        <f>IFERROR(INDEX(מלאי!C:C,MATCH(15,מלאי!$AG$3:$AG$357,0)+3-1),"")</f>
        <v/>
      </c>
      <c r="D34" s="17" t="str">
        <f>IFERROR(INDEX(מלאי!D:D,MATCH(15,מלאי!$AG$3:$AG$357,0)+3-1),"")</f>
        <v/>
      </c>
      <c r="E34" s="17" t="str">
        <f>IFERROR(INDEX(מלאי!H:H,MATCH(15,מלאי!$AG$3:$AG$357,0)+3-1),"")</f>
        <v/>
      </c>
      <c r="F34" s="17" t="str">
        <f>IFERROR(INDEX(מלאי!I:I,MATCH(15,מלאי!$AG$3:$AG$357,0)+3-1),"")</f>
        <v/>
      </c>
      <c r="G34" s="17" t="str">
        <f>IFERROR(INDEX(מלאי!T:T,MATCH(15,מלאי!$AG$3:$AG$357,0)+3-1),"")</f>
        <v/>
      </c>
      <c r="H34" s="18" t="str">
        <f>IFERROR(INDEX(מלאי!U:U,MATCH(15,מלאי!$AG$3:$AG$357,0)+3-1)&amp;IF(INDEX(מלאי!O:O,MATCH(15,מלאי!$AG$3:$AG$357,0)+3-1)="לא",IF(INDEX(מלאי!U:U,MATCH(15,מלאי!$AG$3:$AG$357,0)+3-1)&lt;&gt;"","  |  ","")&amp;"גרסה לא סופית"&amp;IF(INDEX(מלאי!P:P,MATCH(15,מלאי!$AG$3:$AG$357,0)+3-1)&lt;&gt;"",": "&amp;INDEX(מלאי!P:P,MATCH(15,מלאי!$AG$3:$AG$357,0)+3-1),"")&amp;IF(INDEX(מלאי!Q:Q,MATCH(15,מלאי!$AG$3:$AG$357,0)+3-1)="כן"," (פיתוח)",""),"")&amp;IF(INDEX(מלאי!S:S,MATCH(15,מלאי!$AG$3:$AG$357,0)+3-1)="כן",IF(OR(INDEX(מלאי!U:U,MATCH(15,מלאי!$AG$3:$AG$357,0)+3-1)&lt;&gt;"",INDEX(מלאי!O:O,MATCH(15,מלאי!$AG$3:$AG$357,0)+3-1)="לא"),"  |  ","")&amp;"פער תכולה","")&amp;IF(INDEX(מלאי!N:N,MATCH(15,מלאי!$AG$3:$AG$357,0)+3-1)="לא",IF(OR(INDEX(מלאי!U:U,MATCH(15,מלאי!$AG$3:$AG$357,0)+3-1)&lt;&gt;"",INDEX(מלאי!O:O,MATCH(15,מלאי!$AG$3:$AG$357,0)+3-1)="לא",INDEX(מלאי!S:S,MATCH(15,מלאי!$AG$3:$AG$357,0)+3-1)="כן"),"  |  ","")&amp;"פיצ'רים לא תקינים",""),"")</f>
        <v/>
      </c>
    </row>
    <row r="35" spans="1:8" ht="15" customHeight="1" x14ac:dyDescent="0.25">
      <c r="A35" s="19" t="str">
        <f>IFERROR(INDEX(מלאי!A:A,MATCH(16,מלאי!$AG$3:$AG$357,0)+3-1),"")</f>
        <v/>
      </c>
      <c r="B35" s="19" t="str">
        <f>IFERROR(INDEX(מלאי!B:B,MATCH(16,מלאי!$AG$3:$AG$357,0)+3-1),"")</f>
        <v/>
      </c>
      <c r="C35" s="19" t="str">
        <f>IFERROR(INDEX(מלאי!C:C,MATCH(16,מלאי!$AG$3:$AG$357,0)+3-1),"")</f>
        <v/>
      </c>
      <c r="D35" s="19" t="str">
        <f>IFERROR(INDEX(מלאי!D:D,MATCH(16,מלאי!$AG$3:$AG$357,0)+3-1),"")</f>
        <v/>
      </c>
      <c r="E35" s="19" t="str">
        <f>IFERROR(INDEX(מלאי!H:H,MATCH(16,מלאי!$AG$3:$AG$357,0)+3-1),"")</f>
        <v/>
      </c>
      <c r="F35" s="19" t="str">
        <f>IFERROR(INDEX(מלאי!I:I,MATCH(16,מלאי!$AG$3:$AG$357,0)+3-1),"")</f>
        <v/>
      </c>
      <c r="G35" s="19" t="str">
        <f>IFERROR(INDEX(מלאי!T:T,MATCH(16,מלאי!$AG$3:$AG$357,0)+3-1),"")</f>
        <v/>
      </c>
      <c r="H35" s="20" t="str">
        <f>IFERROR(INDEX(מלאי!U:U,MATCH(16,מלאי!$AG$3:$AG$357,0)+3-1)&amp;IF(INDEX(מלאי!O:O,MATCH(16,מלאי!$AG$3:$AG$357,0)+3-1)="לא",IF(INDEX(מלאי!U:U,MATCH(16,מלאי!$AG$3:$AG$357,0)+3-1)&lt;&gt;"","  |  ","")&amp;"גרסה לא סופית"&amp;IF(INDEX(מלאי!P:P,MATCH(16,מלאי!$AG$3:$AG$357,0)+3-1)&lt;&gt;"",": "&amp;INDEX(מלאי!P:P,MATCH(16,מלאי!$AG$3:$AG$357,0)+3-1),"")&amp;IF(INDEX(מלאי!Q:Q,MATCH(16,מלאי!$AG$3:$AG$357,0)+3-1)="כן"," (פיתוח)",""),"")&amp;IF(INDEX(מלאי!S:S,MATCH(16,מלאי!$AG$3:$AG$357,0)+3-1)="כן",IF(OR(INDEX(מלאי!U:U,MATCH(16,מלאי!$AG$3:$AG$357,0)+3-1)&lt;&gt;"",INDEX(מלאי!O:O,MATCH(16,מלאי!$AG$3:$AG$357,0)+3-1)="לא"),"  |  ","")&amp;"פער תכולה","")&amp;IF(INDEX(מלאי!N:N,MATCH(16,מלאי!$AG$3:$AG$357,0)+3-1)="לא",IF(OR(INDEX(מלאי!U:U,MATCH(16,מלאי!$AG$3:$AG$357,0)+3-1)&lt;&gt;"",INDEX(מלאי!O:O,MATCH(16,מלאי!$AG$3:$AG$357,0)+3-1)="לא",INDEX(מלאי!S:S,MATCH(16,מלאי!$AG$3:$AG$357,0)+3-1)="כן"),"  |  ","")&amp;"פיצ'רים לא תקינים",""),"")</f>
        <v/>
      </c>
    </row>
    <row r="36" spans="1:8" ht="15" customHeight="1" x14ac:dyDescent="0.25">
      <c r="A36" s="17" t="str">
        <f>IFERROR(INDEX(מלאי!A:A,MATCH(17,מלאי!$AG$3:$AG$357,0)+3-1),"")</f>
        <v/>
      </c>
      <c r="B36" s="17" t="str">
        <f>IFERROR(INDEX(מלאי!B:B,MATCH(17,מלאי!$AG$3:$AG$357,0)+3-1),"")</f>
        <v/>
      </c>
      <c r="C36" s="17" t="str">
        <f>IFERROR(INDEX(מלאי!C:C,MATCH(17,מלאי!$AG$3:$AG$357,0)+3-1),"")</f>
        <v/>
      </c>
      <c r="D36" s="17" t="str">
        <f>IFERROR(INDEX(מלאי!D:D,MATCH(17,מלאי!$AG$3:$AG$357,0)+3-1),"")</f>
        <v/>
      </c>
      <c r="E36" s="17" t="str">
        <f>IFERROR(INDEX(מלאי!H:H,MATCH(17,מלאי!$AG$3:$AG$357,0)+3-1),"")</f>
        <v/>
      </c>
      <c r="F36" s="17" t="str">
        <f>IFERROR(INDEX(מלאי!I:I,MATCH(17,מלאי!$AG$3:$AG$357,0)+3-1),"")</f>
        <v/>
      </c>
      <c r="G36" s="17" t="str">
        <f>IFERROR(INDEX(מלאי!T:T,MATCH(17,מלאי!$AG$3:$AG$357,0)+3-1),"")</f>
        <v/>
      </c>
      <c r="H36" s="18" t="str">
        <f>IFERROR(INDEX(מלאי!U:U,MATCH(17,מלאי!$AG$3:$AG$357,0)+3-1)&amp;IF(INDEX(מלאי!O:O,MATCH(17,מלאי!$AG$3:$AG$357,0)+3-1)="לא",IF(INDEX(מלאי!U:U,MATCH(17,מלאי!$AG$3:$AG$357,0)+3-1)&lt;&gt;"","  |  ","")&amp;"גרסה לא סופית"&amp;IF(INDEX(מלאי!P:P,MATCH(17,מלאי!$AG$3:$AG$357,0)+3-1)&lt;&gt;"",": "&amp;INDEX(מלאי!P:P,MATCH(17,מלאי!$AG$3:$AG$357,0)+3-1),"")&amp;IF(INDEX(מלאי!Q:Q,MATCH(17,מלאי!$AG$3:$AG$357,0)+3-1)="כן"," (פיתוח)",""),"")&amp;IF(INDEX(מלאי!S:S,MATCH(17,מלאי!$AG$3:$AG$357,0)+3-1)="כן",IF(OR(INDEX(מלאי!U:U,MATCH(17,מלאי!$AG$3:$AG$357,0)+3-1)&lt;&gt;"",INDEX(מלאי!O:O,MATCH(17,מלאי!$AG$3:$AG$357,0)+3-1)="לא"),"  |  ","")&amp;"פער תכולה","")&amp;IF(INDEX(מלאי!N:N,MATCH(17,מלאי!$AG$3:$AG$357,0)+3-1)="לא",IF(OR(INDEX(מלאי!U:U,MATCH(17,מלאי!$AG$3:$AG$357,0)+3-1)&lt;&gt;"",INDEX(מלאי!O:O,MATCH(17,מלאי!$AG$3:$AG$357,0)+3-1)="לא",INDEX(מלאי!S:S,MATCH(17,מלאי!$AG$3:$AG$357,0)+3-1)="כן"),"  |  ","")&amp;"פיצ'רים לא תקינים",""),"")</f>
        <v/>
      </c>
    </row>
    <row r="37" spans="1:8" ht="15" customHeight="1" x14ac:dyDescent="0.25">
      <c r="A37" s="19" t="str">
        <f>IFERROR(INDEX(מלאי!A:A,MATCH(18,מלאי!$AG$3:$AG$357,0)+3-1),"")</f>
        <v/>
      </c>
      <c r="B37" s="19" t="str">
        <f>IFERROR(INDEX(מלאי!B:B,MATCH(18,מלאי!$AG$3:$AG$357,0)+3-1),"")</f>
        <v/>
      </c>
      <c r="C37" s="19" t="str">
        <f>IFERROR(INDEX(מלאי!C:C,MATCH(18,מלאי!$AG$3:$AG$357,0)+3-1),"")</f>
        <v/>
      </c>
      <c r="D37" s="19" t="str">
        <f>IFERROR(INDEX(מלאי!D:D,MATCH(18,מלאי!$AG$3:$AG$357,0)+3-1),"")</f>
        <v/>
      </c>
      <c r="E37" s="19" t="str">
        <f>IFERROR(INDEX(מלאי!H:H,MATCH(18,מלאי!$AG$3:$AG$357,0)+3-1),"")</f>
        <v/>
      </c>
      <c r="F37" s="19" t="str">
        <f>IFERROR(INDEX(מלאי!I:I,MATCH(18,מלאי!$AG$3:$AG$357,0)+3-1),"")</f>
        <v/>
      </c>
      <c r="G37" s="19" t="str">
        <f>IFERROR(INDEX(מלאי!T:T,MATCH(18,מלאי!$AG$3:$AG$357,0)+3-1),"")</f>
        <v/>
      </c>
      <c r="H37" s="20" t="str">
        <f>IFERROR(INDEX(מלאי!U:U,MATCH(18,מלאי!$AG$3:$AG$357,0)+3-1)&amp;IF(INDEX(מלאי!O:O,MATCH(18,מלאי!$AG$3:$AG$357,0)+3-1)="לא",IF(INDEX(מלאי!U:U,MATCH(18,מלאי!$AG$3:$AG$357,0)+3-1)&lt;&gt;"","  |  ","")&amp;"גרסה לא סופית"&amp;IF(INDEX(מלאי!P:P,MATCH(18,מלאי!$AG$3:$AG$357,0)+3-1)&lt;&gt;"",": "&amp;INDEX(מלאי!P:P,MATCH(18,מלאי!$AG$3:$AG$357,0)+3-1),"")&amp;IF(INDEX(מלאי!Q:Q,MATCH(18,מלאי!$AG$3:$AG$357,0)+3-1)="כן"," (פיתוח)",""),"")&amp;IF(INDEX(מלאי!S:S,MATCH(18,מלאי!$AG$3:$AG$357,0)+3-1)="כן",IF(OR(INDEX(מלאי!U:U,MATCH(18,מלאי!$AG$3:$AG$357,0)+3-1)&lt;&gt;"",INDEX(מלאי!O:O,MATCH(18,מלאי!$AG$3:$AG$357,0)+3-1)="לא"),"  |  ","")&amp;"פער תכולה","")&amp;IF(INDEX(מלאי!N:N,MATCH(18,מלאי!$AG$3:$AG$357,0)+3-1)="לא",IF(OR(INDEX(מלאי!U:U,MATCH(18,מלאי!$AG$3:$AG$357,0)+3-1)&lt;&gt;"",INDEX(מלאי!O:O,MATCH(18,מלאי!$AG$3:$AG$357,0)+3-1)="לא",INDEX(מלאי!S:S,MATCH(18,מלאי!$AG$3:$AG$357,0)+3-1)="כן"),"  |  ","")&amp;"פיצ'רים לא תקינים",""),"")</f>
        <v/>
      </c>
    </row>
    <row r="38" spans="1:8" ht="15" customHeight="1" x14ac:dyDescent="0.25">
      <c r="A38" s="17" t="str">
        <f>IFERROR(INDEX(מלאי!A:A,MATCH(19,מלאי!$AG$3:$AG$357,0)+3-1),"")</f>
        <v/>
      </c>
      <c r="B38" s="17" t="str">
        <f>IFERROR(INDEX(מלאי!B:B,MATCH(19,מלאי!$AG$3:$AG$357,0)+3-1),"")</f>
        <v/>
      </c>
      <c r="C38" s="17" t="str">
        <f>IFERROR(INDEX(מלאי!C:C,MATCH(19,מלאי!$AG$3:$AG$357,0)+3-1),"")</f>
        <v/>
      </c>
      <c r="D38" s="17" t="str">
        <f>IFERROR(INDEX(מלאי!D:D,MATCH(19,מלאי!$AG$3:$AG$357,0)+3-1),"")</f>
        <v/>
      </c>
      <c r="E38" s="17" t="str">
        <f>IFERROR(INDEX(מלאי!H:H,MATCH(19,מלאי!$AG$3:$AG$357,0)+3-1),"")</f>
        <v/>
      </c>
      <c r="F38" s="17" t="str">
        <f>IFERROR(INDEX(מלאי!I:I,MATCH(19,מלאי!$AG$3:$AG$357,0)+3-1),"")</f>
        <v/>
      </c>
      <c r="G38" s="17" t="str">
        <f>IFERROR(INDEX(מלאי!T:T,MATCH(19,מלאי!$AG$3:$AG$357,0)+3-1),"")</f>
        <v/>
      </c>
      <c r="H38" s="18" t="str">
        <f>IFERROR(INDEX(מלאי!U:U,MATCH(19,מלאי!$AG$3:$AG$357,0)+3-1)&amp;IF(INDEX(מלאי!O:O,MATCH(19,מלאי!$AG$3:$AG$357,0)+3-1)="לא",IF(INDEX(מלאי!U:U,MATCH(19,מלאי!$AG$3:$AG$357,0)+3-1)&lt;&gt;"","  |  ","")&amp;"גרסה לא סופית"&amp;IF(INDEX(מלאי!P:P,MATCH(19,מלאי!$AG$3:$AG$357,0)+3-1)&lt;&gt;"",": "&amp;INDEX(מלאי!P:P,MATCH(19,מלאי!$AG$3:$AG$357,0)+3-1),"")&amp;IF(INDEX(מלאי!Q:Q,MATCH(19,מלאי!$AG$3:$AG$357,0)+3-1)="כן"," (פיתוח)",""),"")&amp;IF(INDEX(מלאי!S:S,MATCH(19,מלאי!$AG$3:$AG$357,0)+3-1)="כן",IF(OR(INDEX(מלאי!U:U,MATCH(19,מלאי!$AG$3:$AG$357,0)+3-1)&lt;&gt;"",INDEX(מלאי!O:O,MATCH(19,מלאי!$AG$3:$AG$357,0)+3-1)="לא"),"  |  ","")&amp;"פער תכולה","")&amp;IF(INDEX(מלאי!N:N,MATCH(19,מלאי!$AG$3:$AG$357,0)+3-1)="לא",IF(OR(INDEX(מלאי!U:U,MATCH(19,מלאי!$AG$3:$AG$357,0)+3-1)&lt;&gt;"",INDEX(מלאי!O:O,MATCH(19,מלאי!$AG$3:$AG$357,0)+3-1)="לא",INDEX(מלאי!S:S,MATCH(19,מלאי!$AG$3:$AG$357,0)+3-1)="כן"),"  |  ","")&amp;"פיצ'רים לא תקינים",""),"")</f>
        <v/>
      </c>
    </row>
    <row r="39" spans="1:8" ht="15" customHeight="1" x14ac:dyDescent="0.25">
      <c r="A39" s="19" t="str">
        <f>IFERROR(INDEX(מלאי!A:A,MATCH(20,מלאי!$AG$3:$AG$357,0)+3-1),"")</f>
        <v/>
      </c>
      <c r="B39" s="19" t="str">
        <f>IFERROR(INDEX(מלאי!B:B,MATCH(20,מלאי!$AG$3:$AG$357,0)+3-1),"")</f>
        <v/>
      </c>
      <c r="C39" s="19" t="str">
        <f>IFERROR(INDEX(מלאי!C:C,MATCH(20,מלאי!$AG$3:$AG$357,0)+3-1),"")</f>
        <v/>
      </c>
      <c r="D39" s="19" t="str">
        <f>IFERROR(INDEX(מלאי!D:D,MATCH(20,מלאי!$AG$3:$AG$357,0)+3-1),"")</f>
        <v/>
      </c>
      <c r="E39" s="19" t="str">
        <f>IFERROR(INDEX(מלאי!H:H,MATCH(20,מלאי!$AG$3:$AG$357,0)+3-1),"")</f>
        <v/>
      </c>
      <c r="F39" s="19" t="str">
        <f>IFERROR(INDEX(מלאי!I:I,MATCH(20,מלאי!$AG$3:$AG$357,0)+3-1),"")</f>
        <v/>
      </c>
      <c r="G39" s="19" t="str">
        <f>IFERROR(INDEX(מלאי!T:T,MATCH(20,מלאי!$AG$3:$AG$357,0)+3-1),"")</f>
        <v/>
      </c>
      <c r="H39" s="20" t="str">
        <f>IFERROR(INDEX(מלאי!U:U,MATCH(20,מלאי!$AG$3:$AG$357,0)+3-1)&amp;IF(INDEX(מלאי!O:O,MATCH(20,מלאי!$AG$3:$AG$357,0)+3-1)="לא",IF(INDEX(מלאי!U:U,MATCH(20,מלאי!$AG$3:$AG$357,0)+3-1)&lt;&gt;"","  |  ","")&amp;"גרסה לא סופית"&amp;IF(INDEX(מלאי!P:P,MATCH(20,מלאי!$AG$3:$AG$357,0)+3-1)&lt;&gt;"",": "&amp;INDEX(מלאי!P:P,MATCH(20,מלאי!$AG$3:$AG$357,0)+3-1),"")&amp;IF(INDEX(מלאי!Q:Q,MATCH(20,מלאי!$AG$3:$AG$357,0)+3-1)="כן"," (פיתוח)",""),"")&amp;IF(INDEX(מלאי!S:S,MATCH(20,מלאי!$AG$3:$AG$357,0)+3-1)="כן",IF(OR(INDEX(מלאי!U:U,MATCH(20,מלאי!$AG$3:$AG$357,0)+3-1)&lt;&gt;"",INDEX(מלאי!O:O,MATCH(20,מלאי!$AG$3:$AG$357,0)+3-1)="לא"),"  |  ","")&amp;"פער תכולה","")&amp;IF(INDEX(מלאי!N:N,MATCH(20,מלאי!$AG$3:$AG$357,0)+3-1)="לא",IF(OR(INDEX(מלאי!U:U,MATCH(20,מלאי!$AG$3:$AG$357,0)+3-1)&lt;&gt;"",INDEX(מלאי!O:O,MATCH(20,מלאי!$AG$3:$AG$357,0)+3-1)="לא",INDEX(מלאי!S:S,MATCH(20,מלאי!$AG$3:$AG$357,0)+3-1)="כן"),"  |  ","")&amp;"פיצ'רים לא תקינים",""),"")</f>
        <v/>
      </c>
    </row>
    <row r="40" spans="1:8" ht="15" customHeight="1" x14ac:dyDescent="0.25">
      <c r="A40" s="17" t="str">
        <f>IFERROR(INDEX(מלאי!A:A,MATCH(21,מלאי!$AG$3:$AG$357,0)+3-1),"")</f>
        <v/>
      </c>
      <c r="B40" s="17" t="str">
        <f>IFERROR(INDEX(מלאי!B:B,MATCH(21,מלאי!$AG$3:$AG$357,0)+3-1),"")</f>
        <v/>
      </c>
      <c r="C40" s="17" t="str">
        <f>IFERROR(INDEX(מלאי!C:C,MATCH(21,מלאי!$AG$3:$AG$357,0)+3-1),"")</f>
        <v/>
      </c>
      <c r="D40" s="17" t="str">
        <f>IFERROR(INDEX(מלאי!D:D,MATCH(21,מלאי!$AG$3:$AG$357,0)+3-1),"")</f>
        <v/>
      </c>
      <c r="E40" s="17" t="str">
        <f>IFERROR(INDEX(מלאי!H:H,MATCH(21,מלאי!$AG$3:$AG$357,0)+3-1),"")</f>
        <v/>
      </c>
      <c r="F40" s="17" t="str">
        <f>IFERROR(INDEX(מלאי!I:I,MATCH(21,מלאי!$AG$3:$AG$357,0)+3-1),"")</f>
        <v/>
      </c>
      <c r="G40" s="17" t="str">
        <f>IFERROR(INDEX(מלאי!T:T,MATCH(21,מלאי!$AG$3:$AG$357,0)+3-1),"")</f>
        <v/>
      </c>
      <c r="H40" s="18" t="str">
        <f>IFERROR(INDEX(מלאי!U:U,MATCH(21,מלאי!$AG$3:$AG$357,0)+3-1)&amp;IF(INDEX(מלאי!O:O,MATCH(21,מלאי!$AG$3:$AG$357,0)+3-1)="לא",IF(INDEX(מלאי!U:U,MATCH(21,מלאי!$AG$3:$AG$357,0)+3-1)&lt;&gt;"","  |  ","")&amp;"גרסה לא סופית"&amp;IF(INDEX(מלאי!P:P,MATCH(21,מלאי!$AG$3:$AG$357,0)+3-1)&lt;&gt;"",": "&amp;INDEX(מלאי!P:P,MATCH(21,מלאי!$AG$3:$AG$357,0)+3-1),"")&amp;IF(INDEX(מלאי!Q:Q,MATCH(21,מלאי!$AG$3:$AG$357,0)+3-1)="כן"," (פיתוח)",""),"")&amp;IF(INDEX(מלאי!S:S,MATCH(21,מלאי!$AG$3:$AG$357,0)+3-1)="כן",IF(OR(INDEX(מלאי!U:U,MATCH(21,מלאי!$AG$3:$AG$357,0)+3-1)&lt;&gt;"",INDEX(מלאי!O:O,MATCH(21,מלאי!$AG$3:$AG$357,0)+3-1)="לא"),"  |  ","")&amp;"פער תכולה","")&amp;IF(INDEX(מלאי!N:N,MATCH(21,מלאי!$AG$3:$AG$357,0)+3-1)="לא",IF(OR(INDEX(מלאי!U:U,MATCH(21,מלאי!$AG$3:$AG$357,0)+3-1)&lt;&gt;"",INDEX(מלאי!O:O,MATCH(21,מלאי!$AG$3:$AG$357,0)+3-1)="לא",INDEX(מלאי!S:S,MATCH(21,מלאי!$AG$3:$AG$357,0)+3-1)="כן"),"  |  ","")&amp;"פיצ'רים לא תקינים",""),"")</f>
        <v/>
      </c>
    </row>
    <row r="41" spans="1:8" ht="15" customHeight="1" x14ac:dyDescent="0.25">
      <c r="A41" s="19" t="str">
        <f>IFERROR(INDEX(מלאי!A:A,MATCH(22,מלאי!$AG$3:$AG$357,0)+3-1),"")</f>
        <v/>
      </c>
      <c r="B41" s="19" t="str">
        <f>IFERROR(INDEX(מלאי!B:B,MATCH(22,מלאי!$AG$3:$AG$357,0)+3-1),"")</f>
        <v/>
      </c>
      <c r="C41" s="19" t="str">
        <f>IFERROR(INDEX(מלאי!C:C,MATCH(22,מלאי!$AG$3:$AG$357,0)+3-1),"")</f>
        <v/>
      </c>
      <c r="D41" s="19" t="str">
        <f>IFERROR(INDEX(מלאי!D:D,MATCH(22,מלאי!$AG$3:$AG$357,0)+3-1),"")</f>
        <v/>
      </c>
      <c r="E41" s="19" t="str">
        <f>IFERROR(INDEX(מלאי!H:H,MATCH(22,מלאי!$AG$3:$AG$357,0)+3-1),"")</f>
        <v/>
      </c>
      <c r="F41" s="19" t="str">
        <f>IFERROR(INDEX(מלאי!I:I,MATCH(22,מלאי!$AG$3:$AG$357,0)+3-1),"")</f>
        <v/>
      </c>
      <c r="G41" s="19" t="str">
        <f>IFERROR(INDEX(מלאי!T:T,MATCH(22,מלאי!$AG$3:$AG$357,0)+3-1),"")</f>
        <v/>
      </c>
      <c r="H41" s="20" t="str">
        <f>IFERROR(INDEX(מלאי!U:U,MATCH(22,מלאי!$AG$3:$AG$357,0)+3-1)&amp;IF(INDEX(מלאי!O:O,MATCH(22,מלאי!$AG$3:$AG$357,0)+3-1)="לא",IF(INDEX(מלאי!U:U,MATCH(22,מלאי!$AG$3:$AG$357,0)+3-1)&lt;&gt;"","  |  ","")&amp;"גרסה לא סופית"&amp;IF(INDEX(מלאי!P:P,MATCH(22,מלאי!$AG$3:$AG$357,0)+3-1)&lt;&gt;"",": "&amp;INDEX(מלאי!P:P,MATCH(22,מלאי!$AG$3:$AG$357,0)+3-1),"")&amp;IF(INDEX(מלאי!Q:Q,MATCH(22,מלאי!$AG$3:$AG$357,0)+3-1)="כן"," (פיתוח)",""),"")&amp;IF(INDEX(מלאי!S:S,MATCH(22,מלאי!$AG$3:$AG$357,0)+3-1)="כן",IF(OR(INDEX(מלאי!U:U,MATCH(22,מלאי!$AG$3:$AG$357,0)+3-1)&lt;&gt;"",INDEX(מלאי!O:O,MATCH(22,מלאי!$AG$3:$AG$357,0)+3-1)="לא"),"  |  ","")&amp;"פער תכולה","")&amp;IF(INDEX(מלאי!N:N,MATCH(22,מלאי!$AG$3:$AG$357,0)+3-1)="לא",IF(OR(INDEX(מלאי!U:U,MATCH(22,מלאי!$AG$3:$AG$357,0)+3-1)&lt;&gt;"",INDEX(מלאי!O:O,MATCH(22,מלאי!$AG$3:$AG$357,0)+3-1)="לא",INDEX(מלאי!S:S,MATCH(22,מלאי!$AG$3:$AG$357,0)+3-1)="כן"),"  |  ","")&amp;"פיצ'רים לא תקינים",""),"")</f>
        <v/>
      </c>
    </row>
    <row r="42" spans="1:8" ht="15" customHeight="1" x14ac:dyDescent="0.25">
      <c r="A42" s="17" t="str">
        <f>IFERROR(INDEX(מלאי!A:A,MATCH(23,מלאי!$AG$3:$AG$357,0)+3-1),"")</f>
        <v/>
      </c>
      <c r="B42" s="17" t="str">
        <f>IFERROR(INDEX(מלאי!B:B,MATCH(23,מלאי!$AG$3:$AG$357,0)+3-1),"")</f>
        <v/>
      </c>
      <c r="C42" s="17" t="str">
        <f>IFERROR(INDEX(מלאי!C:C,MATCH(23,מלאי!$AG$3:$AG$357,0)+3-1),"")</f>
        <v/>
      </c>
      <c r="D42" s="17" t="str">
        <f>IFERROR(INDEX(מלאי!D:D,MATCH(23,מלאי!$AG$3:$AG$357,0)+3-1),"")</f>
        <v/>
      </c>
      <c r="E42" s="17" t="str">
        <f>IFERROR(INDEX(מלאי!H:H,MATCH(23,מלאי!$AG$3:$AG$357,0)+3-1),"")</f>
        <v/>
      </c>
      <c r="F42" s="17" t="str">
        <f>IFERROR(INDEX(מלאי!I:I,MATCH(23,מלאי!$AG$3:$AG$357,0)+3-1),"")</f>
        <v/>
      </c>
      <c r="G42" s="17" t="str">
        <f>IFERROR(INDEX(מלאי!T:T,MATCH(23,מלאי!$AG$3:$AG$357,0)+3-1),"")</f>
        <v/>
      </c>
      <c r="H42" s="18" t="str">
        <f>IFERROR(INDEX(מלאי!U:U,MATCH(23,מלאי!$AG$3:$AG$357,0)+3-1)&amp;IF(INDEX(מלאי!O:O,MATCH(23,מלאי!$AG$3:$AG$357,0)+3-1)="לא",IF(INDEX(מלאי!U:U,MATCH(23,מלאי!$AG$3:$AG$357,0)+3-1)&lt;&gt;"","  |  ","")&amp;"גרסה לא סופית"&amp;IF(INDEX(מלאי!P:P,MATCH(23,מלאי!$AG$3:$AG$357,0)+3-1)&lt;&gt;"",": "&amp;INDEX(מלאי!P:P,MATCH(23,מלאי!$AG$3:$AG$357,0)+3-1),"")&amp;IF(INDEX(מלאי!Q:Q,MATCH(23,מלאי!$AG$3:$AG$357,0)+3-1)="כן"," (פיתוח)",""),"")&amp;IF(INDEX(מלאי!S:S,MATCH(23,מלאי!$AG$3:$AG$357,0)+3-1)="כן",IF(OR(INDEX(מלאי!U:U,MATCH(23,מלאי!$AG$3:$AG$357,0)+3-1)&lt;&gt;"",INDEX(מלאי!O:O,MATCH(23,מלאי!$AG$3:$AG$357,0)+3-1)="לא"),"  |  ","")&amp;"פער תכולה","")&amp;IF(INDEX(מלאי!N:N,MATCH(23,מלאי!$AG$3:$AG$357,0)+3-1)="לא",IF(OR(INDEX(מלאי!U:U,MATCH(23,מלאי!$AG$3:$AG$357,0)+3-1)&lt;&gt;"",INDEX(מלאי!O:O,MATCH(23,מלאי!$AG$3:$AG$357,0)+3-1)="לא",INDEX(מלאי!S:S,MATCH(23,מלאי!$AG$3:$AG$357,0)+3-1)="כן"),"  |  ","")&amp;"פיצ'רים לא תקינים",""),"")</f>
        <v/>
      </c>
    </row>
    <row r="43" spans="1:8" ht="15" customHeight="1" x14ac:dyDescent="0.25">
      <c r="A43" s="19" t="str">
        <f>IFERROR(INDEX(מלאי!A:A,MATCH(24,מלאי!$AG$3:$AG$357,0)+3-1),"")</f>
        <v/>
      </c>
      <c r="B43" s="19" t="str">
        <f>IFERROR(INDEX(מלאי!B:B,MATCH(24,מלאי!$AG$3:$AG$357,0)+3-1),"")</f>
        <v/>
      </c>
      <c r="C43" s="19" t="str">
        <f>IFERROR(INDEX(מלאי!C:C,MATCH(24,מלאי!$AG$3:$AG$357,0)+3-1),"")</f>
        <v/>
      </c>
      <c r="D43" s="19" t="str">
        <f>IFERROR(INDEX(מלאי!D:D,MATCH(24,מלאי!$AG$3:$AG$357,0)+3-1),"")</f>
        <v/>
      </c>
      <c r="E43" s="19" t="str">
        <f>IFERROR(INDEX(מלאי!H:H,MATCH(24,מלאי!$AG$3:$AG$357,0)+3-1),"")</f>
        <v/>
      </c>
      <c r="F43" s="19" t="str">
        <f>IFERROR(INDEX(מלאי!I:I,MATCH(24,מלאי!$AG$3:$AG$357,0)+3-1),"")</f>
        <v/>
      </c>
      <c r="G43" s="19" t="str">
        <f>IFERROR(INDEX(מלאי!T:T,MATCH(24,מלאי!$AG$3:$AG$357,0)+3-1),"")</f>
        <v/>
      </c>
      <c r="H43" s="20" t="str">
        <f>IFERROR(INDEX(מלאי!U:U,MATCH(24,מלאי!$AG$3:$AG$357,0)+3-1)&amp;IF(INDEX(מלאי!O:O,MATCH(24,מלאי!$AG$3:$AG$357,0)+3-1)="לא",IF(INDEX(מלאי!U:U,MATCH(24,מלאי!$AG$3:$AG$357,0)+3-1)&lt;&gt;"","  |  ","")&amp;"גרסה לא סופית"&amp;IF(INDEX(מלאי!P:P,MATCH(24,מלאי!$AG$3:$AG$357,0)+3-1)&lt;&gt;"",": "&amp;INDEX(מלאי!P:P,MATCH(24,מלאי!$AG$3:$AG$357,0)+3-1),"")&amp;IF(INDEX(מלאי!Q:Q,MATCH(24,מלאי!$AG$3:$AG$357,0)+3-1)="כן"," (פיתוח)",""),"")&amp;IF(INDEX(מלאי!S:S,MATCH(24,מלאי!$AG$3:$AG$357,0)+3-1)="כן",IF(OR(INDEX(מלאי!U:U,MATCH(24,מלאי!$AG$3:$AG$357,0)+3-1)&lt;&gt;"",INDEX(מלאי!O:O,MATCH(24,מלאי!$AG$3:$AG$357,0)+3-1)="לא"),"  |  ","")&amp;"פער תכולה","")&amp;IF(INDEX(מלאי!N:N,MATCH(24,מלאי!$AG$3:$AG$357,0)+3-1)="לא",IF(OR(INDEX(מלאי!U:U,MATCH(24,מלאי!$AG$3:$AG$357,0)+3-1)&lt;&gt;"",INDEX(מלאי!O:O,MATCH(24,מלאי!$AG$3:$AG$357,0)+3-1)="לא",INDEX(מלאי!S:S,MATCH(24,מלאי!$AG$3:$AG$357,0)+3-1)="כן"),"  |  ","")&amp;"פיצ'רים לא תקינים",""),"")</f>
        <v/>
      </c>
    </row>
    <row r="44" spans="1:8" ht="15" customHeight="1" x14ac:dyDescent="0.25">
      <c r="A44" s="17" t="str">
        <f>IFERROR(INDEX(מלאי!A:A,MATCH(25,מלאי!$AG$3:$AG$357,0)+3-1),"")</f>
        <v/>
      </c>
      <c r="B44" s="17" t="str">
        <f>IFERROR(INDEX(מלאי!B:B,MATCH(25,מלאי!$AG$3:$AG$357,0)+3-1),"")</f>
        <v/>
      </c>
      <c r="C44" s="17" t="str">
        <f>IFERROR(INDEX(מלאי!C:C,MATCH(25,מלאי!$AG$3:$AG$357,0)+3-1),"")</f>
        <v/>
      </c>
      <c r="D44" s="17" t="str">
        <f>IFERROR(INDEX(מלאי!D:D,MATCH(25,מלאי!$AG$3:$AG$357,0)+3-1),"")</f>
        <v/>
      </c>
      <c r="E44" s="17" t="str">
        <f>IFERROR(INDEX(מלאי!H:H,MATCH(25,מלאי!$AG$3:$AG$357,0)+3-1),"")</f>
        <v/>
      </c>
      <c r="F44" s="17" t="str">
        <f>IFERROR(INDEX(מלאי!I:I,MATCH(25,מלאי!$AG$3:$AG$357,0)+3-1),"")</f>
        <v/>
      </c>
      <c r="G44" s="17" t="str">
        <f>IFERROR(INDEX(מלאי!T:T,MATCH(25,מלאי!$AG$3:$AG$357,0)+3-1),"")</f>
        <v/>
      </c>
      <c r="H44" s="18" t="str">
        <f>IFERROR(INDEX(מלאי!U:U,MATCH(25,מלאי!$AG$3:$AG$357,0)+3-1)&amp;IF(INDEX(מלאי!O:O,MATCH(25,מלאי!$AG$3:$AG$357,0)+3-1)="לא",IF(INDEX(מלאי!U:U,MATCH(25,מלאי!$AG$3:$AG$357,0)+3-1)&lt;&gt;"","  |  ","")&amp;"גרסה לא סופית"&amp;IF(INDEX(מלאי!P:P,MATCH(25,מלאי!$AG$3:$AG$357,0)+3-1)&lt;&gt;"",": "&amp;INDEX(מלאי!P:P,MATCH(25,מלאי!$AG$3:$AG$357,0)+3-1),"")&amp;IF(INDEX(מלאי!Q:Q,MATCH(25,מלאי!$AG$3:$AG$357,0)+3-1)="כן"," (פיתוח)",""),"")&amp;IF(INDEX(מלאי!S:S,MATCH(25,מלאי!$AG$3:$AG$357,0)+3-1)="כן",IF(OR(INDEX(מלאי!U:U,MATCH(25,מלאי!$AG$3:$AG$357,0)+3-1)&lt;&gt;"",INDEX(מלאי!O:O,MATCH(25,מלאי!$AG$3:$AG$357,0)+3-1)="לא"),"  |  ","")&amp;"פער תכולה","")&amp;IF(INDEX(מלאי!N:N,MATCH(25,מלאי!$AG$3:$AG$357,0)+3-1)="לא",IF(OR(INDEX(מלאי!U:U,MATCH(25,מלאי!$AG$3:$AG$357,0)+3-1)&lt;&gt;"",INDEX(מלאי!O:O,MATCH(25,מלאי!$AG$3:$AG$357,0)+3-1)="לא",INDEX(מלאי!S:S,MATCH(25,מלאי!$AG$3:$AG$357,0)+3-1)="כן"),"  |  ","")&amp;"פיצ'רים לא תקינים",""),"")</f>
        <v/>
      </c>
    </row>
    <row r="45" spans="1:8" ht="15" customHeight="1" x14ac:dyDescent="0.25">
      <c r="A45" s="19" t="str">
        <f>IFERROR(INDEX(מלאי!A:A,MATCH(26,מלאי!$AG$3:$AG$357,0)+3-1),"")</f>
        <v/>
      </c>
      <c r="B45" s="19" t="str">
        <f>IFERROR(INDEX(מלאי!B:B,MATCH(26,מלאי!$AG$3:$AG$357,0)+3-1),"")</f>
        <v/>
      </c>
      <c r="C45" s="19" t="str">
        <f>IFERROR(INDEX(מלאי!C:C,MATCH(26,מלאי!$AG$3:$AG$357,0)+3-1),"")</f>
        <v/>
      </c>
      <c r="D45" s="19" t="str">
        <f>IFERROR(INDEX(מלאי!D:D,MATCH(26,מלאי!$AG$3:$AG$357,0)+3-1),"")</f>
        <v/>
      </c>
      <c r="E45" s="19" t="str">
        <f>IFERROR(INDEX(מלאי!H:H,MATCH(26,מלאי!$AG$3:$AG$357,0)+3-1),"")</f>
        <v/>
      </c>
      <c r="F45" s="19" t="str">
        <f>IFERROR(INDEX(מלאי!I:I,MATCH(26,מלאי!$AG$3:$AG$357,0)+3-1),"")</f>
        <v/>
      </c>
      <c r="G45" s="19" t="str">
        <f>IFERROR(INDEX(מלאי!T:T,MATCH(26,מלאי!$AG$3:$AG$357,0)+3-1),"")</f>
        <v/>
      </c>
      <c r="H45" s="20" t="str">
        <f>IFERROR(INDEX(מלאי!U:U,MATCH(26,מלאי!$AG$3:$AG$357,0)+3-1)&amp;IF(INDEX(מלאי!O:O,MATCH(26,מלאי!$AG$3:$AG$357,0)+3-1)="לא",IF(INDEX(מלאי!U:U,MATCH(26,מלאי!$AG$3:$AG$357,0)+3-1)&lt;&gt;"","  |  ","")&amp;"גרסה לא סופית"&amp;IF(INDEX(מלאי!P:P,MATCH(26,מלאי!$AG$3:$AG$357,0)+3-1)&lt;&gt;"",": "&amp;INDEX(מלאי!P:P,MATCH(26,מלאי!$AG$3:$AG$357,0)+3-1),"")&amp;IF(INDEX(מלאי!Q:Q,MATCH(26,מלאי!$AG$3:$AG$357,0)+3-1)="כן"," (פיתוח)",""),"")&amp;IF(INDEX(מלאי!S:S,MATCH(26,מלאי!$AG$3:$AG$357,0)+3-1)="כן",IF(OR(INDEX(מלאי!U:U,MATCH(26,מלאי!$AG$3:$AG$357,0)+3-1)&lt;&gt;"",INDEX(מלאי!O:O,MATCH(26,מלאי!$AG$3:$AG$357,0)+3-1)="לא"),"  |  ","")&amp;"פער תכולה","")&amp;IF(INDEX(מלאי!N:N,MATCH(26,מלאי!$AG$3:$AG$357,0)+3-1)="לא",IF(OR(INDEX(מלאי!U:U,MATCH(26,מלאי!$AG$3:$AG$357,0)+3-1)&lt;&gt;"",INDEX(מלאי!O:O,MATCH(26,מלאי!$AG$3:$AG$357,0)+3-1)="לא",INDEX(מלאי!S:S,MATCH(26,מלאי!$AG$3:$AG$357,0)+3-1)="כן"),"  |  ","")&amp;"פיצ'רים לא תקינים",""),"")</f>
        <v/>
      </c>
    </row>
    <row r="46" spans="1:8" ht="15" customHeight="1" x14ac:dyDescent="0.25">
      <c r="A46" s="17" t="str">
        <f>IFERROR(INDEX(מלאי!A:A,MATCH(27,מלאי!$AG$3:$AG$357,0)+3-1),"")</f>
        <v/>
      </c>
      <c r="B46" s="17" t="str">
        <f>IFERROR(INDEX(מלאי!B:B,MATCH(27,מלאי!$AG$3:$AG$357,0)+3-1),"")</f>
        <v/>
      </c>
      <c r="C46" s="17" t="str">
        <f>IFERROR(INDEX(מלאי!C:C,MATCH(27,מלאי!$AG$3:$AG$357,0)+3-1),"")</f>
        <v/>
      </c>
      <c r="D46" s="17" t="str">
        <f>IFERROR(INDEX(מלאי!D:D,MATCH(27,מלאי!$AG$3:$AG$357,0)+3-1),"")</f>
        <v/>
      </c>
      <c r="E46" s="17" t="str">
        <f>IFERROR(INDEX(מלאי!H:H,MATCH(27,מלאי!$AG$3:$AG$357,0)+3-1),"")</f>
        <v/>
      </c>
      <c r="F46" s="17" t="str">
        <f>IFERROR(INDEX(מלאי!I:I,MATCH(27,מלאי!$AG$3:$AG$357,0)+3-1),"")</f>
        <v/>
      </c>
      <c r="G46" s="17" t="str">
        <f>IFERROR(INDEX(מלאי!T:T,MATCH(27,מלאי!$AG$3:$AG$357,0)+3-1),"")</f>
        <v/>
      </c>
      <c r="H46" s="18" t="str">
        <f>IFERROR(INDEX(מלאי!U:U,MATCH(27,מלאי!$AG$3:$AG$357,0)+3-1)&amp;IF(INDEX(מלאי!O:O,MATCH(27,מלאי!$AG$3:$AG$357,0)+3-1)="לא",IF(INDEX(מלאי!U:U,MATCH(27,מלאי!$AG$3:$AG$357,0)+3-1)&lt;&gt;"","  |  ","")&amp;"גרסה לא סופית"&amp;IF(INDEX(מלאי!P:P,MATCH(27,מלאי!$AG$3:$AG$357,0)+3-1)&lt;&gt;"",": "&amp;INDEX(מלאי!P:P,MATCH(27,מלאי!$AG$3:$AG$357,0)+3-1),"")&amp;IF(INDEX(מלאי!Q:Q,MATCH(27,מלאי!$AG$3:$AG$357,0)+3-1)="כן"," (פיתוח)",""),"")&amp;IF(INDEX(מלאי!S:S,MATCH(27,מלאי!$AG$3:$AG$357,0)+3-1)="כן",IF(OR(INDEX(מלאי!U:U,MATCH(27,מלאי!$AG$3:$AG$357,0)+3-1)&lt;&gt;"",INDEX(מלאי!O:O,MATCH(27,מלאי!$AG$3:$AG$357,0)+3-1)="לא"),"  |  ","")&amp;"פער תכולה","")&amp;IF(INDEX(מלאי!N:N,MATCH(27,מלאי!$AG$3:$AG$357,0)+3-1)="לא",IF(OR(INDEX(מלאי!U:U,MATCH(27,מלאי!$AG$3:$AG$357,0)+3-1)&lt;&gt;"",INDEX(מלאי!O:O,MATCH(27,מלאי!$AG$3:$AG$357,0)+3-1)="לא",INDEX(מלאי!S:S,MATCH(27,מלאי!$AG$3:$AG$357,0)+3-1)="כן"),"  |  ","")&amp;"פיצ'רים לא תקינים",""),"")</f>
        <v/>
      </c>
    </row>
    <row r="47" spans="1:8" ht="15" customHeight="1" x14ac:dyDescent="0.25">
      <c r="A47" s="19" t="str">
        <f>IFERROR(INDEX(מלאי!A:A,MATCH(28,מלאי!$AG$3:$AG$357,0)+3-1),"")</f>
        <v/>
      </c>
      <c r="B47" s="19" t="str">
        <f>IFERROR(INDEX(מלאי!B:B,MATCH(28,מלאי!$AG$3:$AG$357,0)+3-1),"")</f>
        <v/>
      </c>
      <c r="C47" s="19" t="str">
        <f>IFERROR(INDEX(מלאי!C:C,MATCH(28,מלאי!$AG$3:$AG$357,0)+3-1),"")</f>
        <v/>
      </c>
      <c r="D47" s="19" t="str">
        <f>IFERROR(INDEX(מלאי!D:D,MATCH(28,מלאי!$AG$3:$AG$357,0)+3-1),"")</f>
        <v/>
      </c>
      <c r="E47" s="19" t="str">
        <f>IFERROR(INDEX(מלאי!H:H,MATCH(28,מלאי!$AG$3:$AG$357,0)+3-1),"")</f>
        <v/>
      </c>
      <c r="F47" s="19" t="str">
        <f>IFERROR(INDEX(מלאי!I:I,MATCH(28,מלאי!$AG$3:$AG$357,0)+3-1),"")</f>
        <v/>
      </c>
      <c r="G47" s="19" t="str">
        <f>IFERROR(INDEX(מלאי!T:T,MATCH(28,מלאי!$AG$3:$AG$357,0)+3-1),"")</f>
        <v/>
      </c>
      <c r="H47" s="20" t="str">
        <f>IFERROR(INDEX(מלאי!U:U,MATCH(28,מלאי!$AG$3:$AG$357,0)+3-1)&amp;IF(INDEX(מלאי!O:O,MATCH(28,מלאי!$AG$3:$AG$357,0)+3-1)="לא",IF(INDEX(מלאי!U:U,MATCH(28,מלאי!$AG$3:$AG$357,0)+3-1)&lt;&gt;"","  |  ","")&amp;"גרסה לא סופית"&amp;IF(INDEX(מלאי!P:P,MATCH(28,מלאי!$AG$3:$AG$357,0)+3-1)&lt;&gt;"",": "&amp;INDEX(מלאי!P:P,MATCH(28,מלאי!$AG$3:$AG$357,0)+3-1),"")&amp;IF(INDEX(מלאי!Q:Q,MATCH(28,מלאי!$AG$3:$AG$357,0)+3-1)="כן"," (פיתוח)",""),"")&amp;IF(INDEX(מלאי!S:S,MATCH(28,מלאי!$AG$3:$AG$357,0)+3-1)="כן",IF(OR(INDEX(מלאי!U:U,MATCH(28,מלאי!$AG$3:$AG$357,0)+3-1)&lt;&gt;"",INDEX(מלאי!O:O,MATCH(28,מלאי!$AG$3:$AG$357,0)+3-1)="לא"),"  |  ","")&amp;"פער תכולה","")&amp;IF(INDEX(מלאי!N:N,MATCH(28,מלאי!$AG$3:$AG$357,0)+3-1)="לא",IF(OR(INDEX(מלאי!U:U,MATCH(28,מלאי!$AG$3:$AG$357,0)+3-1)&lt;&gt;"",INDEX(מלאי!O:O,MATCH(28,מלאי!$AG$3:$AG$357,0)+3-1)="לא",INDEX(מלאי!S:S,MATCH(28,מלאי!$AG$3:$AG$357,0)+3-1)="כן"),"  |  ","")&amp;"פיצ'רים לא תקינים",""),"")</f>
        <v/>
      </c>
    </row>
    <row r="48" spans="1:8" ht="15" customHeight="1" x14ac:dyDescent="0.25">
      <c r="A48" s="17" t="str">
        <f>IFERROR(INDEX(מלאי!A:A,MATCH(29,מלאי!$AG$3:$AG$357,0)+3-1),"")</f>
        <v/>
      </c>
      <c r="B48" s="17" t="str">
        <f>IFERROR(INDEX(מלאי!B:B,MATCH(29,מלאי!$AG$3:$AG$357,0)+3-1),"")</f>
        <v/>
      </c>
      <c r="C48" s="17" t="str">
        <f>IFERROR(INDEX(מלאי!C:C,MATCH(29,מלאי!$AG$3:$AG$357,0)+3-1),"")</f>
        <v/>
      </c>
      <c r="D48" s="17" t="str">
        <f>IFERROR(INDEX(מלאי!D:D,MATCH(29,מלאי!$AG$3:$AG$357,0)+3-1),"")</f>
        <v/>
      </c>
      <c r="E48" s="17" t="str">
        <f>IFERROR(INDEX(מלאי!H:H,MATCH(29,מלאי!$AG$3:$AG$357,0)+3-1),"")</f>
        <v/>
      </c>
      <c r="F48" s="17" t="str">
        <f>IFERROR(INDEX(מלאי!I:I,MATCH(29,מלאי!$AG$3:$AG$357,0)+3-1),"")</f>
        <v/>
      </c>
      <c r="G48" s="17" t="str">
        <f>IFERROR(INDEX(מלאי!T:T,MATCH(29,מלאי!$AG$3:$AG$357,0)+3-1),"")</f>
        <v/>
      </c>
      <c r="H48" s="18" t="str">
        <f>IFERROR(INDEX(מלאי!U:U,MATCH(29,מלאי!$AG$3:$AG$357,0)+3-1)&amp;IF(INDEX(מלאי!O:O,MATCH(29,מלאי!$AG$3:$AG$357,0)+3-1)="לא",IF(INDEX(מלאי!U:U,MATCH(29,מלאי!$AG$3:$AG$357,0)+3-1)&lt;&gt;"","  |  ","")&amp;"גרסה לא סופית"&amp;IF(INDEX(מלאי!P:P,MATCH(29,מלאי!$AG$3:$AG$357,0)+3-1)&lt;&gt;"",": "&amp;INDEX(מלאי!P:P,MATCH(29,מלאי!$AG$3:$AG$357,0)+3-1),"")&amp;IF(INDEX(מלאי!Q:Q,MATCH(29,מלאי!$AG$3:$AG$357,0)+3-1)="כן"," (פיתוח)",""),"")&amp;IF(INDEX(מלאי!S:S,MATCH(29,מלאי!$AG$3:$AG$357,0)+3-1)="כן",IF(OR(INDEX(מלאי!U:U,MATCH(29,מלאי!$AG$3:$AG$357,0)+3-1)&lt;&gt;"",INDEX(מלאי!O:O,MATCH(29,מלאי!$AG$3:$AG$357,0)+3-1)="לא"),"  |  ","")&amp;"פער תכולה","")&amp;IF(INDEX(מלאי!N:N,MATCH(29,מלאי!$AG$3:$AG$357,0)+3-1)="לא",IF(OR(INDEX(מלאי!U:U,MATCH(29,מלאי!$AG$3:$AG$357,0)+3-1)&lt;&gt;"",INDEX(מלאי!O:O,MATCH(29,מלאי!$AG$3:$AG$357,0)+3-1)="לא",INDEX(מלאי!S:S,MATCH(29,מלאי!$AG$3:$AG$357,0)+3-1)="כן"),"  |  ","")&amp;"פיצ'רים לא תקינים",""),"")</f>
        <v/>
      </c>
    </row>
    <row r="49" spans="1:8" ht="15" customHeight="1" x14ac:dyDescent="0.25">
      <c r="A49" s="19" t="str">
        <f>IFERROR(INDEX(מלאי!A:A,MATCH(30,מלאי!$AG$3:$AG$357,0)+3-1),"")</f>
        <v/>
      </c>
      <c r="B49" s="19" t="str">
        <f>IFERROR(INDEX(מלאי!B:B,MATCH(30,מלאי!$AG$3:$AG$357,0)+3-1),"")</f>
        <v/>
      </c>
      <c r="C49" s="19" t="str">
        <f>IFERROR(INDEX(מלאי!C:C,MATCH(30,מלאי!$AG$3:$AG$357,0)+3-1),"")</f>
        <v/>
      </c>
      <c r="D49" s="19" t="str">
        <f>IFERROR(INDEX(מלאי!D:D,MATCH(30,מלאי!$AG$3:$AG$357,0)+3-1),"")</f>
        <v/>
      </c>
      <c r="E49" s="19" t="str">
        <f>IFERROR(INDEX(מלאי!H:H,MATCH(30,מלאי!$AG$3:$AG$357,0)+3-1),"")</f>
        <v/>
      </c>
      <c r="F49" s="19" t="str">
        <f>IFERROR(INDEX(מלאי!I:I,MATCH(30,מלאי!$AG$3:$AG$357,0)+3-1),"")</f>
        <v/>
      </c>
      <c r="G49" s="19" t="str">
        <f>IFERROR(INDEX(מלאי!T:T,MATCH(30,מלאי!$AG$3:$AG$357,0)+3-1),"")</f>
        <v/>
      </c>
      <c r="H49" s="20" t="str">
        <f>IFERROR(INDEX(מלאי!U:U,MATCH(30,מלאי!$AG$3:$AG$357,0)+3-1)&amp;IF(INDEX(מלאי!O:O,MATCH(30,מלאי!$AG$3:$AG$357,0)+3-1)="לא",IF(INDEX(מלאי!U:U,MATCH(30,מלאי!$AG$3:$AG$357,0)+3-1)&lt;&gt;"","  |  ","")&amp;"גרסה לא סופית"&amp;IF(INDEX(מלאי!P:P,MATCH(30,מלאי!$AG$3:$AG$357,0)+3-1)&lt;&gt;"",": "&amp;INDEX(מלאי!P:P,MATCH(30,מלאי!$AG$3:$AG$357,0)+3-1),"")&amp;IF(INDEX(מלאי!Q:Q,MATCH(30,מלאי!$AG$3:$AG$357,0)+3-1)="כן"," (פיתוח)",""),"")&amp;IF(INDEX(מלאי!S:S,MATCH(30,מלאי!$AG$3:$AG$357,0)+3-1)="כן",IF(OR(INDEX(מלאי!U:U,MATCH(30,מלאי!$AG$3:$AG$357,0)+3-1)&lt;&gt;"",INDEX(מלאי!O:O,MATCH(30,מלאי!$AG$3:$AG$357,0)+3-1)="לא"),"  |  ","")&amp;"פער תכולה","")&amp;IF(INDEX(מלאי!N:N,MATCH(30,מלאי!$AG$3:$AG$357,0)+3-1)="לא",IF(OR(INDEX(מלאי!U:U,MATCH(30,מלאי!$AG$3:$AG$357,0)+3-1)&lt;&gt;"",INDEX(מלאי!O:O,MATCH(30,מלאי!$AG$3:$AG$357,0)+3-1)="לא",INDEX(מלאי!S:S,MATCH(30,מלאי!$AG$3:$AG$357,0)+3-1)="כן"),"  |  ","")&amp;"פיצ'רים לא תקינים",""),"")</f>
        <v/>
      </c>
    </row>
    <row r="50" spans="1:8" ht="15" customHeight="1" x14ac:dyDescent="0.25">
      <c r="A50" s="21" t="s">
        <v>38</v>
      </c>
    </row>
  </sheetData>
  <sheetProtection sort="0" autoFilter="0"/>
  <mergeCells count="5">
    <mergeCell ref="A18:H18"/>
    <mergeCell ref="E12:H12"/>
    <mergeCell ref="A1:H1"/>
    <mergeCell ref="A12:C12"/>
    <mergeCell ref="A3:E3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9" id="{00000000-000E-0000-0500-000002000000}">
            <xm:f>AND(IFERROR(INDEX(מלאי!J:J,_xludf.aggregate(15,6,ROW(מלאי!$AE$3:$AE$357)/(מלאי!$AE$3:$AE$357),ROW()-19))="כן",0),IFERROR(INDEX(מלאי!L:L,_xludf.aggregate(15,6,ROW(מלאי!$AE$3:$AE$357)/(מלאי!$AE$3:$AE$357),ROW()-19))="כן",0),IFERROR(INDEX(מלאי!O:O,_xludf.aggregate(15,6,ROW(מלאי!$AE$3:$AE$357)/(מלאי!$AE$3:$AE$357),ROW()-19))="כן",0))</xm:f>
            <x14:dxf>
              <fill>
                <patternFill>
                  <bgColor rgb="FFE8F5E9"/>
                </patternFill>
              </fill>
            </x14:dxf>
          </x14:cfRule>
          <x14:cfRule type="expression" priority="190" id="{00000000-000E-0000-0500-000003000000}">
            <xm:f>AND($A20&lt;&gt;"",IFERROR(INDEX(מלאי!J:J,MATCH(ROW()-19,מלאי!$AG$3:$AG$357,0)+3-1)="כן",0),IFERROR(INDEX(מלאי!L:L,MATCH(ROW()-19,מלאי!$AG$3:$AG$357,0)+3-1)="כן",0),IFERROR(INDEX(מלאי!O:O,MATCH(ROW()-19,מלאי!$AG$3:$AG$357,0)+3-1)="כן",0))</xm:f>
            <x14:dxf>
              <fill>
                <patternFill>
                  <bgColor rgb="FFE8F5E9"/>
                </patternFill>
              </fill>
            </x14:dxf>
          </x14:cfRule>
          <x14:cfRule type="expression" priority="191" id="{00000000-000E-0000-0500-000004000000}">
            <xm:f>AND($A20&lt;&gt;"",IFERROR(INDEX(מלאי!J:J,MATCH(ROW()-19,מלאי!$AG$3:$AG$357,0)+3-1)="כן",0),OR(IFERROR(INDEX(מלאי!L:L,MATCH(ROW()-19,מלאי!$AG$3:$AG$357,0)+3-1)&lt;&gt;"כן",0),IFERROR(INDEX(מלאי!O:O,MATCH(ROW()-19,מלאי!$AG$3:$AG$357,0)+3-1)&lt;&gt;"כן",0)))</xm:f>
            <x14:dxf>
              <fill>
                <patternFill>
                  <bgColor rgb="FFFFF9C4"/>
                </patternFill>
              </fill>
            </x14:dxf>
          </x14:cfRule>
          <x14:cfRule type="expression" priority="192" id="{00000000-000E-0000-0500-000005000000}">
            <xm:f>AND($A20&lt;&gt;"",IFERROR(INDEX(מלאי!J:J,MATCH(ROW()-19,מלאי!$AG$3:$AG$357,0)+3-1)="לא",0))</xm:f>
            <x14:dxf>
              <fill>
                <patternFill>
                  <bgColor rgb="FFFFEBEE"/>
                </patternFill>
              </fill>
            </x14:dxf>
          </x14:cfRule>
          <xm:sqref>A20:H49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500-000000000000}">
          <x14:formula1>
            <xm:f>הגדרות!$F$2:$F$8</xm:f>
          </x14:formula1>
          <xm:sqref>B4</xm:sqref>
        </x14:dataValidation>
        <x14:dataValidation type="list" allowBlank="1" xr:uid="{00000000-0002-0000-0500-000001000000}">
          <x14:formula1>
            <xm:f>הגדרות!$G$2:$G$10</xm:f>
          </x14:formula1>
          <x14:formula2>
            <xm:f>0</xm:f>
          </x14:formula2>
          <xm:sqref>B5</xm:sqref>
        </x14:dataValidation>
        <x14:dataValidation type="list" allowBlank="1" xr:uid="{00000000-0002-0000-0500-000002000000}">
          <x14:formula1>
            <xm:f>הגדרות!$H$2:$H$47</xm:f>
          </x14:formula1>
          <x14:formula2>
            <xm:f>0</xm:f>
          </x14:formula2>
          <xm:sqref>B6</xm:sqref>
        </x14:dataValidation>
        <x14:dataValidation type="list" allowBlank="1" xr:uid="{00000000-0002-0000-0500-000003000000}">
          <x14:formula1>
            <xm:f>הגדרות!$L$2:$L$15</xm:f>
          </x14:formula1>
          <xm:sqref>B7</xm:sqref>
        </x14:dataValidation>
        <x14:dataValidation type="list" allowBlank="1" xr:uid="{00000000-0002-0000-0500-000004000000}">
          <x14:formula1>
            <xm:f>הגדרות!$N$2:$N$6</xm:f>
          </x14:formula1>
          <x14:formula2>
            <xm:f>0</xm:f>
          </x14:formula2>
          <xm:sqref>B8</xm:sqref>
        </x14:dataValidation>
        <x14:dataValidation type="list" allowBlank="1" xr:uid="{00000000-0002-0000-0500-000005000000}">
          <x14:formula1>
            <xm:f>הגדרות!$O$2:$O$4</xm:f>
          </x14:formula1>
          <x14:formula2>
            <xm:f>0</xm:f>
          </x14:formula2>
          <xm:sqref>B9:B10 E4:E6</xm:sqref>
        </x14:dataValidation>
        <x14:dataValidation type="list" allowBlank="1" xr:uid="{00000000-0002-0000-0500-000009000000}">
          <x14:formula1>
            <xm:f>הגדרות!$P$2:$P$9</xm:f>
          </x14:formula1>
          <x14:formula2>
            <xm:f>0</xm:f>
          </x14:formula2>
          <xm:sqref>E7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54"/>
  <sheetViews>
    <sheetView rightToLeft="1" zoomScaleNormal="100" workbookViewId="0">
      <pane ySplit="4" topLeftCell="A139" activePane="bottomLeft" state="frozen"/>
      <selection activeCell="F41" sqref="F41"/>
      <selection pane="bottomLeft" activeCell="H183" sqref="H183"/>
    </sheetView>
  </sheetViews>
  <sheetFormatPr defaultColWidth="8.7109375" defaultRowHeight="15" x14ac:dyDescent="0.25"/>
  <cols>
    <col min="1" max="1" width="22.5703125" bestFit="1" customWidth="1"/>
    <col min="2" max="2" width="28" customWidth="1"/>
    <col min="3" max="3" width="18" customWidth="1"/>
    <col min="4" max="4" width="16" customWidth="1"/>
    <col min="5" max="7" width="10" customWidth="1"/>
    <col min="8" max="8" width="16" customWidth="1"/>
    <col min="9" max="12" width="10" customWidth="1"/>
  </cols>
  <sheetData>
    <row r="1" spans="1:12" ht="17.25" customHeight="1" x14ac:dyDescent="0.25">
      <c r="A1" s="56" t="s">
        <v>140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</row>
    <row r="3" spans="1:12" ht="15" customHeight="1" x14ac:dyDescent="0.25">
      <c r="D3" s="58" t="s">
        <v>141</v>
      </c>
      <c r="E3" s="54"/>
      <c r="F3" s="54"/>
      <c r="G3" s="55"/>
      <c r="H3" s="53" t="s">
        <v>142</v>
      </c>
      <c r="I3" s="54"/>
      <c r="J3" s="54"/>
      <c r="K3" s="55"/>
    </row>
    <row r="4" spans="1:12" ht="15" customHeight="1" x14ac:dyDescent="0.25">
      <c r="A4" s="26" t="s">
        <v>33</v>
      </c>
      <c r="B4" s="26" t="s">
        <v>31</v>
      </c>
      <c r="C4" s="26" t="s">
        <v>30</v>
      </c>
      <c r="D4" s="26" t="s">
        <v>34</v>
      </c>
      <c r="E4" s="26" t="s">
        <v>143</v>
      </c>
      <c r="F4" s="26" t="s">
        <v>144</v>
      </c>
      <c r="G4" s="26" t="s">
        <v>145</v>
      </c>
      <c r="H4" s="26" t="s">
        <v>35</v>
      </c>
      <c r="I4" s="26" t="s">
        <v>146</v>
      </c>
      <c r="J4" s="26" t="s">
        <v>147</v>
      </c>
      <c r="K4" s="26" t="s">
        <v>148</v>
      </c>
      <c r="L4" s="26" t="s">
        <v>51</v>
      </c>
    </row>
    <row r="5" spans="1:12" ht="15" customHeight="1" x14ac:dyDescent="0.25">
      <c r="A5" s="23" t="str">
        <f>IF(מלאי!D3&lt;&gt;"",מלאי!D3,"")</f>
        <v>A1</v>
      </c>
      <c r="B5" s="23" t="str">
        <f>IF(מלאי!D3&lt;&gt;"",מלאי!B3&amp;IF(מלאי!C3&lt;&gt;""," ("&amp;מלאי!C3&amp;")",""),"")</f>
        <v>Poncho Sahar (V1)</v>
      </c>
      <c r="C5" s="23" t="str">
        <f>IF(מלאי!D3&lt;&gt;"",מלאי!A3,"")</f>
        <v>OverGarment</v>
      </c>
      <c r="D5" s="23" t="str">
        <f>IF(מלאי!D3&lt;&gt;"",מלאי!H3,"")</f>
        <v>Ever-Green</v>
      </c>
      <c r="E5" s="23"/>
      <c r="F5" s="23"/>
      <c r="G5" s="23"/>
      <c r="H5" s="23" t="str">
        <f>IF(מלאי!D3&lt;&gt;"",מלאי!I3,"")</f>
        <v>Desert</v>
      </c>
      <c r="I5" s="23"/>
      <c r="J5" s="23"/>
      <c r="K5" s="23"/>
      <c r="L5" s="23" t="e">
        <f>IF(מלאי!D3&lt;&gt;"",מלאי!#REF!,"")</f>
        <v>#REF!</v>
      </c>
    </row>
    <row r="6" spans="1:12" ht="15" customHeight="1" x14ac:dyDescent="0.25">
      <c r="A6" s="23" t="str">
        <f>IF(מלאי!D4&lt;&gt;"",מלאי!D4,"")</f>
        <v>A2</v>
      </c>
      <c r="B6" s="23" t="str">
        <f>IF(מלאי!D4&lt;&gt;"",מלאי!B4&amp;IF(מלאי!C4&lt;&gt;""," ("&amp;מלאי!C4&amp;")",""),"")</f>
        <v>Poncho Sahar (V1)</v>
      </c>
      <c r="C6" s="23" t="str">
        <f>IF(מלאי!D4&lt;&gt;"",מלאי!A4,"")</f>
        <v>OverGarment</v>
      </c>
      <c r="D6" s="23" t="str">
        <f>IF(מלאי!D4&lt;&gt;"",מלאי!H4,"")</f>
        <v>Ever-Green</v>
      </c>
      <c r="E6" s="23"/>
      <c r="F6" s="23"/>
      <c r="G6" s="23"/>
      <c r="H6" s="23" t="str">
        <f>IF(מלאי!D4&lt;&gt;"",מלאי!I4,"")</f>
        <v>Desert</v>
      </c>
      <c r="I6" s="23"/>
      <c r="J6" s="23"/>
      <c r="K6" s="23"/>
      <c r="L6" s="23" t="e">
        <f>IF(מלאי!D4&lt;&gt;"",מלאי!#REF!,"")</f>
        <v>#REF!</v>
      </c>
    </row>
    <row r="7" spans="1:12" ht="15" customHeight="1" x14ac:dyDescent="0.25">
      <c r="A7" s="23" t="str">
        <f>IF(מלאי!D5&lt;&gt;"",מלאי!D5,"")</f>
        <v>A3</v>
      </c>
      <c r="B7" s="23" t="str">
        <f>IF(מלאי!D5&lt;&gt;"",מלאי!B5&amp;IF(מלאי!C5&lt;&gt;""," ("&amp;מלאי!C5&amp;")",""),"")</f>
        <v>Poncho Sahar (V1)</v>
      </c>
      <c r="C7" s="23" t="str">
        <f>IF(מלאי!D5&lt;&gt;"",מלאי!A5,"")</f>
        <v>OverGarment</v>
      </c>
      <c r="D7" s="23" t="str">
        <f>IF(מלאי!D5&lt;&gt;"",מלאי!H5,"")</f>
        <v>Ever-Green</v>
      </c>
      <c r="E7" s="23"/>
      <c r="F7" s="23"/>
      <c r="G7" s="23"/>
      <c r="H7" s="23" t="str">
        <f>IF(מלאי!D5&lt;&gt;"",מלאי!I5,"")</f>
        <v>Desert</v>
      </c>
      <c r="I7" s="23"/>
      <c r="J7" s="23"/>
      <c r="K7" s="23"/>
      <c r="L7" s="23" t="e">
        <f>IF(מלאי!D5&lt;&gt;"",מלאי!#REF!,"")</f>
        <v>#REF!</v>
      </c>
    </row>
    <row r="8" spans="1:12" ht="15" customHeight="1" x14ac:dyDescent="0.25">
      <c r="A8" s="23" t="str">
        <f>IF(מלאי!D6&lt;&gt;"",מלאי!D6,"")</f>
        <v>A הדגמה</v>
      </c>
      <c r="B8" s="23" t="str">
        <f>IF(מלאי!D6&lt;&gt;"",מלאי!B6&amp;IF(מלאי!C6&lt;&gt;""," ("&amp;מלאי!C6&amp;")",""),"")</f>
        <v>Poncho Sahar (V1)</v>
      </c>
      <c r="C8" s="23" t="str">
        <f>IF(מלאי!D6&lt;&gt;"",מלאי!A6,"")</f>
        <v>OverGarment</v>
      </c>
      <c r="D8" s="23" t="str">
        <f>IF(מלאי!D6&lt;&gt;"",מלאי!H6,"")</f>
        <v>Ever-Green</v>
      </c>
      <c r="E8" s="23"/>
      <c r="F8" s="23"/>
      <c r="G8" s="23"/>
      <c r="H8" s="23" t="str">
        <f>IF(מלאי!D6&lt;&gt;"",מלאי!I6,"")</f>
        <v>Desert</v>
      </c>
      <c r="I8" s="23"/>
      <c r="J8" s="23"/>
      <c r="K8" s="23"/>
      <c r="L8" s="23" t="e">
        <f>IF(מלאי!D6&lt;&gt;"",מלאי!#REF!,"")</f>
        <v>#REF!</v>
      </c>
    </row>
    <row r="9" spans="1:12" ht="15" customHeight="1" x14ac:dyDescent="0.25">
      <c r="A9" s="23" t="str">
        <f>IF(מלאי!D7&lt;&gt;"",מלאי!D7,"")</f>
        <v>A תצוגה</v>
      </c>
      <c r="B9" s="23" t="str">
        <f>IF(מלאי!D7&lt;&gt;"",מלאי!B7&amp;IF(מלאי!C7&lt;&gt;""," ("&amp;מלאי!C7&amp;")",""),"")</f>
        <v>Poncho Sahar (V1)</v>
      </c>
      <c r="C9" s="23" t="str">
        <f>IF(מלאי!D7&lt;&gt;"",מלאי!A7,"")</f>
        <v>OverGarment</v>
      </c>
      <c r="D9" s="23" t="str">
        <f>IF(מלאי!D7&lt;&gt;"",מלאי!H7,"")</f>
        <v>Ever-Green</v>
      </c>
      <c r="E9" s="23"/>
      <c r="F9" s="23"/>
      <c r="G9" s="23"/>
      <c r="H9" s="23" t="str">
        <f>IF(מלאי!D7&lt;&gt;"",מלאי!I7,"")</f>
        <v>Desert</v>
      </c>
      <c r="I9" s="23"/>
      <c r="J9" s="23"/>
      <c r="K9" s="23"/>
      <c r="L9" s="23" t="e">
        <f>IF(מלאי!D7&lt;&gt;"",מלאי!#REF!,"")</f>
        <v>#REF!</v>
      </c>
    </row>
    <row r="10" spans="1:12" ht="15" customHeight="1" x14ac:dyDescent="0.25">
      <c r="A10" s="23" t="str">
        <f>IF(מלאי!D8&lt;&gt;"",מלאי!D8,"")</f>
        <v>B הדגמה</v>
      </c>
      <c r="B10" s="23" t="str">
        <f>IF(מלאי!D8&lt;&gt;"",מלאי!B8&amp;IF(מלאי!C8&lt;&gt;""," ("&amp;מלאי!C8&amp;")",""),"")</f>
        <v>Poncho Sahar (V2)</v>
      </c>
      <c r="C10" s="23" t="str">
        <f>IF(מלאי!D8&lt;&gt;"",מלאי!A8,"")</f>
        <v>OverGarment</v>
      </c>
      <c r="D10" s="23" t="str">
        <f>IF(מלאי!D8&lt;&gt;"",מלאי!H8,"")</f>
        <v>Woodland Brown</v>
      </c>
      <c r="E10" s="23"/>
      <c r="F10" s="23"/>
      <c r="G10" s="23"/>
      <c r="H10" s="23" t="str">
        <f>IF(מלאי!D8&lt;&gt;"",מלאי!I8,"")</f>
        <v>Kestrel</v>
      </c>
      <c r="I10" s="23"/>
      <c r="J10" s="23"/>
      <c r="K10" s="23"/>
      <c r="L10" s="23" t="e">
        <f>IF(מלאי!D8&lt;&gt;"",מלאי!#REF!,"")</f>
        <v>#REF!</v>
      </c>
    </row>
    <row r="11" spans="1:12" ht="15" customHeight="1" x14ac:dyDescent="0.25">
      <c r="A11" s="23" t="str">
        <f>IF(מלאי!D9&lt;&gt;"",מלאי!D9,"")</f>
        <v>B תצוגה</v>
      </c>
      <c r="B11" s="23" t="str">
        <f>IF(מלאי!D9&lt;&gt;"",מלאי!B9&amp;IF(מלאי!C9&lt;&gt;""," ("&amp;מלאי!C9&amp;")",""),"")</f>
        <v>Poncho Sahar (V2)</v>
      </c>
      <c r="C11" s="23" t="str">
        <f>IF(מלאי!D9&lt;&gt;"",מלאי!A9,"")</f>
        <v>OverGarment</v>
      </c>
      <c r="D11" s="23" t="str">
        <f>IF(מלאי!D9&lt;&gt;"",מלאי!H9,"")</f>
        <v>Woodland Brown</v>
      </c>
      <c r="E11" s="23"/>
      <c r="F11" s="23"/>
      <c r="G11" s="23"/>
      <c r="H11" s="23" t="str">
        <f>IF(מלאי!D9&lt;&gt;"",מלאי!I9,"")</f>
        <v>Kestrel</v>
      </c>
      <c r="I11" s="23"/>
      <c r="J11" s="23"/>
      <c r="K11" s="23"/>
      <c r="L11" s="23" t="e">
        <f>IF(מלאי!D9&lt;&gt;"",מלאי!#REF!,"")</f>
        <v>#REF!</v>
      </c>
    </row>
    <row r="12" spans="1:12" ht="15" customHeight="1" x14ac:dyDescent="0.25">
      <c r="A12" s="23" t="str">
        <f>IF(מלאי!D10&lt;&gt;"",מלאי!D10,"")</f>
        <v>Inbar A1</v>
      </c>
      <c r="B12" s="23" t="str">
        <f>IF(מלאי!D10&lt;&gt;"",מלאי!B10&amp;IF(מלאי!C10&lt;&gt;""," ("&amp;מלאי!C10&amp;")",""),"")</f>
        <v>Poncho Inbar (V1)</v>
      </c>
      <c r="C12" s="23" t="str">
        <f>IF(מלאי!D10&lt;&gt;"",מלאי!A10,"")</f>
        <v>OverGarment</v>
      </c>
      <c r="D12" s="23" t="str">
        <f>IF(מלאי!D10&lt;&gt;"",מלאי!H10,"")</f>
        <v>Forest Green</v>
      </c>
      <c r="E12" s="23"/>
      <c r="F12" s="23"/>
      <c r="G12" s="23"/>
      <c r="H12" s="23" t="str">
        <f>IF(מלאי!D10&lt;&gt;"",מלאי!I10,"")</f>
        <v>Desert</v>
      </c>
      <c r="I12" s="23"/>
      <c r="J12" s="23"/>
      <c r="K12" s="23"/>
      <c r="L12" s="23" t="e">
        <f>IF(מלאי!D10&lt;&gt;"",מלאי!#REF!,"")</f>
        <v>#REF!</v>
      </c>
    </row>
    <row r="13" spans="1:12" ht="15" customHeight="1" x14ac:dyDescent="0.25">
      <c r="A13" s="23" t="str">
        <f>IF(מלאי!D11&lt;&gt;"",מלאי!D11,"")</f>
        <v>Inbar A2</v>
      </c>
      <c r="B13" s="23" t="str">
        <f>IF(מלאי!D11&lt;&gt;"",מלאי!B11&amp;IF(מלאי!C11&lt;&gt;""," ("&amp;מלאי!C11&amp;")",""),"")</f>
        <v>Poncho Inbar (V1)</v>
      </c>
      <c r="C13" s="23" t="str">
        <f>IF(מלאי!D11&lt;&gt;"",מלאי!A11,"")</f>
        <v>OverGarment</v>
      </c>
      <c r="D13" s="23" t="str">
        <f>IF(מלאי!D11&lt;&gt;"",מלאי!H11,"")</f>
        <v>Forest Green</v>
      </c>
      <c r="E13" s="23"/>
      <c r="F13" s="23"/>
      <c r="G13" s="23"/>
      <c r="H13" s="23" t="str">
        <f>IF(מלאי!D11&lt;&gt;"",מלאי!I11,"")</f>
        <v>Desert</v>
      </c>
      <c r="I13" s="23"/>
      <c r="J13" s="23"/>
      <c r="K13" s="23"/>
      <c r="L13" s="23" t="e">
        <f>IF(מלאי!D11&lt;&gt;"",מלאי!#REF!,"")</f>
        <v>#REF!</v>
      </c>
    </row>
    <row r="14" spans="1:12" ht="15" customHeight="1" x14ac:dyDescent="0.25">
      <c r="A14" s="23" t="str">
        <f>IF(מלאי!D12&lt;&gt;"",מלאי!D12,"")</f>
        <v>Inbar A3</v>
      </c>
      <c r="B14" s="23" t="str">
        <f>IF(מלאי!D12&lt;&gt;"",מלאי!B12&amp;IF(מלאי!C12&lt;&gt;""," ("&amp;מלאי!C12&amp;")",""),"")</f>
        <v>Poncho Inbar (V1)</v>
      </c>
      <c r="C14" s="23" t="str">
        <f>IF(מלאי!D12&lt;&gt;"",מלאי!A12,"")</f>
        <v>OverGarment</v>
      </c>
      <c r="D14" s="23" t="str">
        <f>IF(מלאי!D12&lt;&gt;"",מלאי!H12,"")</f>
        <v>Forest Green</v>
      </c>
      <c r="E14" s="23"/>
      <c r="F14" s="23"/>
      <c r="G14" s="23"/>
      <c r="H14" s="23" t="str">
        <f>IF(מלאי!D12&lt;&gt;"",מלאי!I12,"")</f>
        <v>Desert Coyote</v>
      </c>
      <c r="I14" s="23"/>
      <c r="J14" s="23"/>
      <c r="K14" s="23"/>
      <c r="L14" s="23" t="e">
        <f>IF(מלאי!D12&lt;&gt;"",מלאי!#REF!,"")</f>
        <v>#REF!</v>
      </c>
    </row>
    <row r="15" spans="1:12" ht="15" customHeight="1" x14ac:dyDescent="0.25">
      <c r="A15" s="23" t="str">
        <f>IF(מלאי!D13&lt;&gt;"",מלאי!D13,"")</f>
        <v>Inbar A4</v>
      </c>
      <c r="B15" s="23" t="str">
        <f>IF(מלאי!D13&lt;&gt;"",מלאי!B13&amp;IF(מלאי!C13&lt;&gt;""," ("&amp;מלאי!C13&amp;")",""),"")</f>
        <v>Poncho Inbar (V1)</v>
      </c>
      <c r="C15" s="23" t="str">
        <f>IF(מלאי!D13&lt;&gt;"",מלאי!A13,"")</f>
        <v>OverGarment</v>
      </c>
      <c r="D15" s="23" t="str">
        <f>IF(מלאי!D13&lt;&gt;"",מלאי!H13,"")</f>
        <v>Forest Green</v>
      </c>
      <c r="E15" s="23"/>
      <c r="F15" s="23"/>
      <c r="G15" s="23"/>
      <c r="H15" s="23" t="str">
        <f>IF(מלאי!D13&lt;&gt;"",מלאי!I13,"")</f>
        <v>Desert Coyote</v>
      </c>
      <c r="I15" s="23"/>
      <c r="J15" s="23"/>
      <c r="K15" s="23"/>
      <c r="L15" s="23" t="e">
        <f>IF(מלאי!D13&lt;&gt;"",מלאי!#REF!,"")</f>
        <v>#REF!</v>
      </c>
    </row>
    <row r="16" spans="1:12" ht="15" customHeight="1" x14ac:dyDescent="0.25">
      <c r="A16" s="23" t="str">
        <f>IF(מלאי!D14&lt;&gt;"",מלאי!D14,"")</f>
        <v>Inbar א תצוגה</v>
      </c>
      <c r="B16" s="23" t="str">
        <f>IF(מלאי!D14&lt;&gt;"",מלאי!B14&amp;IF(מלאי!C14&lt;&gt;""," ("&amp;מלאי!C14&amp;")",""),"")</f>
        <v>Poncho Inbar (V1)</v>
      </c>
      <c r="C16" s="23" t="str">
        <f>IF(מלאי!D14&lt;&gt;"",מלאי!A14,"")</f>
        <v>OverGarment</v>
      </c>
      <c r="D16" s="23" t="str">
        <f>IF(מלאי!D14&lt;&gt;"",מלאי!H14,"")</f>
        <v>Forest Green</v>
      </c>
      <c r="E16" s="23"/>
      <c r="F16" s="23"/>
      <c r="G16" s="23"/>
      <c r="H16" s="23" t="str">
        <f>IF(מלאי!D14&lt;&gt;"",מלאי!I14,"")</f>
        <v>Desert Coyote</v>
      </c>
      <c r="I16" s="23"/>
      <c r="J16" s="23"/>
      <c r="K16" s="23"/>
      <c r="L16" s="23" t="e">
        <f>IF(מלאי!D14&lt;&gt;"",מלאי!#REF!,"")</f>
        <v>#REF!</v>
      </c>
    </row>
    <row r="17" spans="1:12" ht="15" customHeight="1" x14ac:dyDescent="0.25">
      <c r="A17" s="23" t="str">
        <f>IF(מלאי!D15&lt;&gt;"",מלאי!D15,"")</f>
        <v>Inbar א הדגמה</v>
      </c>
      <c r="B17" s="23" t="str">
        <f>IF(מלאי!D15&lt;&gt;"",מלאי!B15&amp;IF(מלאי!C15&lt;&gt;""," ("&amp;מלאי!C15&amp;")",""),"")</f>
        <v>Poncho Inbar (V1)</v>
      </c>
      <c r="C17" s="23" t="str">
        <f>IF(מלאי!D15&lt;&gt;"",מלאי!A15,"")</f>
        <v>OverGarment</v>
      </c>
      <c r="D17" s="23" t="str">
        <f>IF(מלאי!D15&lt;&gt;"",מלאי!H15,"")</f>
        <v>Forest Green</v>
      </c>
      <c r="E17" s="23"/>
      <c r="F17" s="23"/>
      <c r="G17" s="23"/>
      <c r="H17" s="23" t="str">
        <f>IF(מלאי!D15&lt;&gt;"",מלאי!I15,"")</f>
        <v>Desert</v>
      </c>
      <c r="I17" s="23"/>
      <c r="J17" s="23"/>
      <c r="K17" s="23"/>
      <c r="L17" s="23" t="e">
        <f>IF(מלאי!D15&lt;&gt;"",מלאי!#REF!,"")</f>
        <v>#REF!</v>
      </c>
    </row>
    <row r="18" spans="1:12" ht="15" customHeight="1" x14ac:dyDescent="0.25">
      <c r="A18" s="23" t="str">
        <f>IF(מלאי!D16&lt;&gt;"",מלאי!D16,"")</f>
        <v>May3</v>
      </c>
      <c r="B18" s="23" t="str">
        <f>IF(מלאי!D16&lt;&gt;"",מלאי!B16&amp;IF(מלאי!C16&lt;&gt;""," ("&amp;מלאי!C16&amp;")",""),"")</f>
        <v>May Suit (V1)</v>
      </c>
      <c r="C18" s="23" t="str">
        <f>IF(מלאי!D16&lt;&gt;"",מלאי!A16,"")</f>
        <v>OverGarment</v>
      </c>
      <c r="D18" s="23" t="str">
        <f>IF(מלאי!D16&lt;&gt;"",מלאי!H16,"")</f>
        <v>Forest Green</v>
      </c>
      <c r="E18" s="23"/>
      <c r="F18" s="23"/>
      <c r="G18" s="23"/>
      <c r="H18" s="23" t="str">
        <f>IF(מלאי!D16&lt;&gt;"",מלאי!I16,"")</f>
        <v>NATO</v>
      </c>
      <c r="I18" s="23"/>
      <c r="J18" s="23"/>
      <c r="K18" s="23"/>
      <c r="L18" s="23" t="e">
        <f>IF(מלאי!D16&lt;&gt;"",מלאי!#REF!,"")</f>
        <v>#REF!</v>
      </c>
    </row>
    <row r="19" spans="1:12" ht="15" customHeight="1" x14ac:dyDescent="0.25">
      <c r="A19" s="23" t="str">
        <f>IF(מלאי!D17&lt;&gt;"",מלאי!D17,"")</f>
        <v>May4</v>
      </c>
      <c r="B19" s="23" t="str">
        <f>IF(מלאי!D17&lt;&gt;"",מלאי!B17&amp;IF(מלאי!C17&lt;&gt;""," ("&amp;מלאי!C17&amp;")",""),"")</f>
        <v>May Suit (V1)</v>
      </c>
      <c r="C19" s="23" t="str">
        <f>IF(מלאי!D17&lt;&gt;"",מלאי!A17,"")</f>
        <v>OverGarment</v>
      </c>
      <c r="D19" s="23" t="str">
        <f>IF(מלאי!D17&lt;&gt;"",מלאי!H17,"")</f>
        <v>Forest Green</v>
      </c>
      <c r="E19" s="23"/>
      <c r="F19" s="23"/>
      <c r="G19" s="23"/>
      <c r="H19" s="23" t="str">
        <f>IF(מלאי!D17&lt;&gt;"",מלאי!I17,"")</f>
        <v>NATO</v>
      </c>
      <c r="I19" s="23"/>
      <c r="J19" s="23"/>
      <c r="K19" s="23"/>
      <c r="L19" s="23" t="e">
        <f>IF(מלאי!D17&lt;&gt;"",מלאי!#REF!,"")</f>
        <v>#REF!</v>
      </c>
    </row>
    <row r="20" spans="1:12" ht="15" customHeight="1" x14ac:dyDescent="0.25">
      <c r="A20" s="23" t="str">
        <f>IF(מלאי!D18&lt;&gt;"",מלאי!D18,"")</f>
        <v>מאי תצוגה</v>
      </c>
      <c r="B20" s="23" t="str">
        <f>IF(מלאי!D18&lt;&gt;"",מלאי!B18&amp;IF(מלאי!C18&lt;&gt;""," ("&amp;מלאי!C18&amp;")",""),"")</f>
        <v>May Suit (V1)</v>
      </c>
      <c r="C20" s="23" t="str">
        <f>IF(מלאי!D18&lt;&gt;"",מלאי!A18,"")</f>
        <v>OverGarment</v>
      </c>
      <c r="D20" s="23" t="str">
        <f>IF(מלאי!D18&lt;&gt;"",מלאי!H18,"")</f>
        <v>Forest Green</v>
      </c>
      <c r="E20" s="23"/>
      <c r="F20" s="23"/>
      <c r="G20" s="23"/>
      <c r="H20" s="23" t="str">
        <f>IF(מלאי!D18&lt;&gt;"",מלאי!I18,"")</f>
        <v>NATO</v>
      </c>
      <c r="I20" s="23"/>
      <c r="J20" s="23"/>
      <c r="K20" s="23"/>
      <c r="L20" s="23" t="e">
        <f>IF(מלאי!D18&lt;&gt;"",מלאי!#REF!,"")</f>
        <v>#REF!</v>
      </c>
    </row>
    <row r="21" spans="1:12" ht="15" customHeight="1" x14ac:dyDescent="0.25">
      <c r="A21" s="23" t="str">
        <f>IF(מלאי!D19&lt;&gt;"",מלאי!D19,"")</f>
        <v>מאי הדגמה</v>
      </c>
      <c r="B21" s="23" t="str">
        <f>IF(מלאי!D19&lt;&gt;"",מלאי!B19&amp;IF(מלאי!C19&lt;&gt;""," ("&amp;מלאי!C19&amp;")",""),"")</f>
        <v>May Suit (V1)</v>
      </c>
      <c r="C21" s="23" t="str">
        <f>IF(מלאי!D19&lt;&gt;"",מלאי!A19,"")</f>
        <v>OverGarment</v>
      </c>
      <c r="D21" s="23" t="str">
        <f>IF(מלאי!D19&lt;&gt;"",מלאי!H19,"")</f>
        <v>Forest Green</v>
      </c>
      <c r="E21" s="23"/>
      <c r="F21" s="23"/>
      <c r="G21" s="23"/>
      <c r="H21" s="23" t="str">
        <f>IF(מלאי!D19&lt;&gt;"",מלאי!I19,"")</f>
        <v>NATO</v>
      </c>
      <c r="I21" s="23"/>
      <c r="J21" s="23"/>
      <c r="K21" s="23"/>
      <c r="L21" s="23" t="e">
        <f>IF(מלאי!D19&lt;&gt;"",מלאי!#REF!,"")</f>
        <v>#REF!</v>
      </c>
    </row>
    <row r="22" spans="1:12" ht="15" customHeight="1" x14ac:dyDescent="0.25">
      <c r="A22" s="23" t="str">
        <f>IF(מלאי!D20&lt;&gt;"",מלאי!D20,"")</f>
        <v>May Desert 1</v>
      </c>
      <c r="B22" s="23" t="str">
        <f>IF(מלאי!D20&lt;&gt;"",מלאי!B20&amp;IF(מלאי!C20&lt;&gt;""," ("&amp;מלאי!C20&amp;")",""),"")</f>
        <v>May Suit (V1)</v>
      </c>
      <c r="C22" s="23" t="str">
        <f>IF(מלאי!D20&lt;&gt;"",מלאי!A20,"")</f>
        <v>OverGarment</v>
      </c>
      <c r="D22" s="23" t="str">
        <f>IF(מלאי!D20&lt;&gt;"",מלאי!H20,"")</f>
        <v>Desert Coyote</v>
      </c>
      <c r="E22" s="23"/>
      <c r="F22" s="23"/>
      <c r="G22" s="23"/>
      <c r="H22" s="23" t="str">
        <f>IF(מלאי!D20&lt;&gt;"",מלאי!I20,"")</f>
        <v>Desert Coyote</v>
      </c>
      <c r="I22" s="23"/>
      <c r="J22" s="23"/>
      <c r="K22" s="23"/>
      <c r="L22" s="23" t="e">
        <f>IF(מלאי!D20&lt;&gt;"",מלאי!#REF!,"")</f>
        <v>#REF!</v>
      </c>
    </row>
    <row r="23" spans="1:12" ht="15" customHeight="1" x14ac:dyDescent="0.25">
      <c r="A23" s="23" t="str">
        <f>IF(מלאי!D21&lt;&gt;"",מלאי!D21,"")</f>
        <v>May Desert 2</v>
      </c>
      <c r="B23" s="23" t="str">
        <f>IF(מלאי!D21&lt;&gt;"",מלאי!B21&amp;IF(מלאי!C21&lt;&gt;""," ("&amp;מלאי!C21&amp;")",""),"")</f>
        <v>May Suit (V1)</v>
      </c>
      <c r="C23" s="23" t="str">
        <f>IF(מלאי!D21&lt;&gt;"",מלאי!A21,"")</f>
        <v>OverGarment</v>
      </c>
      <c r="D23" s="23" t="str">
        <f>IF(מלאי!D21&lt;&gt;"",מלאי!H21,"")</f>
        <v>Desert Coyote</v>
      </c>
      <c r="E23" s="23"/>
      <c r="F23" s="23"/>
      <c r="G23" s="23"/>
      <c r="H23" s="23" t="str">
        <f>IF(מלאי!D21&lt;&gt;"",מלאי!I21,"")</f>
        <v>Desert Coyote</v>
      </c>
      <c r="I23" s="23"/>
      <c r="J23" s="23"/>
      <c r="K23" s="23"/>
      <c r="L23" s="23" t="e">
        <f>IF(מלאי!D21&lt;&gt;"",מלאי!#REF!,"")</f>
        <v>#REF!</v>
      </c>
    </row>
    <row r="24" spans="1:12" ht="15" customHeight="1" x14ac:dyDescent="0.25">
      <c r="A24" s="23" t="str">
        <f>IF(מלאי!D22&lt;&gt;"",מלאי!D22,"")</f>
        <v>May Desert 3</v>
      </c>
      <c r="B24" s="23" t="str">
        <f>IF(מלאי!D22&lt;&gt;"",מלאי!B22&amp;IF(מלאי!C22&lt;&gt;""," ("&amp;מלאי!C22&amp;")",""),"")</f>
        <v>May Suit (V1)</v>
      </c>
      <c r="C24" s="23" t="str">
        <f>IF(מלאי!D22&lt;&gt;"",מלאי!A22,"")</f>
        <v>OverGarment</v>
      </c>
      <c r="D24" s="23" t="str">
        <f>IF(מלאי!D22&lt;&gt;"",מלאי!H22,"")</f>
        <v>Desert Coyote</v>
      </c>
      <c r="E24" s="23"/>
      <c r="F24" s="23"/>
      <c r="G24" s="23"/>
      <c r="H24" s="23" t="str">
        <f>IF(מלאי!D22&lt;&gt;"",מלאי!I22,"")</f>
        <v>Desert Coyote</v>
      </c>
      <c r="I24" s="23"/>
      <c r="J24" s="23"/>
      <c r="K24" s="23"/>
      <c r="L24" s="23" t="e">
        <f>IF(מלאי!D22&lt;&gt;"",מלאי!#REF!,"")</f>
        <v>#REF!</v>
      </c>
    </row>
    <row r="25" spans="1:12" ht="15" customHeight="1" x14ac:dyDescent="0.25">
      <c r="A25" s="23" t="str">
        <f>IF(מלאי!D23&lt;&gt;"",מלאי!D23,"")</f>
        <v>May Desert 4</v>
      </c>
      <c r="B25" s="23" t="str">
        <f>IF(מלאי!D23&lt;&gt;"",מלאי!B23&amp;IF(מלאי!C23&lt;&gt;""," ("&amp;מלאי!C23&amp;")",""),"")</f>
        <v>May Suit (V1)</v>
      </c>
      <c r="C25" s="23" t="str">
        <f>IF(מלאי!D23&lt;&gt;"",מלאי!A23,"")</f>
        <v>OverGarment</v>
      </c>
      <c r="D25" s="23" t="str">
        <f>IF(מלאי!D23&lt;&gt;"",מלאי!H23,"")</f>
        <v>Desert Coyote</v>
      </c>
      <c r="E25" s="23"/>
      <c r="F25" s="23"/>
      <c r="G25" s="23"/>
      <c r="H25" s="23" t="str">
        <f>IF(מלאי!D23&lt;&gt;"",מלאי!I23,"")</f>
        <v>Desert Coyote</v>
      </c>
      <c r="I25" s="23"/>
      <c r="J25" s="23"/>
      <c r="K25" s="23"/>
      <c r="L25" s="23" t="e">
        <f>IF(מלאי!D23&lt;&gt;"",מלאי!#REF!,"")</f>
        <v>#REF!</v>
      </c>
    </row>
    <row r="26" spans="1:12" ht="15" customHeight="1" x14ac:dyDescent="0.25">
      <c r="A26" s="23" t="str">
        <f>IF(מלאי!D24&lt;&gt;"",מלאי!D24,"")</f>
        <v>גל הדגמה</v>
      </c>
      <c r="B26" s="23" t="str">
        <f>IF(מלאי!D24&lt;&gt;"",מלאי!B24&amp;IF(מלאי!C24&lt;&gt;""," ("&amp;מלאי!C24&amp;")",""),"")</f>
        <v>Gal Suit (V1)</v>
      </c>
      <c r="C26" s="23" t="str">
        <f>IF(מלאי!D24&lt;&gt;"",מלאי!A24,"")</f>
        <v>OverGarment</v>
      </c>
      <c r="D26" s="23" t="str">
        <f>IF(מלאי!D24&lt;&gt;"",מלאי!H24,"")</f>
        <v>Ever-Green</v>
      </c>
      <c r="E26" s="23"/>
      <c r="F26" s="23"/>
      <c r="G26" s="23"/>
      <c r="H26" s="23" t="str">
        <f>IF(מלאי!D24&lt;&gt;"",מלאי!I24,"")</f>
        <v>Desert</v>
      </c>
      <c r="I26" s="23"/>
      <c r="J26" s="23"/>
      <c r="K26" s="23"/>
      <c r="L26" s="23" t="e">
        <f>IF(מלאי!D24&lt;&gt;"",מלאי!#REF!,"")</f>
        <v>#REF!</v>
      </c>
    </row>
    <row r="27" spans="1:12" ht="15" customHeight="1" x14ac:dyDescent="0.25">
      <c r="A27" s="23" t="str">
        <f>IF(מלאי!D25&lt;&gt;"",מלאי!D25,"")</f>
        <v>גל תצוגה</v>
      </c>
      <c r="B27" s="23" t="str">
        <f>IF(מלאי!D25&lt;&gt;"",מלאי!B25&amp;IF(מלאי!C25&lt;&gt;""," ("&amp;מלאי!C25&amp;")",""),"")</f>
        <v>Gal Suit (V1)</v>
      </c>
      <c r="C27" s="23" t="str">
        <f>IF(מלאי!D25&lt;&gt;"",מלאי!A25,"")</f>
        <v>OverGarment</v>
      </c>
      <c r="D27" s="23" t="str">
        <f>IF(מלאי!D25&lt;&gt;"",מלאי!H25,"")</f>
        <v>Ever-Green</v>
      </c>
      <c r="E27" s="23"/>
      <c r="F27" s="23"/>
      <c r="G27" s="23"/>
      <c r="H27" s="23" t="str">
        <f>IF(מלאי!D25&lt;&gt;"",מלאי!I25,"")</f>
        <v>Desert</v>
      </c>
      <c r="I27" s="23"/>
      <c r="J27" s="23"/>
      <c r="K27" s="23"/>
      <c r="L27" s="23" t="e">
        <f>IF(מלאי!D25&lt;&gt;"",מלאי!#REF!,"")</f>
        <v>#REF!</v>
      </c>
    </row>
    <row r="28" spans="1:12" ht="15" customHeight="1" x14ac:dyDescent="0.25">
      <c r="A28" s="23" t="str">
        <f>IF(מלאי!D26&lt;&gt;"",מלאי!D26,"")</f>
        <v>SWAT הדגמה</v>
      </c>
      <c r="B28" s="23" t="str">
        <f>IF(מלאי!D26&lt;&gt;"",מלאי!B26&amp;IF(מלאי!C26&lt;&gt;""," ("&amp;מלאי!C26&amp;")",""),"")</f>
        <v>SWAT 3-Part SUIT (V1)</v>
      </c>
      <c r="C28" s="23" t="str">
        <f>IF(מלאי!D26&lt;&gt;"",מלאי!A26,"")</f>
        <v>OverGarment</v>
      </c>
      <c r="D28" s="23" t="str">
        <f>IF(מלאי!D26&lt;&gt;"",מלאי!H26,"")</f>
        <v>Desert</v>
      </c>
      <c r="E28" s="23"/>
      <c r="F28" s="23"/>
      <c r="G28" s="23"/>
      <c r="H28" s="23" t="str">
        <f>IF(מלאי!D26&lt;&gt;"",מלאי!I26,"")</f>
        <v>Urban</v>
      </c>
      <c r="I28" s="23"/>
      <c r="J28" s="23"/>
      <c r="K28" s="23"/>
      <c r="L28" s="23" t="e">
        <f>IF(מלאי!D26&lt;&gt;"",מלאי!#REF!,"")</f>
        <v>#REF!</v>
      </c>
    </row>
    <row r="29" spans="1:12" ht="15" customHeight="1" x14ac:dyDescent="0.25">
      <c r="A29" s="23" t="str">
        <f>IF(מלאי!D27&lt;&gt;"",מלאי!D27,"")</f>
        <v>SWAT תצוגה</v>
      </c>
      <c r="B29" s="23" t="str">
        <f>IF(מלאי!D27&lt;&gt;"",מלאי!B27&amp;IF(מלאי!C27&lt;&gt;""," ("&amp;מלאי!C27&amp;")",""),"")</f>
        <v>SWAT 3-Part SUIT (V1)</v>
      </c>
      <c r="C29" s="23" t="str">
        <f>IF(מלאי!D27&lt;&gt;"",מלאי!A27,"")</f>
        <v>OverGarment</v>
      </c>
      <c r="D29" s="23" t="str">
        <f>IF(מלאי!D27&lt;&gt;"",מלאי!H27,"")</f>
        <v>Desert</v>
      </c>
      <c r="E29" s="23"/>
      <c r="F29" s="23"/>
      <c r="G29" s="23"/>
      <c r="H29" s="23" t="str">
        <f>IF(מלאי!D27&lt;&gt;"",מלאי!I27,"")</f>
        <v>Urban</v>
      </c>
      <c r="I29" s="23"/>
      <c r="J29" s="23"/>
      <c r="K29" s="23"/>
      <c r="L29" s="23" t="e">
        <f>IF(מלאי!D27&lt;&gt;"",מלאי!#REF!,"")</f>
        <v>#REF!</v>
      </c>
    </row>
    <row r="30" spans="1:12" ht="15" customHeight="1" x14ac:dyDescent="0.25">
      <c r="A30" s="23" t="str">
        <f>IF(מלאי!D28&lt;&gt;"",מלאי!D28,"")</f>
        <v>SRV A16</v>
      </c>
      <c r="B30" s="23" t="str">
        <f>IF(מלאי!D28&lt;&gt;"",מלאי!B28&amp;IF(מלאי!C28&lt;&gt;""," ("&amp;מלאי!C28&amp;")",""),"")</f>
        <v>Poncho SRV (V1)</v>
      </c>
      <c r="C30" s="23" t="str">
        <f>IF(מלאי!D28&lt;&gt;"",מלאי!A28,"")</f>
        <v>OverGarment</v>
      </c>
      <c r="D30" s="23" t="str">
        <f>IF(מלאי!D28&lt;&gt;"",מלאי!H28,"")</f>
        <v>Kestrel</v>
      </c>
      <c r="E30" s="23"/>
      <c r="F30" s="23"/>
      <c r="G30" s="23"/>
      <c r="H30" s="23">
        <f>IF(מלאי!D28&lt;&gt;"",מלאי!I28,"")</f>
        <v>0</v>
      </c>
      <c r="I30" s="23"/>
      <c r="J30" s="23"/>
      <c r="K30" s="23"/>
      <c r="L30" s="23" t="e">
        <f>IF(מלאי!D28&lt;&gt;"",מלאי!#REF!,"")</f>
        <v>#REF!</v>
      </c>
    </row>
    <row r="31" spans="1:12" ht="15" customHeight="1" x14ac:dyDescent="0.25">
      <c r="A31" s="23" t="str">
        <f>IF(מלאי!D29&lt;&gt;"",מלאי!D29,"")</f>
        <v xml:space="preserve">SRV A14  </v>
      </c>
      <c r="B31" s="23" t="str">
        <f>IF(מלאי!D29&lt;&gt;"",מלאי!B29&amp;IF(מלאי!C29&lt;&gt;""," ("&amp;מלאי!C29&amp;")",""),"")</f>
        <v>Poncho SRV (Short)</v>
      </c>
      <c r="C31" s="23" t="str">
        <f>IF(מלאי!D29&lt;&gt;"",מלאי!A29,"")</f>
        <v>OverGarment</v>
      </c>
      <c r="D31" s="23" t="str">
        <f>IF(מלאי!D29&lt;&gt;"",מלאי!H29,"")</f>
        <v>Marine</v>
      </c>
      <c r="E31" s="23"/>
      <c r="F31" s="23"/>
      <c r="G31" s="23"/>
      <c r="H31" s="23">
        <f>IF(מלאי!D29&lt;&gt;"",מלאי!I29,"")</f>
        <v>0</v>
      </c>
      <c r="I31" s="23"/>
      <c r="J31" s="23"/>
      <c r="K31" s="23"/>
      <c r="L31" s="23" t="e">
        <f>IF(מלאי!D29&lt;&gt;"",מלאי!#REF!,"")</f>
        <v>#REF!</v>
      </c>
    </row>
    <row r="32" spans="1:12" ht="15" customHeight="1" x14ac:dyDescent="0.25">
      <c r="A32" s="23" t="str">
        <f>IF(מלאי!D30&lt;&gt;"",מלאי!D30,"")</f>
        <v>SRV A12</v>
      </c>
      <c r="B32" s="23" t="str">
        <f>IF(מלאי!D30&lt;&gt;"",מלאי!B30&amp;IF(מלאי!C30&lt;&gt;""," ("&amp;מלאי!C30&amp;")",""),"")</f>
        <v>Poncho SRV (V1)</v>
      </c>
      <c r="C32" s="23" t="str">
        <f>IF(מלאי!D30&lt;&gt;"",מלאי!A30,"")</f>
        <v>OverGarment</v>
      </c>
      <c r="D32" s="23" t="str">
        <f>IF(מלאי!D30&lt;&gt;"",מלאי!H30,"")</f>
        <v>Kestrel</v>
      </c>
      <c r="E32" s="23"/>
      <c r="F32" s="23"/>
      <c r="G32" s="23"/>
      <c r="H32" s="23">
        <f>IF(מלאי!D30&lt;&gt;"",מלאי!I30,"")</f>
        <v>0</v>
      </c>
      <c r="I32" s="23"/>
      <c r="J32" s="23"/>
      <c r="K32" s="23"/>
      <c r="L32" s="23" t="e">
        <f>IF(מלאי!D30&lt;&gt;"",מלאי!#REF!,"")</f>
        <v>#REF!</v>
      </c>
    </row>
    <row r="33" spans="1:12" ht="15" customHeight="1" x14ac:dyDescent="0.25">
      <c r="A33" s="23" t="str">
        <f>IF(מלאי!D31&lt;&gt;"",מלאי!D31,"")</f>
        <v>SRV A10</v>
      </c>
      <c r="B33" s="23" t="str">
        <f>IF(מלאי!D31&lt;&gt;"",מלאי!B31&amp;IF(מלאי!C31&lt;&gt;""," ("&amp;מלאי!C31&amp;")",""),"")</f>
        <v>Poncho SRV (V1)</v>
      </c>
      <c r="C33" s="23" t="str">
        <f>IF(מלאי!D31&lt;&gt;"",מלאי!A31,"")</f>
        <v>OverGarment</v>
      </c>
      <c r="D33" s="23" t="str">
        <f>IF(מלאי!D31&lt;&gt;"",מלאי!H31,"")</f>
        <v>Kestrel</v>
      </c>
      <c r="E33" s="23"/>
      <c r="F33" s="23"/>
      <c r="G33" s="23"/>
      <c r="H33" s="23">
        <f>IF(מלאי!D31&lt;&gt;"",מלאי!I31,"")</f>
        <v>0</v>
      </c>
      <c r="I33" s="23"/>
      <c r="J33" s="23"/>
      <c r="K33" s="23"/>
      <c r="L33" s="23" t="e">
        <f>IF(מלאי!D31&lt;&gt;"",מלאי!#REF!,"")</f>
        <v>#REF!</v>
      </c>
    </row>
    <row r="34" spans="1:12" ht="23.25" customHeight="1" x14ac:dyDescent="0.25">
      <c r="A34" s="23" t="str">
        <f>IF(מלאי!D32&lt;&gt;"",מלאי!D32,"")</f>
        <v>SRV Short 9</v>
      </c>
      <c r="B34" s="23" t="str">
        <f>IF(מלאי!D32&lt;&gt;"",מלאי!B32&amp;IF(מלאי!C32&lt;&gt;""," ("&amp;מלאי!C32&amp;")",""),"")</f>
        <v>Poncho SRV (Short)</v>
      </c>
      <c r="C34" s="23" t="str">
        <f>IF(מלאי!D32&lt;&gt;"",מלאי!A32,"")</f>
        <v>OverGarment</v>
      </c>
      <c r="D34" s="23" t="str">
        <f>IF(מלאי!D32&lt;&gt;"",מלאי!H32,"")</f>
        <v>Marine</v>
      </c>
      <c r="E34" s="23"/>
      <c r="F34" s="23"/>
      <c r="G34" s="23"/>
      <c r="H34" s="23">
        <f>IF(מלאי!D32&lt;&gt;"",מלאי!I32,"")</f>
        <v>0</v>
      </c>
      <c r="I34" s="23"/>
      <c r="J34" s="23"/>
      <c r="K34" s="23"/>
      <c r="L34" s="23" t="e">
        <f>IF(מלאי!D32&lt;&gt;"",מלאי!#REF!,"")</f>
        <v>#REF!</v>
      </c>
    </row>
    <row r="35" spans="1:12" ht="15" customHeight="1" x14ac:dyDescent="0.25">
      <c r="A35" s="23" t="str">
        <f>IF(מלאי!D33&lt;&gt;"",מלאי!D33,"")</f>
        <v>SRV Short 8</v>
      </c>
      <c r="B35" s="23" t="str">
        <f>IF(מלאי!D33&lt;&gt;"",מלאי!B33&amp;IF(מלאי!C33&lt;&gt;""," ("&amp;מלאי!C33&amp;")",""),"")</f>
        <v>Poncho SRV (Short)</v>
      </c>
      <c r="C35" s="23" t="str">
        <f>IF(מלאי!D33&lt;&gt;"",מלאי!A33,"")</f>
        <v>OverGarment</v>
      </c>
      <c r="D35" s="23" t="str">
        <f>IF(מלאי!D33&lt;&gt;"",מלאי!H33,"")</f>
        <v>Ever-Green</v>
      </c>
      <c r="E35" s="23"/>
      <c r="F35" s="23"/>
      <c r="G35" s="23"/>
      <c r="H35" s="23">
        <f>IF(מלאי!D33&lt;&gt;"",מלאי!I33,"")</f>
        <v>0</v>
      </c>
      <c r="I35" s="23"/>
      <c r="J35" s="23"/>
      <c r="K35" s="23"/>
      <c r="L35" s="23" t="e">
        <f>IF(מלאי!D33&lt;&gt;"",מלאי!#REF!,"")</f>
        <v>#REF!</v>
      </c>
    </row>
    <row r="36" spans="1:12" ht="15" customHeight="1" x14ac:dyDescent="0.25">
      <c r="A36" s="23" t="str">
        <f>IF(מלאי!D34&lt;&gt;"",מלאי!D34,"")</f>
        <v>SRV Short 6</v>
      </c>
      <c r="B36" s="23" t="str">
        <f>IF(מלאי!D34&lt;&gt;"",מלאי!B34&amp;IF(מלאי!C34&lt;&gt;""," ("&amp;מלאי!C34&amp;")",""),"")</f>
        <v>Poncho SRV (Short)</v>
      </c>
      <c r="C36" s="23" t="str">
        <f>IF(מלאי!D34&lt;&gt;"",מלאי!A34,"")</f>
        <v>OverGarment</v>
      </c>
      <c r="D36" s="23" t="str">
        <f>IF(מלאי!D34&lt;&gt;"",מלאי!H34,"")</f>
        <v>Woodland</v>
      </c>
      <c r="E36" s="23"/>
      <c r="F36" s="23"/>
      <c r="G36" s="23"/>
      <c r="H36" s="23" t="str">
        <f>IF(מלאי!D34&lt;&gt;"",מלאי!I34,"")</f>
        <v>Desert-Green</v>
      </c>
      <c r="I36" s="23"/>
      <c r="J36" s="23"/>
      <c r="K36" s="23"/>
      <c r="L36" s="23" t="e">
        <f>IF(מלאי!D34&lt;&gt;"",מלאי!#REF!,"")</f>
        <v>#REF!</v>
      </c>
    </row>
    <row r="37" spans="1:12" ht="15" customHeight="1" x14ac:dyDescent="0.25">
      <c r="A37" s="23" t="str">
        <f>IF(מלאי!D35&lt;&gt;"",מלאי!D35,"")</f>
        <v>SRV Short 5</v>
      </c>
      <c r="B37" s="23" t="str">
        <f>IF(מלאי!D35&lt;&gt;"",מלאי!B35&amp;IF(מלאי!C35&lt;&gt;""," ("&amp;מלאי!C35&amp;")",""),"")</f>
        <v>Poncho SRV (Short)</v>
      </c>
      <c r="C37" s="23" t="str">
        <f>IF(מלאי!D35&lt;&gt;"",מלאי!A35,"")</f>
        <v>OverGarment</v>
      </c>
      <c r="D37" s="23" t="str">
        <f>IF(מלאי!D35&lt;&gt;"",מלאי!H35,"")</f>
        <v>Marine</v>
      </c>
      <c r="E37" s="23"/>
      <c r="F37" s="23"/>
      <c r="G37" s="23"/>
      <c r="H37" s="23">
        <f>IF(מלאי!D35&lt;&gt;"",מלאי!I35,"")</f>
        <v>0</v>
      </c>
      <c r="I37" s="23"/>
      <c r="J37" s="23"/>
      <c r="K37" s="23"/>
      <c r="L37" s="23" t="e">
        <f>IF(מלאי!D35&lt;&gt;"",מלאי!#REF!,"")</f>
        <v>#REF!</v>
      </c>
    </row>
    <row r="38" spans="1:12" ht="15" customHeight="1" x14ac:dyDescent="0.25">
      <c r="A38" s="23" t="str">
        <f>IF(מלאי!D43&lt;&gt;"",מלאי!D43,"")</f>
        <v>SRV Short B7</v>
      </c>
      <c r="B38" s="23" t="str">
        <f>IF(מלאי!D43&lt;&gt;"",מלאי!B43&amp;IF(מלאי!C43&lt;&gt;""," ("&amp;מלאי!C43&amp;")",""),"")</f>
        <v>Poncho SRV (Short V2)</v>
      </c>
      <c r="C38" s="23" t="str">
        <f>IF(מלאי!D43&lt;&gt;"",מלאי!A43,"")</f>
        <v>OverGarment</v>
      </c>
      <c r="D38" s="23" t="str">
        <f>IF(מלאי!D43&lt;&gt;"",מלאי!H43,"")</f>
        <v>Marine</v>
      </c>
      <c r="E38" s="23"/>
      <c r="F38" s="23"/>
      <c r="G38" s="23"/>
      <c r="H38" s="23" t="str">
        <f>IF(מלאי!D43&lt;&gt;"",מלאי!I43,"")</f>
        <v>NATO</v>
      </c>
      <c r="I38" s="23"/>
      <c r="J38" s="23"/>
      <c r="K38" s="23"/>
      <c r="L38" s="23" t="e">
        <f>IF(מלאי!D43&lt;&gt;"",מלאי!#REF!,"")</f>
        <v>#REF!</v>
      </c>
    </row>
    <row r="39" spans="1:12" ht="15" customHeight="1" x14ac:dyDescent="0.25">
      <c r="A39" s="23" t="str">
        <f>IF(מלאי!D44&lt;&gt;"",מלאי!D44,"")</f>
        <v>Inbar A5</v>
      </c>
      <c r="B39" s="23" t="str">
        <f>IF(מלאי!D44&lt;&gt;"",מלאי!B44&amp;IF(מלאי!C44&lt;&gt;""," ("&amp;מלאי!C44&amp;")",""),"")</f>
        <v>Poncho Inbar (V1)</v>
      </c>
      <c r="C39" s="23" t="str">
        <f>IF(מלאי!D44&lt;&gt;"",מלאי!A44,"")</f>
        <v>OverGarment</v>
      </c>
      <c r="D39" s="23" t="str">
        <f>IF(מלאי!D44&lt;&gt;"",מלאי!H44,"")</f>
        <v>Forest Green</v>
      </c>
      <c r="E39" s="23"/>
      <c r="F39" s="23"/>
      <c r="G39" s="23"/>
      <c r="H39" s="23" t="str">
        <f>IF(מלאי!D44&lt;&gt;"",מלאי!I44,"")</f>
        <v>Desert Coyote</v>
      </c>
      <c r="I39" s="23"/>
      <c r="J39" s="23"/>
      <c r="K39" s="23"/>
      <c r="L39" s="23" t="e">
        <f>IF(מלאי!D44&lt;&gt;"",מלאי!#REF!,"")</f>
        <v>#REF!</v>
      </c>
    </row>
    <row r="40" spans="1:12" ht="15" customHeight="1" x14ac:dyDescent="0.25">
      <c r="A40" s="23" t="str">
        <f>IF(מלאי!D45&lt;&gt;"",מלאי!D45,"")</f>
        <v>Inbar A6</v>
      </c>
      <c r="B40" s="23" t="str">
        <f>IF(מלאי!D45&lt;&gt;"",מלאי!B45&amp;IF(מלאי!C45&lt;&gt;""," ("&amp;מלאי!C45&amp;")",""),"")</f>
        <v>Poncho Inbar (V1)</v>
      </c>
      <c r="C40" s="23" t="str">
        <f>IF(מלאי!D45&lt;&gt;"",מלאי!A45,"")</f>
        <v>OverGarment</v>
      </c>
      <c r="D40" s="23" t="str">
        <f>IF(מלאי!D45&lt;&gt;"",מלאי!H45,"")</f>
        <v>Forest Green</v>
      </c>
      <c r="E40" s="23"/>
      <c r="F40" s="23"/>
      <c r="G40" s="23"/>
      <c r="H40" s="23" t="str">
        <f>IF(מלאי!D45&lt;&gt;"",מלאי!I45,"")</f>
        <v>Desert</v>
      </c>
      <c r="I40" s="23"/>
      <c r="J40" s="23"/>
      <c r="K40" s="23"/>
      <c r="L40" s="23" t="e">
        <f>IF(מלאי!D45&lt;&gt;"",מלאי!#REF!,"")</f>
        <v>#REF!</v>
      </c>
    </row>
    <row r="41" spans="1:12" ht="15" customHeight="1" x14ac:dyDescent="0.25">
      <c r="A41" s="23" t="str">
        <f>IF(מלאי!D46&lt;&gt;"",מלאי!D46,"")</f>
        <v>RIPSTOP Hobey 1</v>
      </c>
      <c r="B41" s="23" t="str">
        <f>IF(מלאי!D46&lt;&gt;"",מלאי!B46&amp;IF(מלאי!C46&lt;&gt;""," ("&amp;מלאי!C46&amp;")",""),"")</f>
        <v>Hobey Elite (V1)</v>
      </c>
      <c r="C41" s="23" t="str">
        <f>IF(מלאי!D46&lt;&gt;"",מלאי!A46,"")</f>
        <v>OverGarment</v>
      </c>
      <c r="D41" s="23" t="str">
        <f>IF(מלאי!D46&lt;&gt;"",מלאי!H46,"")</f>
        <v>Marine</v>
      </c>
      <c r="E41" s="23"/>
      <c r="F41" s="23"/>
      <c r="G41" s="23"/>
      <c r="H41" s="23">
        <f>IF(מלאי!D46&lt;&gt;"",מלאי!I46,"")</f>
        <v>0</v>
      </c>
      <c r="I41" s="23"/>
      <c r="J41" s="23"/>
      <c r="K41" s="23"/>
      <c r="L41" s="23" t="e">
        <f>IF(מלאי!D46&lt;&gt;"",מלאי!#REF!,"")</f>
        <v>#REF!</v>
      </c>
    </row>
    <row r="42" spans="1:12" ht="15" customHeight="1" x14ac:dyDescent="0.25">
      <c r="A42" s="23" t="str">
        <f>IF(מלאי!D47&lt;&gt;"",מלאי!D47,"")</f>
        <v>Hobey 2</v>
      </c>
      <c r="B42" s="23" t="str">
        <f>IF(מלאי!D47&lt;&gt;"",מלאי!B47&amp;IF(מלאי!C47&lt;&gt;""," ("&amp;מלאי!C47&amp;")",""),"")</f>
        <v>Hobey Elite (V1)</v>
      </c>
      <c r="C42" s="23" t="str">
        <f>IF(מלאי!D47&lt;&gt;"",מלאי!A47,"")</f>
        <v>OverGarment</v>
      </c>
      <c r="D42" s="23" t="str">
        <f>IF(מלאי!D47&lt;&gt;"",מלאי!H47,"")</f>
        <v>Woodland</v>
      </c>
      <c r="E42" s="23"/>
      <c r="F42" s="23"/>
      <c r="G42" s="23"/>
      <c r="H42" s="23">
        <f>IF(מלאי!D47&lt;&gt;"",מלאי!I47,"")</f>
        <v>0</v>
      </c>
      <c r="I42" s="23"/>
      <c r="J42" s="23"/>
      <c r="K42" s="23"/>
      <c r="L42" s="23" t="e">
        <f>IF(מלאי!D47&lt;&gt;"",מלאי!#REF!,"")</f>
        <v>#REF!</v>
      </c>
    </row>
    <row r="43" spans="1:12" ht="15" customHeight="1" x14ac:dyDescent="0.25">
      <c r="A43" s="23" t="str">
        <f>IF(מלאי!D48&lt;&gt;"",מלאי!D48,"")</f>
        <v>Hobey 3</v>
      </c>
      <c r="B43" s="23" t="str">
        <f>IF(מלאי!D48&lt;&gt;"",מלאי!B48&amp;IF(מלאי!C48&lt;&gt;""," ("&amp;מלאי!C48&amp;")",""),"")</f>
        <v>Hobey Elite (V1)</v>
      </c>
      <c r="C43" s="23" t="str">
        <f>IF(מלאי!D48&lt;&gt;"",מלאי!A48,"")</f>
        <v>OverGarment</v>
      </c>
      <c r="D43" s="23" t="str">
        <f>IF(מלאי!D48&lt;&gt;"",מלאי!H48,"")</f>
        <v>Marine</v>
      </c>
      <c r="E43" s="23"/>
      <c r="F43" s="23"/>
      <c r="G43" s="23"/>
      <c r="H43" s="23">
        <f>IF(מלאי!D48&lt;&gt;"",מלאי!I48,"")</f>
        <v>0</v>
      </c>
      <c r="I43" s="23"/>
      <c r="J43" s="23"/>
      <c r="K43" s="23"/>
      <c r="L43" s="23" t="e">
        <f>IF(מלאי!D48&lt;&gt;"",מלאי!#REF!,"")</f>
        <v>#REF!</v>
      </c>
    </row>
    <row r="44" spans="1:12" ht="15" customHeight="1" x14ac:dyDescent="0.25">
      <c r="A44" s="23" t="str">
        <f>IF(מלאי!D49&lt;&gt;"",מלאי!D49,"")</f>
        <v>הובי תצוגה 1</v>
      </c>
      <c r="B44" s="23" t="str">
        <f>IF(מלאי!D49&lt;&gt;"",מלאי!B49&amp;IF(מלאי!C49&lt;&gt;""," ("&amp;מלאי!C49&amp;")",""),"")</f>
        <v>Hobey Elite (V1)</v>
      </c>
      <c r="C44" s="23" t="str">
        <f>IF(מלאי!D49&lt;&gt;"",מלאי!A49,"")</f>
        <v>OverGarment</v>
      </c>
      <c r="D44" s="23" t="str">
        <f>IF(מלאי!D49&lt;&gt;"",מלאי!H49,"")</f>
        <v>Kestrel</v>
      </c>
      <c r="E44" s="23"/>
      <c r="F44" s="23"/>
      <c r="G44" s="23"/>
      <c r="H44" s="23">
        <f>IF(מלאי!D49&lt;&gt;"",מלאי!I49,"")</f>
        <v>0</v>
      </c>
      <c r="I44" s="23"/>
      <c r="J44" s="23"/>
      <c r="K44" s="23"/>
      <c r="L44" s="23" t="e">
        <f>IF(מלאי!D49&lt;&gt;"",מלאי!#REF!,"")</f>
        <v>#REF!</v>
      </c>
    </row>
    <row r="45" spans="1:12" ht="15" customHeight="1" x14ac:dyDescent="0.25">
      <c r="A45" s="23" t="str">
        <f>IF(מלאי!D50&lt;&gt;"",מלאי!D50,"")</f>
        <v>גל תצוגה אורבן</v>
      </c>
      <c r="B45" s="23" t="str">
        <f>IF(מלאי!D50&lt;&gt;"",מלאי!B50&amp;IF(מלאי!C50&lt;&gt;""," ("&amp;מלאי!C50&amp;")",""),"")</f>
        <v>Gal Suit (V1)</v>
      </c>
      <c r="C45" s="23" t="str">
        <f>IF(מלאי!D50&lt;&gt;"",מלאי!A50,"")</f>
        <v>OverGarment</v>
      </c>
      <c r="D45" s="23" t="str">
        <f>IF(מלאי!D50&lt;&gt;"",מלאי!H50,"")</f>
        <v>Boulder</v>
      </c>
      <c r="E45" s="23"/>
      <c r="F45" s="23"/>
      <c r="G45" s="23"/>
      <c r="H45" s="23">
        <f>IF(מלאי!D50&lt;&gt;"",מלאי!I50,"")</f>
        <v>0</v>
      </c>
      <c r="I45" s="23"/>
      <c r="J45" s="23"/>
      <c r="K45" s="23"/>
      <c r="L45" s="23" t="e">
        <f>IF(מלאי!D50&lt;&gt;"",מלאי!#REF!,"")</f>
        <v>#REF!</v>
      </c>
    </row>
    <row r="46" spans="1:12" ht="23.25" customHeight="1" x14ac:dyDescent="0.25">
      <c r="A46" s="23" t="str">
        <f>IF(מלאי!D52&lt;&gt;"",מלאי!D52,"")</f>
        <v>חליפת צלף תצוגה</v>
      </c>
      <c r="B46" s="23" t="str">
        <f>IF(מלאי!D52&lt;&gt;"",מלאי!B52&amp;IF(מלאי!C52&lt;&gt;""," ("&amp;מלאי!C52&amp;")",""),"")</f>
        <v>Sniper Assault (V1)</v>
      </c>
      <c r="C46" s="23" t="str">
        <f>IF(מלאי!D52&lt;&gt;"",מלאי!A52,"")</f>
        <v>OverGarment</v>
      </c>
      <c r="D46" s="23" t="str">
        <f>IF(מלאי!D52&lt;&gt;"",מלאי!H52,"")</f>
        <v>Kestrel</v>
      </c>
      <c r="E46" s="23"/>
      <c r="F46" s="23"/>
      <c r="G46" s="23"/>
      <c r="H46" s="23">
        <f>IF(מלאי!D52&lt;&gt;"",מלאי!I52,"")</f>
        <v>0</v>
      </c>
      <c r="I46" s="23"/>
      <c r="J46" s="23"/>
      <c r="K46" s="23"/>
      <c r="L46" s="23" t="e">
        <f>IF(מלאי!D52&lt;&gt;"",מלאי!#REF!,"")</f>
        <v>#REF!</v>
      </c>
    </row>
    <row r="47" spans="1:12" ht="15" customHeight="1" x14ac:dyDescent="0.25">
      <c r="A47" s="23" t="str">
        <f>IF(מלאי!D53&lt;&gt;"",מלאי!D53,"")</f>
        <v>עמדת חוליה 1 הדגמה</v>
      </c>
      <c r="B47" s="23" t="str">
        <f>IF(מלאי!D53&lt;&gt;"",מלאי!B53&amp;IF(מלאי!C53&lt;&gt;""," ("&amp;מלאי!C53&amp;")",""),"")</f>
        <v>Operators HS (V1)</v>
      </c>
      <c r="C47" s="23" t="str">
        <f>IF(מלאי!D53&lt;&gt;"",מלאי!A53,"")</f>
        <v>Hide Site</v>
      </c>
      <c r="D47" s="23" t="str">
        <f>IF(מלאי!D53&lt;&gt;"",מלאי!H53,"")</f>
        <v>Desert</v>
      </c>
      <c r="E47" s="23"/>
      <c r="F47" s="23"/>
      <c r="G47" s="23"/>
      <c r="H47" s="23" t="str">
        <f>IF(מלאי!D53&lt;&gt;"",מלאי!I53,"")</f>
        <v>Desert-Green</v>
      </c>
      <c r="I47" s="23"/>
      <c r="J47" s="23"/>
      <c r="K47" s="23"/>
      <c r="L47" s="23" t="e">
        <f>IF(מלאי!D53&lt;&gt;"",מלאי!#REF!,"")</f>
        <v>#REF!</v>
      </c>
    </row>
    <row r="48" spans="1:12" ht="15" customHeight="1" x14ac:dyDescent="0.25">
      <c r="A48" s="23" t="str">
        <f>IF(מלאי!D54&lt;&gt;"",מלאי!D54,"")</f>
        <v>Op HS 2</v>
      </c>
      <c r="B48" s="23" t="str">
        <f>IF(מלאי!D54&lt;&gt;"",מלאי!B54&amp;IF(מלאי!C54&lt;&gt;""," ("&amp;מלאי!C54&amp;")",""),"")</f>
        <v>Operators HS (V1)</v>
      </c>
      <c r="C48" s="23" t="str">
        <f>IF(מלאי!D54&lt;&gt;"",מלאי!A54,"")</f>
        <v>Hide Site</v>
      </c>
      <c r="D48" s="23" t="str">
        <f>IF(מלאי!D54&lt;&gt;"",מלאי!H54,"")</f>
        <v>Desert</v>
      </c>
      <c r="E48" s="23"/>
      <c r="F48" s="23"/>
      <c r="G48" s="23"/>
      <c r="H48" s="23" t="str">
        <f>IF(מלאי!D54&lt;&gt;"",מלאי!I54,"")</f>
        <v>Desert-Green</v>
      </c>
      <c r="I48" s="23"/>
      <c r="J48" s="23"/>
      <c r="K48" s="23"/>
      <c r="L48" s="23" t="e">
        <f>IF(מלאי!D54&lt;&gt;"",מלאי!#REF!,"")</f>
        <v>#REF!</v>
      </c>
    </row>
    <row r="49" spans="1:12" ht="23.25" customHeight="1" x14ac:dyDescent="0.25">
      <c r="A49" s="23" t="str">
        <f>IF(מלאי!D56&lt;&gt;"",מלאי!D56,"")</f>
        <v>Op HS  4</v>
      </c>
      <c r="B49" s="23" t="str">
        <f>IF(מלאי!D56&lt;&gt;"",מלאי!B56&amp;IF(מלאי!C56&lt;&gt;""," ("&amp;מלאי!C56&amp;")",""),"")</f>
        <v>Operators HS (V1)</v>
      </c>
      <c r="C49" s="23" t="str">
        <f>IF(מלאי!D56&lt;&gt;"",מלאי!A56,"")</f>
        <v>Hide Site</v>
      </c>
      <c r="D49" s="23" t="str">
        <f>IF(מלאי!D56&lt;&gt;"",מלאי!H56,"")</f>
        <v>Urban Green</v>
      </c>
      <c r="E49" s="23"/>
      <c r="F49" s="23"/>
      <c r="G49" s="23"/>
      <c r="H49" s="23" t="str">
        <f>IF(מלאי!D56&lt;&gt;"",מלאי!I56,"")</f>
        <v>Woodland Brown</v>
      </c>
      <c r="I49" s="23"/>
      <c r="J49" s="23"/>
      <c r="K49" s="23"/>
      <c r="L49" s="23" t="e">
        <f>IF(מלאי!D56&lt;&gt;"",מלאי!#REF!,"")</f>
        <v>#REF!</v>
      </c>
    </row>
    <row r="50" spans="1:12" ht="15" customHeight="1" x14ac:dyDescent="0.25">
      <c r="A50" s="23" t="str">
        <f>IF(מלאי!D57&lt;&gt;"",מלאי!D57,"")</f>
        <v>סהר B 3D הדגמה</v>
      </c>
      <c r="B50" s="23" t="str">
        <f>IF(מלאי!D57&lt;&gt;"",מלאי!B57&amp;IF(מלאי!C57&lt;&gt;""," ("&amp;מלאי!C57&amp;")",""),"")</f>
        <v>Poncho Sahar (V2 3D)</v>
      </c>
      <c r="C50" s="23" t="str">
        <f>IF(מלאי!D57&lt;&gt;"",מלאי!A57,"")</f>
        <v>OverGarment</v>
      </c>
      <c r="D50" s="23" t="str">
        <f>IF(מלאי!D57&lt;&gt;"",מלאי!H57,"")</f>
        <v>Woodland Brown</v>
      </c>
      <c r="E50" s="23"/>
      <c r="F50" s="23"/>
      <c r="G50" s="23"/>
      <c r="H50" s="23" t="str">
        <f>IF(מלאי!D57&lt;&gt;"",מלאי!I57,"")</f>
        <v>Kestrel</v>
      </c>
      <c r="I50" s="23"/>
      <c r="J50" s="23"/>
      <c r="K50" s="23"/>
      <c r="L50" s="23" t="e">
        <f>IF(מלאי!D57&lt;&gt;"",מלאי!#REF!,"")</f>
        <v>#REF!</v>
      </c>
    </row>
    <row r="51" spans="1:12" ht="23.25" customHeight="1" x14ac:dyDescent="0.25">
      <c r="A51" s="23" t="str">
        <f>IF(מלאי!D58&lt;&gt;"",מלאי!D58,"")</f>
        <v>יריעה 3D הדגמה 1</v>
      </c>
      <c r="B51" s="23" t="str">
        <f>IF(מלאי!D58&lt;&gt;"",מלאי!B58&amp;IF(מלאי!C58&lt;&gt;""," ("&amp;מלאי!C58&amp;")",""),"")</f>
        <v>3D Survival Blanket (V1)</v>
      </c>
      <c r="C51" s="23" t="str">
        <f>IF(מלאי!D58&lt;&gt;"",מלאי!A58,"")</f>
        <v>Blankets</v>
      </c>
      <c r="D51" s="23" t="str">
        <f>IF(מלאי!D58&lt;&gt;"",מלאי!H58,"")</f>
        <v>Ever-Green</v>
      </c>
      <c r="E51" s="23"/>
      <c r="F51" s="23"/>
      <c r="G51" s="23"/>
      <c r="H51" s="23" t="str">
        <f>IF(מלאי!D58&lt;&gt;"",מלאי!I58,"")</f>
        <v>Kestrel</v>
      </c>
      <c r="I51" s="23"/>
      <c r="J51" s="23"/>
      <c r="K51" s="23"/>
      <c r="L51" s="23" t="e">
        <f>IF(מלאי!D58&lt;&gt;"",מלאי!#REF!,"")</f>
        <v>#REF!</v>
      </c>
    </row>
    <row r="52" spans="1:12" ht="23.25" customHeight="1" x14ac:dyDescent="0.25">
      <c r="A52" s="23" t="str">
        <f>IF(מלאי!D59&lt;&gt;"",מלאי!D59,"")</f>
        <v>יריעה 3D תצוגה 2</v>
      </c>
      <c r="B52" s="23" t="str">
        <f>IF(מלאי!D59&lt;&gt;"",מלאי!B59&amp;IF(מלאי!C59&lt;&gt;""," ("&amp;מלאי!C59&amp;")",""),"")</f>
        <v>3D Survival Blanket (V1)</v>
      </c>
      <c r="C52" s="23" t="str">
        <f>IF(מלאי!D59&lt;&gt;"",מלאי!A59,"")</f>
        <v>Blankets</v>
      </c>
      <c r="D52" s="23" t="str">
        <f>IF(מלאי!D59&lt;&gt;"",מלאי!H59,"")</f>
        <v>Ever-Green</v>
      </c>
      <c r="E52" s="23"/>
      <c r="F52" s="23"/>
      <c r="G52" s="23"/>
      <c r="H52" s="23" t="str">
        <f>IF(מלאי!D59&lt;&gt;"",מלאי!I59,"")</f>
        <v>Kestrel</v>
      </c>
      <c r="I52" s="23"/>
      <c r="J52" s="23"/>
      <c r="K52" s="23"/>
      <c r="L52" s="23" t="e">
        <f>IF(מלאי!D59&lt;&gt;"",מלאי!#REF!,"")</f>
        <v>#REF!</v>
      </c>
    </row>
    <row r="53" spans="1:12" ht="23.25" customHeight="1" x14ac:dyDescent="0.25">
      <c r="A53" s="23" t="str">
        <f>IF(מלאי!D60&lt;&gt;"",מלאי!D60,"")</f>
        <v>יריעה אטומה תצוגה</v>
      </c>
      <c r="B53" s="23" t="str">
        <f>IF(מלאי!D60&lt;&gt;"",מלאי!B60&amp;IF(מלאי!C60&lt;&gt;""," ("&amp;מלאי!C60&amp;")",""),"")</f>
        <v>Water Proof Survival Blanket (V1)</v>
      </c>
      <c r="C53" s="23" t="str">
        <f>IF(מלאי!D60&lt;&gt;"",מלאי!A60,"")</f>
        <v>Blankets</v>
      </c>
      <c r="D53" s="23" t="str">
        <f>IF(מלאי!D60&lt;&gt;"",מלאי!H60,"")</f>
        <v>Woodland Brown</v>
      </c>
      <c r="E53" s="23"/>
      <c r="F53" s="23"/>
      <c r="G53" s="23"/>
      <c r="H53" s="23">
        <f>IF(מלאי!D60&lt;&gt;"",מלאי!I60,"")</f>
        <v>0</v>
      </c>
      <c r="I53" s="23"/>
      <c r="J53" s="23"/>
      <c r="K53" s="23"/>
      <c r="L53" s="23" t="e">
        <f>IF(מלאי!D60&lt;&gt;"",מלאי!#REF!,"")</f>
        <v>#REF!</v>
      </c>
    </row>
    <row r="54" spans="1:12" ht="23.25" customHeight="1" x14ac:dyDescent="0.25">
      <c r="A54" s="23" t="str">
        <f>IF(מלאי!D61&lt;&gt;"",מלאי!D61,"")</f>
        <v>יריעה אטומה הדגמה</v>
      </c>
      <c r="B54" s="23" t="str">
        <f>IF(מלאי!D61&lt;&gt;"",מלאי!B61&amp;IF(מלאי!C61&lt;&gt;""," ("&amp;מלאי!C61&amp;")",""),"")</f>
        <v>Water Proof Survival Blanket (V1)</v>
      </c>
      <c r="C54" s="23" t="str">
        <f>IF(מלאי!D61&lt;&gt;"",מלאי!A61,"")</f>
        <v>Blankets</v>
      </c>
      <c r="D54" s="23" t="str">
        <f>IF(מלאי!D61&lt;&gt;"",מלאי!H61,"")</f>
        <v>Kestrel</v>
      </c>
      <c r="E54" s="23"/>
      <c r="F54" s="23"/>
      <c r="G54" s="23"/>
      <c r="H54" s="23">
        <f>IF(מלאי!D61&lt;&gt;"",מלאי!I61,"")</f>
        <v>0</v>
      </c>
      <c r="L54" s="23" t="e">
        <f>IF(מלאי!D61&lt;&gt;"",מלאי!#REF!,"")</f>
        <v>#REF!</v>
      </c>
    </row>
    <row r="55" spans="1:12" ht="15" customHeight="1" x14ac:dyDescent="0.25">
      <c r="A55" s="23" t="str">
        <f>IF(מלאי!D62&lt;&gt;"",מלאי!D62,"")</f>
        <v>SRV Blanket 1</v>
      </c>
      <c r="B55" s="23" t="str">
        <f>IF(מלאי!D62&lt;&gt;"",מלאי!B62&amp;IF(מלאי!C62&lt;&gt;""," ("&amp;מלאי!C62&amp;")",""),"")</f>
        <v>Survival Blanket (V1)</v>
      </c>
      <c r="C55" s="23" t="str">
        <f>IF(מלאי!D62&lt;&gt;"",מלאי!A62,"")</f>
        <v>Blankets</v>
      </c>
      <c r="D55" s="23" t="str">
        <f>IF(מלאי!D62&lt;&gt;"",מלאי!H62,"")</f>
        <v>Ever-Green</v>
      </c>
      <c r="E55" s="23"/>
      <c r="F55" s="23"/>
      <c r="G55" s="23"/>
      <c r="H55" s="23" t="str">
        <f>IF(מלאי!D62&lt;&gt;"",מלאי!I62,"")</f>
        <v>Desert</v>
      </c>
      <c r="I55" s="23"/>
      <c r="J55" s="23"/>
      <c r="K55" s="23"/>
      <c r="L55" s="23" t="e">
        <f>IF(מלאי!D62&lt;&gt;"",מלאי!#REF!,"")</f>
        <v>#REF!</v>
      </c>
    </row>
    <row r="56" spans="1:12" ht="15" customHeight="1" x14ac:dyDescent="0.25">
      <c r="A56" s="23" t="str">
        <f>IF(מלאי!D63&lt;&gt;"",מלאי!D63,"")</f>
        <v>SRV Blanket 3</v>
      </c>
      <c r="B56" s="23" t="str">
        <f>IF(מלאי!D63&lt;&gt;"",מלאי!B63&amp;IF(מלאי!C63&lt;&gt;""," ("&amp;מלאי!C63&amp;")",""),"")</f>
        <v>Survival Blanket (V1)</v>
      </c>
      <c r="C56" s="23" t="str">
        <f>IF(מלאי!D63&lt;&gt;"",מלאי!A63,"")</f>
        <v>Blankets</v>
      </c>
      <c r="D56" s="23" t="str">
        <f>IF(מלאי!D63&lt;&gt;"",מלאי!H63,"")</f>
        <v>Marine</v>
      </c>
      <c r="E56" s="23"/>
      <c r="F56" s="23"/>
      <c r="G56" s="23"/>
      <c r="H56" s="23" t="str">
        <f>IF(מלאי!D63&lt;&gt;"",מלאי!I63,"")</f>
        <v>Kestrel</v>
      </c>
      <c r="I56" s="23"/>
      <c r="J56" s="23"/>
      <c r="K56" s="23"/>
      <c r="L56" s="23" t="e">
        <f>IF(מלאי!D63&lt;&gt;"",מלאי!#REF!,"")</f>
        <v>#REF!</v>
      </c>
    </row>
    <row r="57" spans="1:12" ht="15" customHeight="1" x14ac:dyDescent="0.25">
      <c r="A57" s="23" t="str">
        <f>IF(מלאי!D64&lt;&gt;"",מלאי!D64,"")</f>
        <v>SRV Blanket 4</v>
      </c>
      <c r="B57" s="23" t="str">
        <f>IF(מלאי!D64&lt;&gt;"",מלאי!B64&amp;IF(מלאי!C64&lt;&gt;""," ("&amp;מלאי!C64&amp;")",""),"")</f>
        <v>Survival Blanket (V1)</v>
      </c>
      <c r="C57" s="23" t="str">
        <f>IF(מלאי!D64&lt;&gt;"",מלאי!A64,"")</f>
        <v>Blankets</v>
      </c>
      <c r="D57" s="23" t="str">
        <f>IF(מלאי!D64&lt;&gt;"",מלאי!H64,"")</f>
        <v>Marine</v>
      </c>
      <c r="E57" s="23"/>
      <c r="F57" s="23"/>
      <c r="G57" s="23"/>
      <c r="H57" s="23" t="str">
        <f>IF(מלאי!D64&lt;&gt;"",מלאי!I64,"")</f>
        <v>Kestrel</v>
      </c>
      <c r="I57" s="23"/>
      <c r="J57" s="23"/>
      <c r="K57" s="23"/>
      <c r="L57" s="23" t="e">
        <f>IF(מלאי!D64&lt;&gt;"",מלאי!#REF!,"")</f>
        <v>#REF!</v>
      </c>
    </row>
    <row r="58" spans="1:12" ht="15" customHeight="1" x14ac:dyDescent="0.25">
      <c r="A58" s="23" t="str">
        <f>IF(מלאי!D65&lt;&gt;"",מלאי!D65,"")</f>
        <v>SRV Blanket 2</v>
      </c>
      <c r="B58" s="23" t="str">
        <f>IF(מלאי!D65&lt;&gt;"",מלאי!B65&amp;IF(מלאי!C65&lt;&gt;""," ("&amp;מלאי!C65&amp;")",""),"")</f>
        <v>Survival Blanket (V1)</v>
      </c>
      <c r="C58" s="23" t="str">
        <f>IF(מלאי!D65&lt;&gt;"",מלאי!A65,"")</f>
        <v>Blankets</v>
      </c>
      <c r="D58" s="23" t="str">
        <f>IF(מלאי!D65&lt;&gt;"",מלאי!H65,"")</f>
        <v>Ever-Green</v>
      </c>
      <c r="E58" s="23"/>
      <c r="F58" s="23"/>
      <c r="G58" s="23"/>
      <c r="H58" s="23" t="str">
        <f>IF(מלאי!D65&lt;&gt;"",מלאי!I65,"")</f>
        <v>Ever-Green</v>
      </c>
      <c r="I58" s="23"/>
      <c r="J58" s="23"/>
      <c r="K58" s="23"/>
      <c r="L58" s="23" t="e">
        <f>IF(מלאי!D65&lt;&gt;"",מלאי!#REF!,"")</f>
        <v>#REF!</v>
      </c>
    </row>
    <row r="59" spans="1:12" ht="15" customHeight="1" x14ac:dyDescent="0.25">
      <c r="A59" s="23" t="str">
        <f>IF(מלאי!D66&lt;&gt;"",מלאי!D66,"")</f>
        <v>SRV Blanket 6</v>
      </c>
      <c r="B59" s="23" t="str">
        <f>IF(מלאי!D66&lt;&gt;"",מלאי!B66&amp;IF(מלאי!C66&lt;&gt;""," ("&amp;מלאי!C66&amp;")",""),"")</f>
        <v>Survival Blanket (V1)</v>
      </c>
      <c r="C59" s="23" t="str">
        <f>IF(מלאי!D66&lt;&gt;"",מלאי!A66,"")</f>
        <v>Blankets</v>
      </c>
      <c r="D59" s="23" t="str">
        <f>IF(מלאי!D66&lt;&gt;"",מלאי!H66,"")</f>
        <v>Marine</v>
      </c>
      <c r="E59" s="23"/>
      <c r="F59" s="23"/>
      <c r="G59" s="23"/>
      <c r="H59" s="23" t="str">
        <f>IF(מלאי!D66&lt;&gt;"",מלאי!I66,"")</f>
        <v>Marine</v>
      </c>
      <c r="I59" s="23"/>
      <c r="J59" s="23"/>
      <c r="K59" s="23"/>
      <c r="L59" s="23" t="e">
        <f>IF(מלאי!D66&lt;&gt;"",מלאי!#REF!,"")</f>
        <v>#REF!</v>
      </c>
    </row>
    <row r="60" spans="1:12" ht="15" customHeight="1" x14ac:dyDescent="0.25">
      <c r="A60" s="23" t="str">
        <f>IF(מלאי!D67&lt;&gt;"",מלאי!D67,"")</f>
        <v>יריעת הישרדות קרוע 5</v>
      </c>
      <c r="B60" s="23" t="str">
        <f>IF(מלאי!D67&lt;&gt;"",מלאי!B67&amp;IF(מלאי!C67&lt;&gt;""," ("&amp;מלאי!C67&amp;")",""),"")</f>
        <v>Survival Blanket (V1)</v>
      </c>
      <c r="C60" s="23" t="str">
        <f>IF(מלאי!D67&lt;&gt;"",מלאי!A67,"")</f>
        <v>Blankets</v>
      </c>
      <c r="D60" s="23" t="str">
        <f>IF(מלאי!D67&lt;&gt;"",מלאי!H67,"")</f>
        <v>Woodland</v>
      </c>
      <c r="E60" s="23"/>
      <c r="F60" s="23"/>
      <c r="G60" s="23"/>
      <c r="H60" s="23" t="str">
        <f>IF(מלאי!D67&lt;&gt;"",מלאי!I67,"")</f>
        <v>Kestrel</v>
      </c>
      <c r="I60" s="23"/>
      <c r="J60" s="23"/>
      <c r="K60" s="23"/>
      <c r="L60" s="23" t="e">
        <f>IF(מלאי!D67&lt;&gt;"",מלאי!#REF!,"")</f>
        <v>#REF!</v>
      </c>
    </row>
    <row r="61" spans="1:12" ht="15" customHeight="1" x14ac:dyDescent="0.25">
      <c r="A61" s="23" t="str">
        <f>IF(מלאי!D68&lt;&gt;"",מלאי!D68,"")</f>
        <v>SRV Blanket 10</v>
      </c>
      <c r="B61" s="23" t="str">
        <f>IF(מלאי!D68&lt;&gt;"",מלאי!B68&amp;IF(מלאי!C68&lt;&gt;""," ("&amp;מלאי!C68&amp;")",""),"")</f>
        <v>Survival Blanket (V1)</v>
      </c>
      <c r="C61" s="23" t="str">
        <f>IF(מלאי!D68&lt;&gt;"",מלאי!A68,"")</f>
        <v>Blankets</v>
      </c>
      <c r="D61" s="23" t="str">
        <f>IF(מלאי!D68&lt;&gt;"",מלאי!H68,"")</f>
        <v>Woodland</v>
      </c>
      <c r="E61" s="23"/>
      <c r="F61" s="23"/>
      <c r="G61" s="23"/>
      <c r="H61" s="23" t="str">
        <f>IF(מלאי!D68&lt;&gt;"",מלאי!I68,"")</f>
        <v>Desert</v>
      </c>
      <c r="I61" s="23"/>
      <c r="J61" s="23"/>
      <c r="K61" s="23"/>
      <c r="L61" s="23" t="e">
        <f>IF(מלאי!D68&lt;&gt;"",מלאי!#REF!,"")</f>
        <v>#REF!</v>
      </c>
    </row>
    <row r="62" spans="1:12" ht="15" customHeight="1" x14ac:dyDescent="0.25">
      <c r="A62" s="23" t="str">
        <f>IF(מלאי!D69&lt;&gt;"",מלאי!D69,"")</f>
        <v>SRV Blanket 11</v>
      </c>
      <c r="B62" s="23" t="str">
        <f>IF(מלאי!D69&lt;&gt;"",מלאי!B69&amp;IF(מלאי!C69&lt;&gt;""," ("&amp;מלאי!C69&amp;")",""),"")</f>
        <v>Survival Blanket (V1)</v>
      </c>
      <c r="C62" s="23" t="str">
        <f>IF(מלאי!D69&lt;&gt;"",מלאי!A69,"")</f>
        <v>Blankets</v>
      </c>
      <c r="D62" s="23" t="str">
        <f>IF(מלאי!D69&lt;&gt;"",מלאי!H69,"")</f>
        <v>Woodland</v>
      </c>
      <c r="E62" s="23"/>
      <c r="F62" s="23"/>
      <c r="G62" s="23"/>
      <c r="H62" s="23" t="str">
        <f>IF(מלאי!D69&lt;&gt;"",מלאי!I69,"")</f>
        <v>Desert</v>
      </c>
      <c r="I62" s="23"/>
      <c r="J62" s="23"/>
      <c r="K62" s="23"/>
      <c r="L62" s="23" t="e">
        <f>IF(מלאי!D69&lt;&gt;"",מלאי!#REF!,"")</f>
        <v>#REF!</v>
      </c>
    </row>
    <row r="63" spans="1:12" ht="15" customHeight="1" x14ac:dyDescent="0.25">
      <c r="A63" s="23" t="str">
        <f>IF(מלאי!D70&lt;&gt;"",מלאי!D70,"")</f>
        <v>SRV Blanket 12</v>
      </c>
      <c r="B63" s="23" t="str">
        <f>IF(מלאי!D70&lt;&gt;"",מלאי!B70&amp;IF(מלאי!C70&lt;&gt;""," ("&amp;מלאי!C70&amp;")",""),"")</f>
        <v>Survival Blanket (V1)</v>
      </c>
      <c r="C63" s="23" t="str">
        <f>IF(מלאי!D70&lt;&gt;"",מלאי!A70,"")</f>
        <v>Blankets</v>
      </c>
      <c r="D63" s="23" t="str">
        <f>IF(מלאי!D70&lt;&gt;"",מלאי!H70,"")</f>
        <v>Woodland</v>
      </c>
      <c r="E63" s="23"/>
      <c r="F63" s="23"/>
      <c r="G63" s="23"/>
      <c r="H63" s="23" t="str">
        <f>IF(מלאי!D70&lt;&gt;"",מלאי!I70,"")</f>
        <v>Desert</v>
      </c>
      <c r="I63" s="23"/>
      <c r="J63" s="23"/>
      <c r="K63" s="23"/>
      <c r="L63" s="23" t="e">
        <f>IF(מלאי!D70&lt;&gt;"",מלאי!#REF!,"")</f>
        <v>#REF!</v>
      </c>
    </row>
    <row r="64" spans="1:12" ht="15" customHeight="1" x14ac:dyDescent="0.25">
      <c r="A64" s="23" t="str">
        <f>IF(מלאי!D71&lt;&gt;"",מלאי!D71,"")</f>
        <v>SRV Blanket 13</v>
      </c>
      <c r="B64" s="23" t="str">
        <f>IF(מלאי!D71&lt;&gt;"",מלאי!B71&amp;IF(מלאי!C71&lt;&gt;""," ("&amp;מלאי!C71&amp;")",""),"")</f>
        <v>Survival Blanket (V1)</v>
      </c>
      <c r="C64" s="23" t="str">
        <f>IF(מלאי!D71&lt;&gt;"",מלאי!A71,"")</f>
        <v>Blankets</v>
      </c>
      <c r="D64" s="23" t="str">
        <f>IF(מלאי!D71&lt;&gt;"",מלאי!H71,"")</f>
        <v>Woodland</v>
      </c>
      <c r="E64" s="23"/>
      <c r="F64" s="23"/>
      <c r="G64" s="23"/>
      <c r="H64" s="23" t="str">
        <f>IF(מלאי!D71&lt;&gt;"",מלאי!I71,"")</f>
        <v>Desert</v>
      </c>
      <c r="I64" s="23"/>
      <c r="J64" s="23"/>
      <c r="K64" s="23"/>
      <c r="L64" s="23" t="e">
        <f>IF(מלאי!D71&lt;&gt;"",מלאי!#REF!,"")</f>
        <v>#REF!</v>
      </c>
    </row>
    <row r="65" spans="1:12" ht="15" customHeight="1" x14ac:dyDescent="0.25">
      <c r="A65" s="23" t="str">
        <f>IF(מלאי!D72&lt;&gt;"",מלאי!D72,"")</f>
        <v>SRV Blanket 14</v>
      </c>
      <c r="B65" s="23" t="str">
        <f>IF(מלאי!D72&lt;&gt;"",מלאי!B72&amp;IF(מלאי!C72&lt;&gt;""," ("&amp;מלאי!C72&amp;")",""),"")</f>
        <v>Survival Blanket (V1)</v>
      </c>
      <c r="C65" s="23" t="str">
        <f>IF(מלאי!D72&lt;&gt;"",מלאי!A72,"")</f>
        <v>Blankets</v>
      </c>
      <c r="D65" s="23" t="str">
        <f>IF(מלאי!D72&lt;&gt;"",מלאי!H72,"")</f>
        <v>Woodland</v>
      </c>
      <c r="E65" s="23"/>
      <c r="F65" s="23"/>
      <c r="G65" s="23"/>
      <c r="H65" s="23" t="str">
        <f>IF(מלאי!D72&lt;&gt;"",מלאי!I72,"")</f>
        <v>Desert</v>
      </c>
      <c r="I65" s="23"/>
      <c r="J65" s="23"/>
      <c r="K65" s="23"/>
      <c r="L65" s="23" t="e">
        <f>IF(מלאי!D72&lt;&gt;"",מלאי!#REF!,"")</f>
        <v>#REF!</v>
      </c>
    </row>
    <row r="66" spans="1:12" ht="15" customHeight="1" x14ac:dyDescent="0.25">
      <c r="A66" s="23" t="str">
        <f>IF(מלאי!D73&lt;&gt;"",מלאי!D73,"")</f>
        <v>SRV Blanket 15</v>
      </c>
      <c r="B66" s="23" t="str">
        <f>IF(מלאי!D73&lt;&gt;"",מלאי!B73&amp;IF(מלאי!C73&lt;&gt;""," ("&amp;מלאי!C73&amp;")",""),"")</f>
        <v>Survival Blanket (V1)</v>
      </c>
      <c r="C66" s="23" t="str">
        <f>IF(מלאי!D73&lt;&gt;"",מלאי!A73,"")</f>
        <v>Blankets</v>
      </c>
      <c r="D66" s="23" t="str">
        <f>IF(מלאי!D73&lt;&gt;"",מלאי!H73,"")</f>
        <v>Woodland</v>
      </c>
      <c r="E66" s="23"/>
      <c r="F66" s="23"/>
      <c r="G66" s="23"/>
      <c r="H66" s="23" t="str">
        <f>IF(מלאי!D73&lt;&gt;"",מלאי!I73,"")</f>
        <v>Desert</v>
      </c>
      <c r="I66" s="23"/>
      <c r="J66" s="23"/>
      <c r="K66" s="23"/>
      <c r="L66" s="23" t="e">
        <f>IF(מלאי!D73&lt;&gt;"",מלאי!#REF!,"")</f>
        <v>#REF!</v>
      </c>
    </row>
    <row r="67" spans="1:12" ht="15" customHeight="1" x14ac:dyDescent="0.25">
      <c r="A67" s="23" t="str">
        <f>IF(מלאי!D74&lt;&gt;"",מלאי!D74,"")</f>
        <v>SRV Blanket 16</v>
      </c>
      <c r="B67" s="23" t="str">
        <f>IF(מלאי!D74&lt;&gt;"",מלאי!B74&amp;IF(מלאי!C74&lt;&gt;""," ("&amp;מלאי!C74&amp;")",""),"")</f>
        <v>Survival Blanket (V1)</v>
      </c>
      <c r="C67" s="23" t="str">
        <f>IF(מלאי!D74&lt;&gt;"",מלאי!A74,"")</f>
        <v>Blankets</v>
      </c>
      <c r="D67" s="23" t="str">
        <f>IF(מלאי!D74&lt;&gt;"",מלאי!H74,"")</f>
        <v>Woodland</v>
      </c>
      <c r="E67" s="23"/>
      <c r="F67" s="23"/>
      <c r="G67" s="23"/>
      <c r="H67" s="23" t="str">
        <f>IF(מלאי!D74&lt;&gt;"",מלאי!I74,"")</f>
        <v>Desert</v>
      </c>
      <c r="I67" s="23"/>
      <c r="J67" s="23"/>
      <c r="K67" s="23"/>
      <c r="L67" s="23" t="e">
        <f>IF(מלאי!D74&lt;&gt;"",מלאי!#REF!,"")</f>
        <v>#REF!</v>
      </c>
    </row>
    <row r="68" spans="1:12" ht="15" customHeight="1" x14ac:dyDescent="0.25">
      <c r="A68" s="23" t="str">
        <f>IF(מלאי!D75&lt;&gt;"",מלאי!D75,"")</f>
        <v>SRV Blanket 17</v>
      </c>
      <c r="B68" s="23" t="str">
        <f>IF(מלאי!D75&lt;&gt;"",מלאי!B75&amp;IF(מלאי!C75&lt;&gt;""," ("&amp;מלאי!C75&amp;")",""),"")</f>
        <v>Survival Blanket (V1)</v>
      </c>
      <c r="C68" s="23" t="str">
        <f>IF(מלאי!D75&lt;&gt;"",מלאי!A75,"")</f>
        <v>Blankets</v>
      </c>
      <c r="D68" s="23" t="str">
        <f>IF(מלאי!D75&lt;&gt;"",מלאי!H75,"")</f>
        <v>Woodland</v>
      </c>
      <c r="E68" s="23"/>
      <c r="F68" s="23"/>
      <c r="G68" s="23"/>
      <c r="H68" s="23" t="str">
        <f>IF(מלאי!D75&lt;&gt;"",מלאי!I75,"")</f>
        <v>Desert</v>
      </c>
      <c r="I68" s="23"/>
      <c r="J68" s="23"/>
      <c r="K68" s="23"/>
      <c r="L68" s="23" t="e">
        <f>IF(מלאי!D75&lt;&gt;"",מלאי!#REF!,"")</f>
        <v>#REF!</v>
      </c>
    </row>
    <row r="69" spans="1:12" ht="15" customHeight="1" x14ac:dyDescent="0.25">
      <c r="A69" s="23" t="str">
        <f>IF(מלאי!D76&lt;&gt;"",מלאי!D76,"")</f>
        <v>SRV Blanket 18</v>
      </c>
      <c r="B69" s="23" t="str">
        <f>IF(מלאי!D76&lt;&gt;"",מלאי!B76&amp;IF(מלאי!C76&lt;&gt;""," ("&amp;מלאי!C76&amp;")",""),"")</f>
        <v>Survival Blanket (V1)</v>
      </c>
      <c r="C69" s="23" t="str">
        <f>IF(מלאי!D76&lt;&gt;"",מלאי!A76,"")</f>
        <v>Blankets</v>
      </c>
      <c r="D69" s="23" t="str">
        <f>IF(מלאי!D76&lt;&gt;"",מלאי!H76,"")</f>
        <v>Woodland</v>
      </c>
      <c r="E69" s="23"/>
      <c r="F69" s="23"/>
      <c r="G69" s="23"/>
      <c r="H69" s="23" t="str">
        <f>IF(מלאי!D76&lt;&gt;"",מלאי!I76,"")</f>
        <v>Desert</v>
      </c>
      <c r="I69" s="23"/>
      <c r="J69" s="23"/>
      <c r="K69" s="23"/>
      <c r="L69" s="23" t="e">
        <f>IF(מלאי!D76&lt;&gt;"",מלאי!#REF!,"")</f>
        <v>#REF!</v>
      </c>
    </row>
    <row r="70" spans="1:12" ht="15" customHeight="1" x14ac:dyDescent="0.25">
      <c r="A70" s="23" t="str">
        <f>IF(מלאי!D77&lt;&gt;"",מלאי!D77,"")</f>
        <v>SRV Blanket 19</v>
      </c>
      <c r="B70" s="23" t="str">
        <f>IF(מלאי!D77&lt;&gt;"",מלאי!B77&amp;IF(מלאי!C77&lt;&gt;""," ("&amp;מלאי!C77&amp;")",""),"")</f>
        <v>Survival Blanket (V1)</v>
      </c>
      <c r="C70" s="23" t="str">
        <f>IF(מלאי!D77&lt;&gt;"",מלאי!A77,"")</f>
        <v>Blankets</v>
      </c>
      <c r="D70" s="23" t="str">
        <f>IF(מלאי!D77&lt;&gt;"",מלאי!H77,"")</f>
        <v>Woodland</v>
      </c>
      <c r="E70" s="23"/>
      <c r="F70" s="23"/>
      <c r="G70" s="23"/>
      <c r="H70" s="23" t="str">
        <f>IF(מלאי!D77&lt;&gt;"",מלאי!I77,"")</f>
        <v>Desert</v>
      </c>
      <c r="I70" s="23"/>
      <c r="J70" s="23"/>
      <c r="K70" s="23"/>
      <c r="L70" s="23" t="e">
        <f>IF(מלאי!D77&lt;&gt;"",מלאי!#REF!,"")</f>
        <v>#REF!</v>
      </c>
    </row>
    <row r="71" spans="1:12" ht="15" customHeight="1" x14ac:dyDescent="0.25">
      <c r="A71" s="23" t="str">
        <f>IF(מלאי!D78&lt;&gt;"",מלאי!D78,"")</f>
        <v>SRV Blanket 20</v>
      </c>
      <c r="B71" s="23" t="str">
        <f>IF(מלאי!D78&lt;&gt;"",מלאי!B78&amp;IF(מלאי!C78&lt;&gt;""," ("&amp;מלאי!C78&amp;")",""),"")</f>
        <v>Survival Blanket (V1)</v>
      </c>
      <c r="C71" s="23" t="str">
        <f>IF(מלאי!D78&lt;&gt;"",מלאי!A78,"")</f>
        <v>Blankets</v>
      </c>
      <c r="D71" s="23" t="str">
        <f>IF(מלאי!D78&lt;&gt;"",מלאי!H78,"")</f>
        <v>Woodland</v>
      </c>
      <c r="E71" s="23"/>
      <c r="F71" s="23"/>
      <c r="G71" s="23"/>
      <c r="H71" s="23" t="str">
        <f>IF(מלאי!D78&lt;&gt;"",מלאי!I78,"")</f>
        <v>Desert</v>
      </c>
      <c r="I71" s="23"/>
      <c r="J71" s="23"/>
      <c r="K71" s="23"/>
      <c r="L71" s="23" t="e">
        <f>IF(מלאי!D78&lt;&gt;"",מלאי!#REF!,"")</f>
        <v>#REF!</v>
      </c>
    </row>
    <row r="72" spans="1:12" ht="15" customHeight="1" x14ac:dyDescent="0.25">
      <c r="A72" s="23" t="str">
        <f>IF(מלאי!D80&lt;&gt;"",מלאי!D80,"")</f>
        <v>SRV Blanket 23</v>
      </c>
      <c r="B72" s="23" t="str">
        <f>IF(מלאי!D80&lt;&gt;"",מלאי!B80&amp;IF(מלאי!C80&lt;&gt;""," ("&amp;מלאי!C80&amp;")",""),"")</f>
        <v>Survival Blanket (V1)</v>
      </c>
      <c r="C72" s="23" t="str">
        <f>IF(מלאי!D80&lt;&gt;"",מלאי!A80,"")</f>
        <v>Blankets</v>
      </c>
      <c r="D72" s="23" t="str">
        <f>IF(מלאי!D80&lt;&gt;"",מלאי!H80,"")</f>
        <v>Woodland</v>
      </c>
      <c r="E72" s="23"/>
      <c r="F72" s="23"/>
      <c r="G72" s="23"/>
      <c r="H72" s="23" t="str">
        <f>IF(מלאי!D80&lt;&gt;"",מלאי!I80,"")</f>
        <v>Desert</v>
      </c>
      <c r="I72" s="23"/>
      <c r="J72" s="23"/>
      <c r="K72" s="23"/>
      <c r="L72" s="23" t="e">
        <f>IF(מלאי!D80&lt;&gt;"",מלאי!#REF!,"")</f>
        <v>#REF!</v>
      </c>
    </row>
    <row r="73" spans="1:12" ht="15" customHeight="1" x14ac:dyDescent="0.25">
      <c r="A73" s="23" t="str">
        <f>IF(מלאי!D81&lt;&gt;"",מלאי!D81,"")</f>
        <v>יריעה 9  - בואקום</v>
      </c>
      <c r="B73" s="23" t="str">
        <f>IF(מלאי!D81&lt;&gt;"",מלאי!B81&amp;IF(מלאי!C81&lt;&gt;""," ("&amp;מלאי!C81&amp;")",""),"")</f>
        <v>Survival Blanket (V1)</v>
      </c>
      <c r="C73" s="23" t="str">
        <f>IF(מלאי!D81&lt;&gt;"",מלאי!A81,"")</f>
        <v>Blankets</v>
      </c>
      <c r="D73" s="23" t="str">
        <f>IF(מלאי!D81&lt;&gt;"",מלאי!H81,"")</f>
        <v>Woodland</v>
      </c>
      <c r="E73" s="23"/>
      <c r="F73" s="23"/>
      <c r="G73" s="23"/>
      <c r="H73" s="23" t="str">
        <f>IF(מלאי!D81&lt;&gt;"",מלאי!I81,"")</f>
        <v>Desert</v>
      </c>
      <c r="I73" s="23"/>
      <c r="J73" s="23"/>
      <c r="K73" s="23"/>
      <c r="L73" s="23" t="e">
        <f>IF(מלאי!D81&lt;&gt;"",מלאי!#REF!,"")</f>
        <v>#REF!</v>
      </c>
    </row>
    <row r="74" spans="1:12" ht="15" customHeight="1" x14ac:dyDescent="0.25">
      <c r="A74" s="23" t="str">
        <f>IF(מלאי!D82&lt;&gt;"",מלאי!D82,"")</f>
        <v>SRV Blanket 22</v>
      </c>
      <c r="B74" s="23" t="str">
        <f>IF(מלאי!D82&lt;&gt;"",מלאי!B82&amp;IF(מלאי!C82&lt;&gt;""," ("&amp;מלאי!C82&amp;")",""),"")</f>
        <v>Survival Blanket (V1)</v>
      </c>
      <c r="C74" s="23" t="str">
        <f>IF(מלאי!D82&lt;&gt;"",מלאי!A82,"")</f>
        <v>Blankets</v>
      </c>
      <c r="D74" s="23" t="str">
        <f>IF(מלאי!D82&lt;&gt;"",מלאי!H82,"")</f>
        <v>Ever-Green</v>
      </c>
      <c r="E74" s="23"/>
      <c r="F74" s="23"/>
      <c r="G74" s="23"/>
      <c r="H74" s="23" t="str">
        <f>IF(מלאי!D82&lt;&gt;"",מלאי!I82,"")</f>
        <v>Desert</v>
      </c>
      <c r="I74" s="23"/>
      <c r="J74" s="23"/>
      <c r="K74" s="23"/>
      <c r="L74" s="23" t="e">
        <f>IF(מלאי!D82&lt;&gt;"",מלאי!#REF!,"")</f>
        <v>#REF!</v>
      </c>
    </row>
    <row r="75" spans="1:12" ht="15" customHeight="1" x14ac:dyDescent="0.25">
      <c r="A75" s="23" t="e">
        <f>IF(מלאי!#REF!&lt;&gt;"",מלאי!#REF!,"")</f>
        <v>#REF!</v>
      </c>
      <c r="B75" s="23" t="e">
        <f>IF(מלאי!#REF!&lt;&gt;"",מלאי!#REF!&amp;IF(מלאי!#REF!&lt;&gt;""," ("&amp;מלאי!#REF!&amp;")",""),"")</f>
        <v>#REF!</v>
      </c>
      <c r="C75" s="23" t="e">
        <f>IF(מלאי!#REF!&lt;&gt;"",מלאי!#REF!,"")</f>
        <v>#REF!</v>
      </c>
      <c r="D75" s="23" t="e">
        <f>IF(מלאי!#REF!&lt;&gt;"",מלאי!#REF!,"")</f>
        <v>#REF!</v>
      </c>
      <c r="E75" s="23"/>
      <c r="F75" s="23"/>
      <c r="G75" s="23"/>
      <c r="H75" s="23" t="e">
        <f>IF(מלאי!#REF!&lt;&gt;"",מלאי!#REF!,"")</f>
        <v>#REF!</v>
      </c>
      <c r="I75" s="23"/>
      <c r="J75" s="23"/>
      <c r="K75" s="23"/>
      <c r="L75" s="23" t="e">
        <f>IF(מלאי!#REF!&lt;&gt;"",מלאי!#REF!,"")</f>
        <v>#REF!</v>
      </c>
    </row>
    <row r="76" spans="1:12" ht="15" customHeight="1" x14ac:dyDescent="0.25">
      <c r="A76" s="23" t="str">
        <f>IF(מלאי!D83&lt;&gt;"",מלאי!D83,"")</f>
        <v>SRV Blanket 7</v>
      </c>
      <c r="B76" s="23" t="str">
        <f>IF(מלאי!D83&lt;&gt;"",מלאי!B83&amp;IF(מלאי!C83&lt;&gt;""," ("&amp;מלאי!C83&amp;")",""),"")</f>
        <v>Survival Blanket (V1)</v>
      </c>
      <c r="C76" s="23" t="str">
        <f>IF(מלאי!D83&lt;&gt;"",מלאי!A83,"")</f>
        <v>Blankets</v>
      </c>
      <c r="D76" s="23" t="str">
        <f>IF(מלאי!D83&lt;&gt;"",מלאי!H83,"")</f>
        <v>Forest Green</v>
      </c>
      <c r="E76" s="23"/>
      <c r="F76" s="23"/>
      <c r="G76" s="23"/>
      <c r="H76" s="23" t="str">
        <f>IF(מלאי!D83&lt;&gt;"",מלאי!I83,"")</f>
        <v>Forest Green</v>
      </c>
      <c r="I76" s="23"/>
      <c r="J76" s="23"/>
      <c r="K76" s="23"/>
      <c r="L76" s="23" t="e">
        <f>IF(מלאי!D83&lt;&gt;"",מלאי!#REF!,"")</f>
        <v>#REF!</v>
      </c>
    </row>
    <row r="77" spans="1:12" ht="15" customHeight="1" x14ac:dyDescent="0.25">
      <c r="A77" s="23" t="str">
        <f>IF(מלאי!D84&lt;&gt;"",מלאי!D84,"")</f>
        <v>SRV Blanket 8</v>
      </c>
      <c r="B77" s="23" t="str">
        <f>IF(מלאי!D84&lt;&gt;"",מלאי!B84&amp;IF(מלאי!C84&lt;&gt;""," ("&amp;מלאי!C84&amp;")",""),"")</f>
        <v>Survival Blanket (V1)</v>
      </c>
      <c r="C77" s="23" t="str">
        <f>IF(מלאי!D84&lt;&gt;"",מלאי!A84,"")</f>
        <v>Blankets</v>
      </c>
      <c r="D77" s="23" t="str">
        <f>IF(מלאי!D84&lt;&gt;"",מלאי!H84,"")</f>
        <v xml:space="preserve"> Kestrel (אמריקאי)</v>
      </c>
      <c r="E77" s="23"/>
      <c r="F77" s="23"/>
      <c r="G77" s="23"/>
      <c r="H77" s="23" t="str">
        <f>IF(מלאי!D84&lt;&gt;"",מלאי!I84,"")</f>
        <v xml:space="preserve"> Kestrel (אמריקאי)</v>
      </c>
      <c r="I77" s="23"/>
      <c r="J77" s="23"/>
      <c r="K77" s="23"/>
      <c r="L77" s="23" t="e">
        <f>IF(מלאי!D84&lt;&gt;"",מלאי!#REF!,"")</f>
        <v>#REF!</v>
      </c>
    </row>
    <row r="78" spans="1:12" ht="15" customHeight="1" x14ac:dyDescent="0.25">
      <c r="A78" s="23" t="str">
        <f>IF(מלאי!D85&lt;&gt;"",מלאי!D85,"")</f>
        <v xml:space="preserve">יריעת הישרדות מאכ 23 </v>
      </c>
      <c r="B78" s="23" t="str">
        <f>IF(מלאי!D85&lt;&gt;"",מלאי!B85&amp;IF(מלאי!C85&lt;&gt;""," ("&amp;מלאי!C85&amp;")",""),"")</f>
        <v>Survival Blanket (V1)</v>
      </c>
      <c r="C78" s="23" t="str">
        <f>IF(מלאי!D85&lt;&gt;"",מלאי!A85,"")</f>
        <v>Blankets</v>
      </c>
      <c r="D78" s="23">
        <f>IF(מלאי!D85&lt;&gt;"",מלאי!H85,"")</f>
        <v>0</v>
      </c>
      <c r="E78" s="23"/>
      <c r="F78" s="23"/>
      <c r="G78" s="23"/>
      <c r="H78" s="23" t="str">
        <f>IF(מלאי!D85&lt;&gt;"",מלאי!I86,"")</f>
        <v>Desert</v>
      </c>
      <c r="I78" s="23"/>
      <c r="J78" s="23"/>
      <c r="K78" s="23"/>
      <c r="L78" s="23" t="e">
        <f>IF(מלאי!D85&lt;&gt;"",מלאי!#REF!,"")</f>
        <v>#REF!</v>
      </c>
    </row>
    <row r="79" spans="1:12" ht="15" customHeight="1" x14ac:dyDescent="0.25">
      <c r="A79" s="23" t="str">
        <f>IF(מלאי!D86&lt;&gt;"",מלאי!D86,"")</f>
        <v xml:space="preserve">פונצ'ו הישרדות משולב (רשת) </v>
      </c>
      <c r="B79" s="23" t="str">
        <f>IF(מלאי!D86&lt;&gt;"",מלאי!B86&amp;IF(מלאי!C86&lt;&gt;""," ("&amp;מלאי!C86&amp;")",""),"")</f>
        <v>Poncho SRV (V1)</v>
      </c>
      <c r="C79" s="23" t="str">
        <f>IF(מלאי!D86&lt;&gt;"",מלאי!A86,"")</f>
        <v>OverGarment</v>
      </c>
      <c r="D79" s="23" t="str">
        <f>IF(מלאי!D86&lt;&gt;"",מלאי!H86,"")</f>
        <v>Ever-Green</v>
      </c>
      <c r="E79" s="23"/>
      <c r="F79" s="23"/>
      <c r="G79" s="23"/>
      <c r="H79" s="23" t="e">
        <f>IF(מלאי!D86&lt;&gt;"",מלאי!#REF!,"")</f>
        <v>#REF!</v>
      </c>
      <c r="I79" s="23"/>
      <c r="J79" s="23"/>
      <c r="K79" s="23"/>
      <c r="L79" s="23" t="e">
        <f>IF(מלאי!D86&lt;&gt;"",מלאי!#REF!,"")</f>
        <v>#REF!</v>
      </c>
    </row>
    <row r="80" spans="1:12" ht="15" customHeight="1" x14ac:dyDescent="0.25">
      <c r="A80" s="23" t="str">
        <f>IF(מלאי!D87&lt;&gt;"",מלאי!D87,"")</f>
        <v xml:space="preserve">Gal VIS 2 </v>
      </c>
      <c r="B80" s="23" t="str">
        <f>IF(מלאי!D87&lt;&gt;"",מלאי!B87&amp;IF(מלאי!C87&lt;&gt;""," ("&amp;מלאי!C87&amp;")",""),"")</f>
        <v>Gal Suit (V1)</v>
      </c>
      <c r="C80" s="23" t="str">
        <f>IF(מלאי!D87&lt;&gt;"",מלאי!A87,"")</f>
        <v>OverGarment</v>
      </c>
      <c r="D80" s="23" t="str">
        <f>IF(מלאי!D87&lt;&gt;"",מלאי!H87,"")</f>
        <v>Desert</v>
      </c>
      <c r="E80" s="23"/>
      <c r="F80" s="23"/>
      <c r="G80" s="23"/>
      <c r="H80" s="23">
        <f>IF(מלאי!D87&lt;&gt;"",מלאי!I87,"")</f>
        <v>0</v>
      </c>
      <c r="I80" s="23"/>
      <c r="J80" s="23"/>
      <c r="K80" s="23"/>
      <c r="L80" s="23" t="e">
        <f>IF(מלאי!D87&lt;&gt;"",מלאי!#REF!,"")</f>
        <v>#REF!</v>
      </c>
    </row>
    <row r="81" spans="1:12" ht="15" customHeight="1" x14ac:dyDescent="0.25">
      <c r="A81" s="23" t="str">
        <f>IF(מלאי!D88&lt;&gt;"",מלאי!D88,"")</f>
        <v>Gal Double layers 1</v>
      </c>
      <c r="B81" s="23" t="str">
        <f>IF(מלאי!D88&lt;&gt;"",מלאי!B88&amp;IF(מלאי!C88&lt;&gt;""," ("&amp;מלאי!C88&amp;")",""),"")</f>
        <v>Gal Suit (V1)</v>
      </c>
      <c r="C81" s="23" t="str">
        <f>IF(מלאי!D88&lt;&gt;"",מלאי!A88,"")</f>
        <v>OverGarment</v>
      </c>
      <c r="D81" s="23" t="str">
        <f>IF(מלאי!D88&lt;&gt;"",מלאי!H88,"")</f>
        <v>NATO</v>
      </c>
      <c r="E81" s="23"/>
      <c r="F81" s="23"/>
      <c r="G81" s="23"/>
      <c r="H81" s="23" t="str">
        <f>IF(מלאי!D88&lt;&gt;"",מלאי!I88,"")</f>
        <v>Woodland</v>
      </c>
      <c r="I81" s="23"/>
      <c r="J81" s="23"/>
      <c r="K81" s="23"/>
      <c r="L81" s="23" t="e">
        <f>IF(מלאי!D88&lt;&gt;"",מלאי!#REF!,"")</f>
        <v>#REF!</v>
      </c>
    </row>
    <row r="82" spans="1:12" ht="15" customHeight="1" x14ac:dyDescent="0.25">
      <c r="A82" s="23" t="str">
        <f>IF(מלאי!D89&lt;&gt;"",מלאי!D89,"")</f>
        <v>B1</v>
      </c>
      <c r="B82" s="23" t="str">
        <f>IF(מלאי!D89&lt;&gt;"",מלאי!B89&amp;IF(מלאי!C89&lt;&gt;""," ("&amp;מלאי!C89&amp;")",""),"")</f>
        <v>Poncho Sahar (V2)</v>
      </c>
      <c r="C82" s="23" t="str">
        <f>IF(מלאי!D89&lt;&gt;"",מלאי!A89,"")</f>
        <v>OverGarment</v>
      </c>
      <c r="D82" s="23" t="str">
        <f>IF(מלאי!D89&lt;&gt;"",מלאי!H89,"")</f>
        <v>Ever-Green</v>
      </c>
      <c r="E82" s="23"/>
      <c r="F82" s="23"/>
      <c r="G82" s="23"/>
      <c r="H82" s="23" t="str">
        <f>IF(מלאי!D89&lt;&gt;"",מלאי!I89,"")</f>
        <v>Desert</v>
      </c>
      <c r="I82" s="23"/>
      <c r="J82" s="23"/>
      <c r="K82" s="23"/>
      <c r="L82" s="23" t="e">
        <f>IF(מלאי!D89&lt;&gt;"",מלאי!#REF!,"")</f>
        <v>#REF!</v>
      </c>
    </row>
    <row r="83" spans="1:12" ht="15" customHeight="1" x14ac:dyDescent="0.25">
      <c r="A83" s="23" t="str">
        <f>IF(מלאי!D90&lt;&gt;"",מלאי!D90,"")</f>
        <v>May Long 1</v>
      </c>
      <c r="B83" s="23" t="str">
        <f>IF(מלאי!D90&lt;&gt;"",מלאי!B90&amp;IF(מלאי!C90&lt;&gt;""," ("&amp;מלאי!C90&amp;")",""),"")</f>
        <v>May Long Shirt (ארוכה)</v>
      </c>
      <c r="C83" s="23" t="str">
        <f>IF(מלאי!D90&lt;&gt;"",מלאי!A90,"")</f>
        <v>OverGarment</v>
      </c>
      <c r="D83" s="23" t="str">
        <f>IF(מלאי!D90&lt;&gt;"",מלאי!H90,"")</f>
        <v>Desert Coyote</v>
      </c>
      <c r="E83" s="23"/>
      <c r="F83" s="23"/>
      <c r="G83" s="23"/>
      <c r="H83" s="23" t="str">
        <f>IF(מלאי!D90&lt;&gt;"",מלאי!I90,"")</f>
        <v>NATO</v>
      </c>
      <c r="I83" s="23"/>
      <c r="J83" s="23"/>
      <c r="K83" s="23"/>
      <c r="L83" s="23" t="e">
        <f>IF(מלאי!D90&lt;&gt;"",מלאי!#REF!,"")</f>
        <v>#REF!</v>
      </c>
    </row>
    <row r="84" spans="1:12" ht="15" customHeight="1" x14ac:dyDescent="0.25">
      <c r="A84" s="23" t="str">
        <f>IF(מלאי!D91&lt;&gt;"",מלאי!D91,"")</f>
        <v>overwatch 1</v>
      </c>
      <c r="B84" s="23" t="str">
        <f>IF(מלאי!D91&lt;&gt;"",מלאי!B91&amp;IF(מלאי!C91&lt;&gt;""," ("&amp;מלאי!C91&amp;")",""),"")</f>
        <v>OverWatch (ATGM) HS (V1)</v>
      </c>
      <c r="C84" s="23" t="str">
        <f>IF(מלאי!D91&lt;&gt;"",מלאי!A91,"")</f>
        <v>Hide Site</v>
      </c>
      <c r="D84" s="23" t="str">
        <f>IF(מלאי!D91&lt;&gt;"",מלאי!H91,"")</f>
        <v>Desert-Green</v>
      </c>
      <c r="E84" s="23"/>
      <c r="F84" s="23"/>
      <c r="G84" s="23"/>
      <c r="H84" s="23" t="str">
        <f>IF(מלאי!D91&lt;&gt;"",מלאי!I91,"")</f>
        <v>Desert</v>
      </c>
      <c r="I84" s="23"/>
      <c r="J84" s="23"/>
      <c r="K84" s="23"/>
      <c r="L84" s="23" t="e">
        <f>IF(מלאי!D91&lt;&gt;"",מלאי!#REF!,"")</f>
        <v>#REF!</v>
      </c>
    </row>
    <row r="85" spans="1:12" ht="15" customHeight="1" x14ac:dyDescent="0.25">
      <c r="A85" s="23" t="str">
        <f>IF(מלאי!D92&lt;&gt;"",מלאי!D92,"")</f>
        <v>overwatch 2</v>
      </c>
      <c r="B85" s="23" t="str">
        <f>IF(מלאי!D92&lt;&gt;"",מלאי!B92&amp;IF(מלאי!C92&lt;&gt;""," ("&amp;מלאי!C92&amp;")",""),"")</f>
        <v>OverWatch (ATGM) HS (V1)</v>
      </c>
      <c r="C85" s="23" t="str">
        <f>IF(מלאי!D92&lt;&gt;"",מלאי!A92,"")</f>
        <v>Hide Site</v>
      </c>
      <c r="D85" s="23" t="str">
        <f>IF(מלאי!D92&lt;&gt;"",מלאי!H92,"")</f>
        <v>Desert-Green</v>
      </c>
      <c r="E85" s="23"/>
      <c r="F85" s="23"/>
      <c r="G85" s="23"/>
      <c r="H85" s="23" t="str">
        <f>IF(מלאי!D92&lt;&gt;"",מלאי!I92,"")</f>
        <v>Desert</v>
      </c>
      <c r="I85" s="23"/>
      <c r="J85" s="23"/>
      <c r="K85" s="23"/>
      <c r="L85" s="23" t="e">
        <f>IF(מלאי!D92&lt;&gt;"",מלאי!#REF!,"")</f>
        <v>#REF!</v>
      </c>
    </row>
    <row r="86" spans="1:12" ht="15" customHeight="1" x14ac:dyDescent="0.25">
      <c r="A86" s="23" t="e">
        <f>IF(מלאי!#REF!&lt;&gt;"",מלאי!#REF!,"")</f>
        <v>#REF!</v>
      </c>
      <c r="B86" s="23" t="e">
        <f>IF(מלאי!#REF!&lt;&gt;"",מלאי!B93&amp;IF(מלאי!C93&lt;&gt;""," ("&amp;מלאי!C93&amp;")",""),"")</f>
        <v>#REF!</v>
      </c>
      <c r="C86" s="23" t="e">
        <f>IF(מלאי!#REF!&lt;&gt;"",מלאי!A93,"")</f>
        <v>#REF!</v>
      </c>
      <c r="D86" s="23" t="e">
        <f>IF(מלאי!#REF!&lt;&gt;"",מלאי!H93,"")</f>
        <v>#REF!</v>
      </c>
      <c r="E86" s="23"/>
      <c r="F86" s="23"/>
      <c r="G86" s="23"/>
      <c r="H86" s="23" t="e">
        <f>IF(מלאי!#REF!&lt;&gt;"",מלאי!I93,"")</f>
        <v>#REF!</v>
      </c>
      <c r="I86" s="23"/>
      <c r="J86" s="23"/>
      <c r="K86" s="23"/>
      <c r="L86" s="23" t="e">
        <f>IF(מלאי!#REF!&lt;&gt;"",מלאי!#REF!,"")</f>
        <v>#REF!</v>
      </c>
    </row>
    <row r="87" spans="1:12" ht="15" customHeight="1" x14ac:dyDescent="0.25">
      <c r="A87" s="23" t="str">
        <f>IF(מלאי!D99&lt;&gt;"",מלאי!D99,"")</f>
        <v xml:space="preserve">Arctic Jacket Snirt 1 </v>
      </c>
      <c r="B87" s="23" t="str">
        <f>IF(מלאי!D99&lt;&gt;"",מלאי!B94&amp;IF(מלאי!C94&lt;&gt;""," ("&amp;מלאי!C94&amp;")",""),"")</f>
        <v>Arctic Poncho SRV (V1)</v>
      </c>
      <c r="C87" s="23" t="str">
        <f>IF(מלאי!D99&lt;&gt;"",מלאי!A94,"")</f>
        <v>OverGarment</v>
      </c>
      <c r="D87" s="23" t="str">
        <f>IF(מלאי!D99&lt;&gt;"",מלאי!H94,"")</f>
        <v>Snirt Snow</v>
      </c>
      <c r="E87" s="23"/>
      <c r="F87" s="23"/>
      <c r="G87" s="23"/>
      <c r="H87" s="23">
        <f>IF(מלאי!D99&lt;&gt;"",מלאי!I94,"")</f>
        <v>0</v>
      </c>
      <c r="I87" s="23"/>
      <c r="J87" s="23"/>
      <c r="K87" s="23"/>
      <c r="L87" s="23" t="e">
        <f>IF(מלאי!D99&lt;&gt;"",מלאי!#REF!,"")</f>
        <v>#REF!</v>
      </c>
    </row>
    <row r="88" spans="1:12" ht="15" customHeight="1" x14ac:dyDescent="0.25">
      <c r="A88" s="23" t="str">
        <f>IF(מלאי!D95&lt;&gt;"",מלאי!D95,"")</f>
        <v>Arctic poncho Fresh 1</v>
      </c>
      <c r="B88" s="23" t="str">
        <f>IF(מלאי!D95&lt;&gt;"",מלאי!B95&amp;IF(מלאי!C95&lt;&gt;""," ("&amp;מלאי!C95&amp;")",""),"")</f>
        <v>Arctic Poncho SRV (V1)</v>
      </c>
      <c r="C88" s="23" t="str">
        <f>IF(מלאי!D95&lt;&gt;"",מלאי!A95,"")</f>
        <v>OverGarment</v>
      </c>
      <c r="D88" s="23" t="str">
        <f>IF(מלאי!D95&lt;&gt;"",מלאי!H95,"")</f>
        <v>Fresh Snow</v>
      </c>
      <c r="E88" s="23"/>
      <c r="F88" s="23"/>
      <c r="G88" s="23"/>
      <c r="H88" s="23">
        <f>IF(מלאי!D95&lt;&gt;"",מלאי!I95,"")</f>
        <v>0</v>
      </c>
      <c r="I88" s="23"/>
      <c r="J88" s="23"/>
      <c r="K88" s="23"/>
      <c r="L88" s="23" t="e">
        <f>IF(מלאי!D95&lt;&gt;"",מלאי!#REF!,"")</f>
        <v>#REF!</v>
      </c>
    </row>
    <row r="89" spans="1:12" ht="15" customHeight="1" x14ac:dyDescent="0.25">
      <c r="A89" s="23" t="str">
        <f>IF(מלאי!D96&lt;&gt;"",מלאי!D96,"")</f>
        <v xml:space="preserve">Arctic Jacket Fresh 1 </v>
      </c>
      <c r="B89" s="23" t="str">
        <f>IF(מלאי!D96&lt;&gt;"",מלאי!B96&amp;IF(מלאי!C96&lt;&gt;""," ("&amp;מלאי!C96&amp;")",""),"")</f>
        <v>Arctic Jacket (V1)</v>
      </c>
      <c r="C89" s="23" t="str">
        <f>IF(מלאי!D96&lt;&gt;"",מלאי!A96,"")</f>
        <v>OverGarment</v>
      </c>
      <c r="D89" s="23" t="str">
        <f>IF(מלאי!D96&lt;&gt;"",מלאי!H96,"")</f>
        <v>Fresh Snow</v>
      </c>
      <c r="E89" s="23"/>
      <c r="F89" s="23"/>
      <c r="G89" s="23"/>
      <c r="H89" s="23">
        <f>IF(מלאי!D96&lt;&gt;"",מלאי!I96,"")</f>
        <v>0</v>
      </c>
      <c r="I89" s="23"/>
      <c r="J89" s="23"/>
      <c r="K89" s="23"/>
      <c r="L89" s="23" t="e">
        <f>IF(מלאי!D96&lt;&gt;"",מלאי!#REF!,"")</f>
        <v>#REF!</v>
      </c>
    </row>
    <row r="90" spans="1:12" ht="15" customHeight="1" x14ac:dyDescent="0.25">
      <c r="A90" s="23" t="str">
        <f>IF(מלאי!D98&lt;&gt;"",מלאי!D98,"")</f>
        <v xml:space="preserve">Arctic Suit Bot Fresh 1 </v>
      </c>
      <c r="B90" s="23" t="str">
        <f>IF(מלאי!D98&lt;&gt;"",מלאי!B98&amp;IF(מלאי!C98&lt;&gt;""," ("&amp;מלאי!C98&amp;")",""),"")</f>
        <v>Arctic Jacket (V1)</v>
      </c>
      <c r="C90" s="23" t="str">
        <f>IF(מלאי!D98&lt;&gt;"",מלאי!A98,"")</f>
        <v>OverGarment</v>
      </c>
      <c r="D90" s="23" t="str">
        <f>IF(מלאי!D98&lt;&gt;"",מלאי!H98,"")</f>
        <v>Fresh Snow</v>
      </c>
      <c r="E90" s="23"/>
      <c r="F90" s="23"/>
      <c r="G90" s="23"/>
      <c r="H90" s="23">
        <f>IF(מלאי!D98&lt;&gt;"",מלאי!I98,"")</f>
        <v>0</v>
      </c>
      <c r="I90" s="23"/>
      <c r="J90" s="23"/>
      <c r="K90" s="23"/>
      <c r="L90" s="23" t="e">
        <f>IF(מלאי!D98&lt;&gt;"",מלאי!#REF!,"")</f>
        <v>#REF!</v>
      </c>
    </row>
    <row r="91" spans="1:12" ht="15" customHeight="1" x14ac:dyDescent="0.25">
      <c r="A91" s="23" t="str">
        <f>IF(מלאי!D93&lt;&gt;"",מלאי!D93,"")</f>
        <v>Arctic poncho Snirt 1</v>
      </c>
      <c r="B91" s="23" t="str">
        <f>IF(מלאי!D93&lt;&gt;"",מלאי!B99&amp;IF(מלאי!C99&lt;&gt;""," ("&amp;מלאי!C99&amp;")",""),"")</f>
        <v>Arctic Jacket (V1)</v>
      </c>
      <c r="C91" s="23" t="str">
        <f>IF(מלאי!D93&lt;&gt;"",מלאי!A99,"")</f>
        <v>OverGarment</v>
      </c>
      <c r="D91" s="23" t="str">
        <f>IF(מלאי!D93&lt;&gt;"",מלאי!H99,"")</f>
        <v>Snirt Snow</v>
      </c>
      <c r="E91" s="23"/>
      <c r="F91" s="23"/>
      <c r="G91" s="23"/>
      <c r="H91" s="23">
        <f>IF(מלאי!D93&lt;&gt;"",מלאי!I99,"")</f>
        <v>0</v>
      </c>
      <c r="I91" s="23"/>
      <c r="J91" s="23"/>
      <c r="K91" s="23"/>
      <c r="L91" s="23" t="e">
        <f>IF(מלאי!D93&lt;&gt;"",מלאי!#REF!,"")</f>
        <v>#REF!</v>
      </c>
    </row>
    <row r="92" spans="1:12" ht="15" customHeight="1" x14ac:dyDescent="0.25">
      <c r="A92" s="23" t="str">
        <f>IF(מלאי!D100&lt;&gt;"",מלאי!D100,"")</f>
        <v>Arctic Jacket Snirt 2</v>
      </c>
      <c r="B92" s="23" t="str">
        <f>IF(מלאי!D100&lt;&gt;"",מלאי!B100&amp;IF(מלאי!C100&lt;&gt;""," ("&amp;מלאי!C100&amp;")",""),"")</f>
        <v>Arctic Jacket (V1)</v>
      </c>
      <c r="C92" s="23" t="str">
        <f>IF(מלאי!D100&lt;&gt;"",מלאי!A100,"")</f>
        <v>OverGarment</v>
      </c>
      <c r="D92" s="23" t="str">
        <f>IF(מלאי!D100&lt;&gt;"",מלאי!H100,"")</f>
        <v>Snirt Snow</v>
      </c>
      <c r="E92" s="23"/>
      <c r="F92" s="23"/>
      <c r="G92" s="23"/>
      <c r="H92" s="23">
        <f>IF(מלאי!D100&lt;&gt;"",מלאי!I100,"")</f>
        <v>0</v>
      </c>
      <c r="I92" s="23"/>
      <c r="J92" s="23"/>
      <c r="K92" s="23"/>
      <c r="L92" s="23" t="e">
        <f>IF(מלאי!D100&lt;&gt;"",מלאי!#REF!,"")</f>
        <v>#REF!</v>
      </c>
    </row>
    <row r="93" spans="1:12" ht="15" customHeight="1" x14ac:dyDescent="0.25">
      <c r="A93" s="23" t="str">
        <f>IF(מלאי!D101&lt;&gt;"",מלאי!D101,"")</f>
        <v xml:space="preserve">Arctic Pants Fresh 1 </v>
      </c>
      <c r="B93" s="23" t="str">
        <f>IF(מלאי!D101&lt;&gt;"",מלאי!B101&amp;IF(מלאי!C101&lt;&gt;""," ("&amp;מלאי!C101&amp;")",""),"")</f>
        <v>Arctic Overpants (V1)</v>
      </c>
      <c r="C93" s="23" t="str">
        <f>IF(מלאי!D101&lt;&gt;"",מלאי!A101,"")</f>
        <v>OverGarment</v>
      </c>
      <c r="D93" s="23" t="str">
        <f>IF(מלאי!D101&lt;&gt;"",מלאי!H101,"")</f>
        <v>Fresh Snow</v>
      </c>
      <c r="E93" s="23"/>
      <c r="F93" s="23"/>
      <c r="G93" s="23"/>
      <c r="H93" s="23">
        <f>IF(מלאי!D101&lt;&gt;"",מלאי!I101,"")</f>
        <v>0</v>
      </c>
      <c r="I93" s="23"/>
      <c r="J93" s="23"/>
      <c r="K93" s="23"/>
      <c r="L93" s="23" t="e">
        <f>IF(מלאי!D101&lt;&gt;"",מלאי!#REF!,"")</f>
        <v>#REF!</v>
      </c>
    </row>
    <row r="94" spans="1:12" ht="15" customHeight="1" x14ac:dyDescent="0.25">
      <c r="A94" s="23" t="str">
        <f>IF(מלאי!D102&lt;&gt;"",מלאי!D102,"")</f>
        <v xml:space="preserve">Arctic Pants Snirt 1 </v>
      </c>
      <c r="B94" s="23" t="str">
        <f>IF(מלאי!D102&lt;&gt;"",מלאי!B102&amp;IF(מלאי!C102&lt;&gt;""," ("&amp;מלאי!C102&amp;")",""),"")</f>
        <v>Arctic Overpants (V1)</v>
      </c>
      <c r="C94" s="23" t="str">
        <f>IF(מלאי!D102&lt;&gt;"",מלאי!A102,"")</f>
        <v>OverGarment</v>
      </c>
      <c r="D94" s="23" t="str">
        <f>IF(מלאי!D102&lt;&gt;"",מלאי!H102,"")</f>
        <v>Snirt Snow</v>
      </c>
      <c r="E94" s="23"/>
      <c r="F94" s="23"/>
      <c r="G94" s="23"/>
      <c r="H94" s="23">
        <f>IF(מלאי!D102&lt;&gt;"",מלאי!I102,"")</f>
        <v>0</v>
      </c>
      <c r="I94" s="23"/>
      <c r="J94" s="23"/>
      <c r="K94" s="23"/>
      <c r="L94" s="23" t="e">
        <f>IF(מלאי!D102&lt;&gt;"",מלאי!#REF!,"")</f>
        <v>#REF!</v>
      </c>
    </row>
    <row r="95" spans="1:12" ht="15" customHeight="1" x14ac:dyDescent="0.25">
      <c r="A95" s="23" t="str">
        <f>IF(מלאי!D103&lt;&gt;"",מלאי!D103,"")</f>
        <v>UNI 007</v>
      </c>
      <c r="B95" s="23" t="str">
        <f>IF(מלאי!D103&lt;&gt;"",מלאי!B103&amp;IF(מלאי!C103&lt;&gt;""," ("&amp;מלאי!C103&amp;")",""),"")</f>
        <v>Pants (Less is More)</v>
      </c>
      <c r="C95" s="23" t="str">
        <f>IF(מלאי!D103&lt;&gt;"",מלאי!A103,"")</f>
        <v>Uniform</v>
      </c>
      <c r="D95" s="23" t="str">
        <f>IF(מלאי!D103&lt;&gt;"",מלאי!H103,"")</f>
        <v>Marine</v>
      </c>
      <c r="E95" s="23"/>
      <c r="F95" s="23"/>
      <c r="G95" s="23"/>
      <c r="H95" s="23">
        <f>IF(מלאי!D103&lt;&gt;"",מלאי!I103,"")</f>
        <v>0</v>
      </c>
      <c r="I95" s="23"/>
      <c r="J95" s="23"/>
      <c r="K95" s="23"/>
      <c r="L95" s="23" t="e">
        <f>IF(מלאי!D103&lt;&gt;"",מלאי!#REF!,"")</f>
        <v>#REF!</v>
      </c>
    </row>
    <row r="96" spans="1:12" ht="15" customHeight="1" x14ac:dyDescent="0.25">
      <c r="A96" s="23" t="str">
        <f>IF(מלאי!D104&lt;&gt;"",מלאי!D104,"")</f>
        <v>Gaiters Arc 1</v>
      </c>
      <c r="B96" s="23" t="str">
        <f>IF(מלאי!D104&lt;&gt;"",מלאי!B104&amp;IF(מלאי!C104&lt;&gt;""," ("&amp;מלאי!C104&amp;")",""),"")</f>
        <v>Gaiters (V1)</v>
      </c>
      <c r="C96" s="23" t="str">
        <f>IF(מלאי!D104&lt;&gt;"",מלאי!A104,"")</f>
        <v>OverGarment</v>
      </c>
      <c r="D96" s="23" t="str">
        <f>IF(מלאי!D104&lt;&gt;"",מלאי!H104,"")</f>
        <v>Snirt Snow</v>
      </c>
      <c r="E96" s="23"/>
      <c r="F96" s="23"/>
      <c r="G96" s="23"/>
      <c r="H96" s="23">
        <f>IF(מלאי!D104&lt;&gt;"",מלאי!I104,"")</f>
        <v>0</v>
      </c>
      <c r="I96" s="23"/>
      <c r="J96" s="23"/>
      <c r="K96" s="23"/>
      <c r="L96" s="23" t="e">
        <f>IF(מלאי!D104&lt;&gt;"",מלאי!#REF!,"")</f>
        <v>#REF!</v>
      </c>
    </row>
    <row r="97" spans="1:12" ht="15" customHeight="1" x14ac:dyDescent="0.25">
      <c r="A97" s="23" t="str">
        <f>IF(מלאי!D105&lt;&gt;"",מלאי!D105,"")</f>
        <v>SRV Blanket Arc 1</v>
      </c>
      <c r="B97" s="23" t="str">
        <f>IF(מלאי!D105&lt;&gt;"",מלאי!B105&amp;IF(מלאי!C105&lt;&gt;""," ("&amp;מלאי!C105&amp;")",""),"")</f>
        <v>Arctic Survival Blanket (V1)</v>
      </c>
      <c r="C97" s="23" t="str">
        <f>IF(מלאי!D105&lt;&gt;"",מלאי!A105,"")</f>
        <v>Blankets</v>
      </c>
      <c r="D97" s="23" t="str">
        <f>IF(מלאי!D105&lt;&gt;"",מלאי!H105,"")</f>
        <v>Fresh Snow</v>
      </c>
      <c r="E97" s="23"/>
      <c r="F97" s="23"/>
      <c r="G97" s="23"/>
      <c r="H97" s="23">
        <f>IF(מלאי!D105&lt;&gt;"",מלאי!I105,"")</f>
        <v>0</v>
      </c>
      <c r="I97" s="23"/>
      <c r="J97" s="23"/>
      <c r="K97" s="23"/>
      <c r="L97" s="23" t="e">
        <f>IF(מלאי!D105&lt;&gt;"",מלאי!#REF!,"")</f>
        <v>#REF!</v>
      </c>
    </row>
    <row r="98" spans="1:12" ht="15" customHeight="1" x14ac:dyDescent="0.25">
      <c r="A98" s="23" t="str">
        <f>IF(מלאי!D106&lt;&gt;"",מלאי!D106,"")</f>
        <v>UNI 041</v>
      </c>
      <c r="B98" s="23" t="str">
        <f>IF(מלאי!D106&lt;&gt;"",מלאי!B106&amp;IF(מלאי!C106&lt;&gt;""," ("&amp;מלאי!C106&amp;")",""),"")</f>
        <v>Shirt (Maritime)</v>
      </c>
      <c r="C98" s="23" t="str">
        <f>IF(מלאי!D106&lt;&gt;"",מלאי!A106,"")</f>
        <v>Uniform</v>
      </c>
      <c r="D98" s="23" t="str">
        <f>IF(מלאי!D106&lt;&gt;"",מלאי!H106,"")</f>
        <v>Kestrel</v>
      </c>
      <c r="E98" s="23"/>
      <c r="F98" s="23"/>
      <c r="G98" s="23"/>
      <c r="H98" s="23">
        <f>IF(מלאי!D106&lt;&gt;"",מלאי!I106,"")</f>
        <v>0</v>
      </c>
      <c r="I98" s="23"/>
      <c r="J98" s="23"/>
      <c r="K98" s="23"/>
      <c r="L98" s="23" t="e">
        <f>IF(מלאי!D106&lt;&gt;"",מלאי!#REF!,"")</f>
        <v>#REF!</v>
      </c>
    </row>
    <row r="99" spans="1:12" ht="15" customHeight="1" x14ac:dyDescent="0.25">
      <c r="A99" s="23" t="str">
        <f>IF(מלאי!D107&lt;&gt;"",מלאי!D107,"")</f>
        <v>Gaiters Arc 2</v>
      </c>
      <c r="B99" s="23" t="str">
        <f>IF(מלאי!D107&lt;&gt;"",מלאי!B107&amp;IF(מלאי!C107&lt;&gt;""," ("&amp;מלאי!C107&amp;")",""),"")</f>
        <v>Gaiters (V1)</v>
      </c>
      <c r="C99" s="23" t="str">
        <f>IF(מלאי!D107&lt;&gt;"",מלאי!A107,"")</f>
        <v>OverGarment</v>
      </c>
      <c r="D99" s="23" t="str">
        <f>IF(מלאי!D107&lt;&gt;"",מלאי!H107,"")</f>
        <v>Fresh Snow</v>
      </c>
      <c r="E99" s="23"/>
      <c r="F99" s="23"/>
      <c r="G99" s="23"/>
      <c r="H99" s="23">
        <f>IF(מלאי!D107&lt;&gt;"",מלאי!I107,"")</f>
        <v>0</v>
      </c>
      <c r="I99" s="23"/>
      <c r="J99" s="23"/>
      <c r="K99" s="23"/>
      <c r="L99" s="23" t="e">
        <f>IF(מלאי!D107&lt;&gt;"",מלאי!#REF!,"")</f>
        <v>#REF!</v>
      </c>
    </row>
    <row r="100" spans="1:12" ht="15" customHeight="1" x14ac:dyDescent="0.25">
      <c r="A100" s="23" t="str">
        <f>IF(מלאי!D108&lt;&gt;"",מלאי!D108,"")</f>
        <v>Arctic poncho Fresh 3</v>
      </c>
      <c r="B100" s="23" t="str">
        <f>IF(מלאי!D108&lt;&gt;"",מלאי!B108&amp;IF(מלאי!C108&lt;&gt;""," ("&amp;מלאי!C108&amp;")",""),"")</f>
        <v>Arctic Poncho SRV (V1)</v>
      </c>
      <c r="C100" s="23" t="str">
        <f>IF(מלאי!D108&lt;&gt;"",מלאי!A108,"")</f>
        <v>OverGarment</v>
      </c>
      <c r="D100" s="23" t="str">
        <f>IF(מלאי!D108&lt;&gt;"",מלאי!H108,"")</f>
        <v>Fresh Snow</v>
      </c>
      <c r="E100" s="23"/>
      <c r="F100" s="23"/>
      <c r="G100" s="23"/>
      <c r="H100" s="23">
        <f>IF(מלאי!D108&lt;&gt;"",מלאי!I108,"")</f>
        <v>0</v>
      </c>
      <c r="I100" s="23"/>
      <c r="J100" s="23"/>
      <c r="K100" s="23"/>
      <c r="L100" s="23" t="e">
        <f>IF(מלאי!D108&lt;&gt;"",מלאי!#REF!,"")</f>
        <v>#REF!</v>
      </c>
    </row>
    <row r="101" spans="1:12" ht="15" customHeight="1" x14ac:dyDescent="0.25">
      <c r="A101" s="23" t="str">
        <f>IF(מלאי!D109&lt;&gt;"",מלאי!D109,"")</f>
        <v>UNI 022</v>
      </c>
      <c r="B101" s="23" t="str">
        <f>IF(מלאי!D109&lt;&gt;"",מלאי!B109&amp;IF(מלאי!C109&lt;&gt;""," ("&amp;מלאי!C109&amp;")",""),"")</f>
        <v>Headcover (ELITE)</v>
      </c>
      <c r="C101" s="23" t="str">
        <f>IF(מלאי!D109&lt;&gt;"",מלאי!A109,"")</f>
        <v>Uniform</v>
      </c>
      <c r="D101" s="23" t="str">
        <f>IF(מלאי!D109&lt;&gt;"",מלאי!H109,"")</f>
        <v>Kestrel</v>
      </c>
      <c r="E101" s="23"/>
      <c r="F101" s="23"/>
      <c r="G101" s="23"/>
      <c r="H101" s="23">
        <f>IF(מלאי!D109&lt;&gt;"",מלאי!I109,"")</f>
        <v>0</v>
      </c>
      <c r="I101" s="23"/>
      <c r="J101" s="23"/>
      <c r="K101" s="23"/>
      <c r="L101" s="23" t="e">
        <f>IF(מלאי!D109&lt;&gt;"",מלאי!#REF!,"")</f>
        <v>#REF!</v>
      </c>
    </row>
    <row r="102" spans="1:12" ht="15" customHeight="1" x14ac:dyDescent="0.25">
      <c r="A102" s="23" t="str">
        <f>IF(מלאי!D110&lt;&gt;"",מלאי!D110,"")</f>
        <v>Arctic Pants Fresh 2</v>
      </c>
      <c r="B102" s="23" t="str">
        <f>IF(מלאי!D110&lt;&gt;"",מלאי!B110&amp;IF(מלאי!C110&lt;&gt;""," ("&amp;מלאי!C110&amp;")",""),"")</f>
        <v>Arctic Overpants (V1)</v>
      </c>
      <c r="C102" s="23" t="str">
        <f>IF(מלאי!D110&lt;&gt;"",מלאי!A110,"")</f>
        <v>OverGarment</v>
      </c>
      <c r="D102" s="23" t="str">
        <f>IF(מלאי!D110&lt;&gt;"",מלאי!H110,"")</f>
        <v>Fresh Snow</v>
      </c>
      <c r="E102" s="23"/>
      <c r="F102" s="23"/>
      <c r="G102" s="23"/>
      <c r="H102" s="23">
        <f>IF(מלאי!D110&lt;&gt;"",מלאי!I110,"")</f>
        <v>0</v>
      </c>
      <c r="I102" s="23"/>
      <c r="J102" s="23"/>
      <c r="K102" s="23"/>
      <c r="L102" s="23" t="e">
        <f>IF(מלאי!D110&lt;&gt;"",מלאי!#REF!,"")</f>
        <v>#REF!</v>
      </c>
    </row>
    <row r="103" spans="1:12" ht="15" customHeight="1" x14ac:dyDescent="0.25">
      <c r="A103" s="23" t="str">
        <f>IF(מלאי!D111&lt;&gt;"",מלאי!D111,"")</f>
        <v>Arctic poncho Fresh 2</v>
      </c>
      <c r="B103" s="23" t="str">
        <f>IF(מלאי!D111&lt;&gt;"",מלאי!B111&amp;IF(מלאי!C111&lt;&gt;""," ("&amp;מלאי!C111&amp;")",""),"")</f>
        <v>Arctic Poncho SRV (V1)</v>
      </c>
      <c r="C103" s="23" t="str">
        <f>IF(מלאי!D111&lt;&gt;"",מלאי!A111,"")</f>
        <v>OverGarment</v>
      </c>
      <c r="D103" s="23" t="str">
        <f>IF(מלאי!D111&lt;&gt;"",מלאי!H111,"")</f>
        <v>Fresh Snow</v>
      </c>
      <c r="E103" s="23"/>
      <c r="F103" s="23"/>
      <c r="G103" s="23"/>
      <c r="H103" s="23">
        <f>IF(מלאי!D111&lt;&gt;"",מלאי!I111,"")</f>
        <v>0</v>
      </c>
      <c r="I103" s="23"/>
      <c r="J103" s="23"/>
      <c r="K103" s="23"/>
      <c r="L103" s="23" t="e">
        <f>IF(מלאי!D111&lt;&gt;"",מלאי!#REF!,"")</f>
        <v>#REF!</v>
      </c>
    </row>
    <row r="104" spans="1:12" ht="15" customHeight="1" x14ac:dyDescent="0.25">
      <c r="A104" s="23" t="str">
        <f>IF(מלאי!D112&lt;&gt;"",מלאי!D112,"")</f>
        <v>ARC Op HS 6</v>
      </c>
      <c r="B104" s="23" t="str">
        <f>IF(מלאי!D112&lt;&gt;"",מלאי!B112&amp;IF(מלאי!C112&lt;&gt;""," ("&amp;מלאי!C112&amp;")",""),"")</f>
        <v>Operators HS</v>
      </c>
      <c r="C104" s="23" t="str">
        <f>IF(מלאי!D112&lt;&gt;"",מלאי!A112,"")</f>
        <v>Hide Site</v>
      </c>
      <c r="D104" s="23" t="str">
        <f>IF(מלאי!D112&lt;&gt;"",מלאי!H112,"")</f>
        <v>Fresh Snow</v>
      </c>
      <c r="E104" s="23"/>
      <c r="F104" s="23"/>
      <c r="G104" s="23"/>
      <c r="H104" s="23">
        <f>IF(מלאי!D112&lt;&gt;"",מלאי!I112,"")</f>
        <v>0</v>
      </c>
      <c r="I104" s="23"/>
      <c r="J104" s="23"/>
      <c r="K104" s="23"/>
      <c r="L104" s="23" t="e">
        <f>IF(מלאי!D112&lt;&gt;"",מלאי!#REF!,"")</f>
        <v>#REF!</v>
      </c>
    </row>
    <row r="105" spans="1:12" ht="15" customHeight="1" x14ac:dyDescent="0.25">
      <c r="A105" s="23" t="str">
        <f>IF(מלאי!D113&lt;&gt;"",מלאי!D113,"")</f>
        <v>ARC Op HS 5</v>
      </c>
      <c r="B105" s="23" t="str">
        <f>IF(מלאי!D113&lt;&gt;"",מלאי!B113&amp;IF(מלאי!C113&lt;&gt;""," ("&amp;מלאי!C113&amp;")",""),"")</f>
        <v>Operators HS</v>
      </c>
      <c r="C105" s="23" t="str">
        <f>IF(מלאי!D113&lt;&gt;"",מלאי!A113,"")</f>
        <v>Hide Site</v>
      </c>
      <c r="D105" s="23" t="str">
        <f>IF(מלאי!D113&lt;&gt;"",מלאי!H113,"")</f>
        <v>Fresh Snow</v>
      </c>
      <c r="E105" s="23"/>
      <c r="F105" s="23"/>
      <c r="G105" s="23"/>
      <c r="H105" s="23">
        <f>IF(מלאי!D113&lt;&gt;"",מלאי!I113,"")</f>
        <v>0</v>
      </c>
      <c r="I105" s="23"/>
      <c r="J105" s="23"/>
      <c r="K105" s="23"/>
      <c r="L105" s="23" t="e">
        <f>IF(מלאי!D113&lt;&gt;"",מלאי!#REF!,"")</f>
        <v>#REF!</v>
      </c>
    </row>
    <row r="106" spans="1:12" ht="15" customHeight="1" x14ac:dyDescent="0.25">
      <c r="A106" s="23" t="str">
        <f>IF(מלאי!D114&lt;&gt;"",מלאי!D114,"")</f>
        <v>Floor 1</v>
      </c>
      <c r="B106" s="23" t="str">
        <f>IF(מלאי!D114&lt;&gt;"",מלאי!B114&amp;IF(מלאי!C114&lt;&gt;""," ("&amp;מלאי!C114&amp;")",""),"")</f>
        <v>HS Floor</v>
      </c>
      <c r="C106" s="23" t="str">
        <f>IF(מלאי!D114&lt;&gt;"",מלאי!A114,"")</f>
        <v>Accessories</v>
      </c>
      <c r="D106" s="23" t="str">
        <f>IF(מלאי!D114&lt;&gt;"",מלאי!H114,"")</f>
        <v>Fresh Snow</v>
      </c>
      <c r="E106" s="23"/>
      <c r="F106" s="23"/>
      <c r="G106" s="23"/>
      <c r="H106" s="23" t="str">
        <f>IF(מלאי!D114&lt;&gt;"",מלאי!I114,"")</f>
        <v>Fresh Snow</v>
      </c>
      <c r="I106" s="23"/>
      <c r="J106" s="23"/>
      <c r="K106" s="23"/>
      <c r="L106" s="23" t="e">
        <f>IF(מלאי!D114&lt;&gt;"",מלאי!#REF!,"")</f>
        <v>#REF!</v>
      </c>
    </row>
    <row r="107" spans="1:12" ht="15" customHeight="1" x14ac:dyDescent="0.25">
      <c r="A107" s="23" t="str">
        <f>IF(מלאי!D115&lt;&gt;"",מלאי!D115,"")</f>
        <v>Floor 2</v>
      </c>
      <c r="B107" s="23" t="str">
        <f>IF(מלאי!D115&lt;&gt;"",מלאי!B115&amp;IF(מלאי!C115&lt;&gt;""," ("&amp;מלאי!C115&amp;")",""),"")</f>
        <v>HS Floor</v>
      </c>
      <c r="C107" s="23" t="str">
        <f>IF(מלאי!D115&lt;&gt;"",מלאי!A115,"")</f>
        <v>Accessories</v>
      </c>
      <c r="D107" s="23" t="str">
        <f>IF(מלאי!D115&lt;&gt;"",מלאי!H115,"")</f>
        <v>Fresh Snow</v>
      </c>
      <c r="E107" s="23"/>
      <c r="F107" s="23"/>
      <c r="G107" s="23"/>
      <c r="H107" s="23" t="str">
        <f>IF(מלאי!D115&lt;&gt;"",מלאי!I115,"")</f>
        <v>Forest Green</v>
      </c>
      <c r="I107" s="23"/>
      <c r="J107" s="23"/>
      <c r="K107" s="23"/>
      <c r="L107" s="23" t="e">
        <f>IF(מלאי!D115&lt;&gt;"",מלאי!#REF!,"")</f>
        <v>#REF!</v>
      </c>
    </row>
    <row r="108" spans="1:12" ht="15" customHeight="1" x14ac:dyDescent="0.25">
      <c r="A108" s="23" t="str">
        <f>IF(מלאי!D116&lt;&gt;"",מלאי!D116,"")</f>
        <v>May Long 2</v>
      </c>
      <c r="B108" s="23" t="str">
        <f>IF(מלאי!D116&lt;&gt;"",מלאי!B116&amp;IF(מלאי!C116&lt;&gt;""," ("&amp;מלאי!C116&amp;")",""),"")</f>
        <v>May Long Shirt (ארוכה)</v>
      </c>
      <c r="C108" s="23" t="str">
        <f>IF(מלאי!D116&lt;&gt;"",מלאי!A116,"")</f>
        <v>OverGarment</v>
      </c>
      <c r="D108" s="23" t="str">
        <f>IF(מלאי!D116&lt;&gt;"",מלאי!H116,"")</f>
        <v>Desert Coyote</v>
      </c>
      <c r="E108" s="23"/>
      <c r="F108" s="23"/>
      <c r="G108" s="23"/>
      <c r="H108" s="23" t="str">
        <f>IF(מלאי!D116&lt;&gt;"",מלאי!I116,"")</f>
        <v>NATO</v>
      </c>
      <c r="I108" s="23"/>
      <c r="J108" s="23"/>
      <c r="K108" s="23"/>
      <c r="L108" s="23" t="e">
        <f>IF(מלאי!D116&lt;&gt;"",מלאי!#REF!,"")</f>
        <v>#REF!</v>
      </c>
    </row>
    <row r="109" spans="1:12" ht="15" customHeight="1" x14ac:dyDescent="0.25">
      <c r="A109" s="23" t="str">
        <f>IF(מלאי!D117&lt;&gt;"",מלאי!D117,"")</f>
        <v>Hobey Arc 4</v>
      </c>
      <c r="B109" s="23" t="str">
        <f>IF(מלאי!D117&lt;&gt;"",מלאי!B117&amp;IF(מלאי!C117&lt;&gt;""," ("&amp;מלאי!C117&amp;")",""),"")</f>
        <v>Hobey Elite (V1)</v>
      </c>
      <c r="C109" s="23" t="str">
        <f>IF(מלאי!D117&lt;&gt;"",מלאי!A117,"")</f>
        <v>OverGarment</v>
      </c>
      <c r="D109" s="23" t="str">
        <f>IF(מלאי!D117&lt;&gt;"",מלאי!H117,"")</f>
        <v>Snirt Snow</v>
      </c>
      <c r="E109" s="23"/>
      <c r="F109" s="23"/>
      <c r="G109" s="23"/>
      <c r="H109" s="23">
        <f>IF(מלאי!D117&lt;&gt;"",מלאי!I117,"")</f>
        <v>0</v>
      </c>
      <c r="I109" s="23"/>
      <c r="J109" s="23"/>
      <c r="K109" s="23"/>
      <c r="L109" s="23" t="e">
        <f>IF(מלאי!D117&lt;&gt;"",מלאי!#REF!,"")</f>
        <v>#REF!</v>
      </c>
    </row>
    <row r="110" spans="1:12" ht="15" customHeight="1" x14ac:dyDescent="0.25">
      <c r="A110" s="23" t="str">
        <f>IF(מלאי!D118&lt;&gt;"",מלאי!D118,"")</f>
        <v>Vehicle HS 1</v>
      </c>
      <c r="B110" s="23" t="str">
        <f>IF(מלאי!D118&lt;&gt;"",מלאי!B118&amp;IF(מלאי!C118&lt;&gt;""," ("&amp;מלאי!C118&amp;")",""),"")</f>
        <v/>
      </c>
      <c r="C110" s="23" t="str">
        <f>IF(מלאי!D118&lt;&gt;"",מלאי!A118,"")</f>
        <v>Platform Hide Site</v>
      </c>
      <c r="D110" s="23" t="str">
        <f>IF(מלאי!D118&lt;&gt;"",מלאי!H118,"")</f>
        <v>Desert-Green</v>
      </c>
      <c r="E110" s="23"/>
      <c r="F110" s="23"/>
      <c r="G110" s="23"/>
      <c r="H110" s="23" t="str">
        <f>IF(מלאי!D118&lt;&gt;"",מלאי!I118,"")</f>
        <v>Desert</v>
      </c>
      <c r="I110" s="23"/>
      <c r="J110" s="23"/>
      <c r="K110" s="23"/>
      <c r="L110" s="23" t="e">
        <f>IF(מלאי!D118&lt;&gt;"",מלאי!#REF!,"")</f>
        <v>#REF!</v>
      </c>
    </row>
    <row r="111" spans="1:12" ht="15" customHeight="1" x14ac:dyDescent="0.25">
      <c r="A111" s="23" t="e">
        <f>IF(מלאי!#REF!&lt;&gt;"",מלאי!#REF!,"")</f>
        <v>#REF!</v>
      </c>
      <c r="B111" s="23" t="e">
        <f>IF(מלאי!#REF!&lt;&gt;"",מלאי!#REF!&amp;IF(מלאי!#REF!&lt;&gt;""," ("&amp;מלאי!#REF!&amp;")",""),"")</f>
        <v>#REF!</v>
      </c>
      <c r="C111" s="23" t="e">
        <f>IF(מלאי!#REF!&lt;&gt;"",מלאי!#REF!,"")</f>
        <v>#REF!</v>
      </c>
      <c r="D111" s="23" t="e">
        <f>IF(מלאי!#REF!&lt;&gt;"",מלאי!#REF!,"")</f>
        <v>#REF!</v>
      </c>
      <c r="E111" s="23"/>
      <c r="F111" s="23"/>
      <c r="G111" s="23"/>
      <c r="H111" s="23" t="e">
        <f>IF(מלאי!#REF!&lt;&gt;"",מלאי!#REF!,"")</f>
        <v>#REF!</v>
      </c>
      <c r="I111" s="23"/>
      <c r="J111" s="23"/>
      <c r="K111" s="23"/>
      <c r="L111" s="23" t="e">
        <f>IF(מלאי!#REF!&lt;&gt;"",מלאי!#REF!,"")</f>
        <v>#REF!</v>
      </c>
    </row>
    <row r="112" spans="1:12" ht="15" customHeight="1" x14ac:dyDescent="0.25">
      <c r="A112" s="23" t="e">
        <f>IF(מלאי!#REF!&lt;&gt;"",מלאי!#REF!,"")</f>
        <v>#REF!</v>
      </c>
      <c r="B112" s="23" t="e">
        <f>IF(מלאי!#REF!&lt;&gt;"",מלאי!#REF!&amp;IF(מלאי!#REF!&lt;&gt;""," ("&amp;מלאי!#REF!&amp;")",""),"")</f>
        <v>#REF!</v>
      </c>
      <c r="C112" s="23" t="e">
        <f>IF(מלאי!#REF!&lt;&gt;"",מלאי!#REF!,"")</f>
        <v>#REF!</v>
      </c>
      <c r="D112" s="23" t="e">
        <f>IF(מלאי!#REF!&lt;&gt;"",מלאי!#REF!,"")</f>
        <v>#REF!</v>
      </c>
      <c r="E112" s="23"/>
      <c r="F112" s="23"/>
      <c r="G112" s="23"/>
      <c r="H112" s="23" t="e">
        <f>IF(מלאי!#REF!&lt;&gt;"",מלאי!#REF!,"")</f>
        <v>#REF!</v>
      </c>
      <c r="I112" s="23"/>
      <c r="J112" s="23"/>
      <c r="K112" s="23"/>
      <c r="L112" s="23" t="e">
        <f>IF(מלאי!#REF!&lt;&gt;"",מלאי!#REF!,"")</f>
        <v>#REF!</v>
      </c>
    </row>
    <row r="113" spans="1:12" ht="15" customHeight="1" x14ac:dyDescent="0.25">
      <c r="A113" s="23" t="e">
        <f>IF(מלאי!#REF!&lt;&gt;"",מלאי!#REF!,"")</f>
        <v>#REF!</v>
      </c>
      <c r="B113" s="23" t="e">
        <f>IF(מלאי!#REF!&lt;&gt;"",מלאי!#REF!&amp;IF(מלאי!#REF!&lt;&gt;""," ("&amp;מלאי!#REF!&amp;")",""),"")</f>
        <v>#REF!</v>
      </c>
      <c r="C113" s="23" t="e">
        <f>IF(מלאי!#REF!&lt;&gt;"",מלאי!#REF!,"")</f>
        <v>#REF!</v>
      </c>
      <c r="D113" s="23" t="e">
        <f>IF(מלאי!#REF!&lt;&gt;"",מלאי!#REF!,"")</f>
        <v>#REF!</v>
      </c>
      <c r="E113" s="23"/>
      <c r="F113" s="23"/>
      <c r="G113" s="23"/>
      <c r="H113" s="23" t="e">
        <f>IF(מלאי!#REF!&lt;&gt;"",מלאי!#REF!,"")</f>
        <v>#REF!</v>
      </c>
      <c r="I113" s="23"/>
      <c r="J113" s="23"/>
      <c r="K113" s="23"/>
      <c r="L113" s="23" t="e">
        <f>IF(מלאי!#REF!&lt;&gt;"",מלאי!#REF!,"")</f>
        <v>#REF!</v>
      </c>
    </row>
    <row r="114" spans="1:12" ht="15" customHeight="1" x14ac:dyDescent="0.25">
      <c r="A114" s="23" t="e">
        <f>IF(מלאי!#REF!&lt;&gt;"",מלאי!#REF!,"")</f>
        <v>#REF!</v>
      </c>
      <c r="B114" s="23" t="e">
        <f>IF(מלאי!#REF!&lt;&gt;"",מלאי!#REF!&amp;IF(מלאי!#REF!&lt;&gt;""," ("&amp;מלאי!#REF!&amp;")",""),"")</f>
        <v>#REF!</v>
      </c>
      <c r="C114" s="23" t="e">
        <f>IF(מלאי!#REF!&lt;&gt;"",מלאי!#REF!,"")</f>
        <v>#REF!</v>
      </c>
      <c r="D114" s="23" t="e">
        <f>IF(מלאי!#REF!&lt;&gt;"",מלאי!#REF!,"")</f>
        <v>#REF!</v>
      </c>
      <c r="E114" s="23"/>
      <c r="F114" s="23"/>
      <c r="G114" s="23"/>
      <c r="H114" s="23" t="e">
        <f>IF(מלאי!#REF!&lt;&gt;"",מלאי!#REF!,"")</f>
        <v>#REF!</v>
      </c>
      <c r="I114" s="23"/>
      <c r="J114" s="23"/>
      <c r="K114" s="23"/>
      <c r="L114" s="23" t="e">
        <f>IF(מלאי!#REF!&lt;&gt;"",מלאי!#REF!,"")</f>
        <v>#REF!</v>
      </c>
    </row>
    <row r="115" spans="1:12" ht="15" customHeight="1" x14ac:dyDescent="0.25">
      <c r="A115" s="23" t="str">
        <f>IF(מלאי!D119&lt;&gt;"",מלאי!D119,"")</f>
        <v>Vehicle HS 2</v>
      </c>
      <c r="B115" s="23" t="str">
        <f>IF(מלאי!D119&lt;&gt;"",מלאי!B119&amp;IF(מלאי!C119&lt;&gt;""," ("&amp;מלאי!C119&amp;")",""),"")</f>
        <v/>
      </c>
      <c r="C115" s="23" t="str">
        <f>IF(מלאי!D119&lt;&gt;"",מלאי!A119,"")</f>
        <v>Platform Hide Site</v>
      </c>
      <c r="D115" s="23" t="str">
        <f>IF(מלאי!D119&lt;&gt;"",מלאי!H119,"")</f>
        <v>Desert-Green</v>
      </c>
      <c r="E115" s="23"/>
      <c r="F115" s="23"/>
      <c r="G115" s="23"/>
      <c r="H115" s="23" t="str">
        <f>IF(מלאי!D119&lt;&gt;"",מלאי!I119,"")</f>
        <v>Desert</v>
      </c>
      <c r="I115" s="23"/>
      <c r="J115" s="23"/>
      <c r="K115" s="23"/>
      <c r="L115" s="23" t="e">
        <f>IF(מלאי!D119&lt;&gt;"",מלאי!#REF!,"")</f>
        <v>#REF!</v>
      </c>
    </row>
    <row r="116" spans="1:12" ht="15" customHeight="1" x14ac:dyDescent="0.25">
      <c r="A116" s="23" t="str">
        <f>IF(מלאי!D120&lt;&gt;"",מלאי!D120,"")</f>
        <v>Vehicle HS 3</v>
      </c>
      <c r="B116" s="23" t="str">
        <f>IF(מלאי!D120&lt;&gt;"",מלאי!B120&amp;IF(מלאי!C120&lt;&gt;""," ("&amp;מלאי!C120&amp;")",""),"")</f>
        <v/>
      </c>
      <c r="C116" s="23" t="str">
        <f>IF(מלאי!D120&lt;&gt;"",מלאי!A120,"")</f>
        <v>Platform Hide Site</v>
      </c>
      <c r="D116" s="23" t="str">
        <f>IF(מלאי!D120&lt;&gt;"",מלאי!H120,"")</f>
        <v>Desert-Green</v>
      </c>
      <c r="E116" s="23"/>
      <c r="F116" s="23"/>
      <c r="G116" s="23"/>
      <c r="H116" s="23" t="str">
        <f>IF(מלאי!D120&lt;&gt;"",מלאי!I120,"")</f>
        <v>Desert</v>
      </c>
      <c r="I116" s="23"/>
      <c r="J116" s="23"/>
      <c r="K116" s="23"/>
      <c r="L116" s="23" t="e">
        <f>IF(מלאי!D120&lt;&gt;"",מלאי!#REF!,"")</f>
        <v>#REF!</v>
      </c>
    </row>
    <row r="117" spans="1:12" ht="15" customHeight="1" x14ac:dyDescent="0.25">
      <c r="A117" s="23" t="str">
        <f>IF(מלאי!D121&lt;&gt;"",מלאי!D121,"")</f>
        <v>Vehicle HS 4</v>
      </c>
      <c r="B117" s="23" t="str">
        <f>IF(מלאי!D121&lt;&gt;"",מלאי!B121&amp;IF(מלאי!C121&lt;&gt;""," ("&amp;מלאי!C121&amp;")",""),"")</f>
        <v/>
      </c>
      <c r="C117" s="23" t="str">
        <f>IF(מלאי!D121&lt;&gt;"",מלאי!A121,"")</f>
        <v>Platform Hide Site</v>
      </c>
      <c r="D117" s="23" t="str">
        <f>IF(מלאי!D121&lt;&gt;"",מלאי!H121,"")</f>
        <v>Urban Green</v>
      </c>
      <c r="E117" s="23"/>
      <c r="F117" s="23"/>
      <c r="G117" s="23"/>
      <c r="H117" s="23" t="e">
        <f>IF(מלאי!D121&lt;&gt;"",מלאי!#REF!,"")</f>
        <v>#REF!</v>
      </c>
      <c r="I117" s="23"/>
      <c r="J117" s="23"/>
      <c r="K117" s="23"/>
      <c r="L117" s="23" t="e">
        <f>IF(מלאי!D121&lt;&gt;"",מלאי!#REF!,"")</f>
        <v>#REF!</v>
      </c>
    </row>
    <row r="118" spans="1:12" ht="15" customHeight="1" x14ac:dyDescent="0.25">
      <c r="A118" s="23" t="str">
        <f>IF(מלאי!D122&lt;&gt;"",מלאי!D122,"")</f>
        <v>Vehicle HS 5</v>
      </c>
      <c r="B118" s="23" t="str">
        <f>IF(מלאי!D122&lt;&gt;"",מלאי!B122&amp;IF(מלאי!C122&lt;&gt;""," ("&amp;מלאי!C122&amp;")",""),"")</f>
        <v/>
      </c>
      <c r="C118" s="23" t="str">
        <f>IF(מלאי!D122&lt;&gt;"",מלאי!A122,"")</f>
        <v>Platform Hide Site</v>
      </c>
      <c r="D118" s="23" t="str">
        <f>IF(מלאי!D122&lt;&gt;"",מלאי!H122,"")</f>
        <v>Woodland</v>
      </c>
      <c r="E118" s="23"/>
      <c r="F118" s="23"/>
      <c r="G118" s="23"/>
      <c r="H118" s="23" t="str">
        <f>IF(מלאי!D122&lt;&gt;"",מלאי!I121,"")</f>
        <v>Desert</v>
      </c>
      <c r="I118" s="23"/>
      <c r="J118" s="23"/>
      <c r="K118" s="23"/>
      <c r="L118" s="23" t="e">
        <f>IF(מלאי!D122&lt;&gt;"",מלאי!#REF!,"")</f>
        <v>#REF!</v>
      </c>
    </row>
    <row r="119" spans="1:12" ht="15" customHeight="1" x14ac:dyDescent="0.25">
      <c r="A119" s="23" t="str">
        <f>IF(מלאי!D123&lt;&gt;"",מלאי!D123,"")</f>
        <v>Vehicle HS 6</v>
      </c>
      <c r="B119" s="23" t="str">
        <f>IF(מלאי!D123&lt;&gt;"",מלאי!B123&amp;IF(מלאי!C123&lt;&gt;""," ("&amp;מלאי!C123&amp;")",""),"")</f>
        <v/>
      </c>
      <c r="C119" s="23" t="str">
        <f>IF(מלאי!D123&lt;&gt;"",מלאי!A123,"")</f>
        <v>Platform Hide Site</v>
      </c>
      <c r="D119" s="23">
        <f>IF(מלאי!D123&lt;&gt;"",מלאי!H123,"")</f>
        <v>0</v>
      </c>
      <c r="E119" s="23"/>
      <c r="F119" s="23"/>
      <c r="G119" s="23"/>
      <c r="H119" s="23">
        <f>IF(מלאי!D123&lt;&gt;"",מלאי!I123,"")</f>
        <v>0</v>
      </c>
      <c r="I119" s="23"/>
      <c r="J119" s="23"/>
      <c r="K119" s="23"/>
      <c r="L119" s="23" t="e">
        <f>IF(מלאי!D123&lt;&gt;"",מלאי!#REF!,"")</f>
        <v>#REF!</v>
      </c>
    </row>
    <row r="120" spans="1:12" ht="15" customHeight="1" x14ac:dyDescent="0.25">
      <c r="A120" s="23" t="str">
        <f>IF(מלאי!D124&lt;&gt;"",מלאי!D124,"")</f>
        <v>Bagi HS 1</v>
      </c>
      <c r="B120" s="23" t="str">
        <f>IF(מלאי!D124&lt;&gt;"",מלאי!B124&amp;IF(מלאי!C124&lt;&gt;""," ("&amp;מלאי!C124&amp;")",""),"")</f>
        <v/>
      </c>
      <c r="C120" s="23" t="str">
        <f>IF(מלאי!D124&lt;&gt;"",מלאי!A124,"")</f>
        <v>Platform Hide Site</v>
      </c>
      <c r="D120" s="23">
        <f>IF(מלאי!D124&lt;&gt;"",מלאי!H124,"")</f>
        <v>0</v>
      </c>
      <c r="E120" s="23"/>
      <c r="F120" s="23"/>
      <c r="G120" s="23"/>
      <c r="H120" s="23">
        <f>IF(מלאי!D124&lt;&gt;"",מלאי!I124,"")</f>
        <v>0</v>
      </c>
      <c r="I120" s="23"/>
      <c r="J120" s="23"/>
      <c r="K120" s="23"/>
      <c r="L120" s="23" t="e">
        <f>IF(מלאי!D124&lt;&gt;"",מלאי!#REF!,"")</f>
        <v>#REF!</v>
      </c>
    </row>
    <row r="121" spans="1:12" ht="15" customHeight="1" x14ac:dyDescent="0.25">
      <c r="A121" s="23" t="str">
        <f>IF(מלאי!D125&lt;&gt;"",מלאי!D125,"")</f>
        <v>Bagi HS 1</v>
      </c>
      <c r="B121" s="23" t="str">
        <f>IF(מלאי!D125&lt;&gt;"",מלאי!B125&amp;IF(מלאי!C125&lt;&gt;""," ("&amp;מלאי!C125&amp;")",""),"")</f>
        <v>LC79 (V1)</v>
      </c>
      <c r="C121" s="23" t="str">
        <f>IF(מלאי!D125&lt;&gt;"",מלאי!A125,"")</f>
        <v>Platform Hide Site</v>
      </c>
      <c r="D121" s="23">
        <f>IF(מלאי!D125&lt;&gt;"",מלאי!H125,"")</f>
        <v>0</v>
      </c>
      <c r="E121" s="23"/>
      <c r="F121" s="23"/>
      <c r="G121" s="23"/>
      <c r="H121" s="23">
        <f>IF(מלאי!D125&lt;&gt;"",מלאי!I125,"")</f>
        <v>0</v>
      </c>
      <c r="I121" s="23"/>
      <c r="J121" s="23"/>
      <c r="K121" s="23"/>
      <c r="L121" s="23" t="e">
        <f>IF(מלאי!D125&lt;&gt;"",מלאי!#REF!,"")</f>
        <v>#REF!</v>
      </c>
    </row>
    <row r="122" spans="1:12" ht="15" customHeight="1" x14ac:dyDescent="0.25">
      <c r="A122" s="23" t="str">
        <f>IF(מלאי!D126&lt;&gt;"",מלאי!D126,"")</f>
        <v>A4</v>
      </c>
      <c r="B122" s="23" t="str">
        <f>IF(מלאי!D126&lt;&gt;"",מלאי!B126&amp;IF(מלאי!C126&lt;&gt;""," ("&amp;מלאי!C126&amp;")",""),"")</f>
        <v>Poncho Sahar (V1)</v>
      </c>
      <c r="C122" s="23" t="str">
        <f>IF(מלאי!D126&lt;&gt;"",מלאי!A126,"")</f>
        <v>OverGarment</v>
      </c>
      <c r="D122" s="23" t="str">
        <f>IF(מלאי!D126&lt;&gt;"",מלאי!H126,"")</f>
        <v>Ever-Green</v>
      </c>
      <c r="E122" s="23"/>
      <c r="F122" s="23"/>
      <c r="G122" s="23"/>
      <c r="H122" s="23" t="str">
        <f>IF(מלאי!D126&lt;&gt;"",מלאי!I126,"")</f>
        <v>Desert</v>
      </c>
      <c r="I122" s="23"/>
      <c r="J122" s="23"/>
      <c r="K122" s="23"/>
      <c r="L122" s="23" t="e">
        <f>IF(מלאי!D126&lt;&gt;"",מלאי!#REF!,"")</f>
        <v>#REF!</v>
      </c>
    </row>
    <row r="123" spans="1:12" ht="15" customHeight="1" x14ac:dyDescent="0.25">
      <c r="A123" s="23" t="str">
        <f>IF(מלאי!D127&lt;&gt;"",מלאי!D127,"")</f>
        <v>Gal 1</v>
      </c>
      <c r="B123" s="23" t="str">
        <f>IF(מלאי!D127&lt;&gt;"",מלאי!B127&amp;IF(מלאי!C127&lt;&gt;""," ("&amp;מלאי!C127&amp;")",""),"")</f>
        <v>Gal Suit (V1)</v>
      </c>
      <c r="C123" s="23" t="str">
        <f>IF(מלאי!D127&lt;&gt;"",מלאי!A127,"")</f>
        <v>OverGarment</v>
      </c>
      <c r="D123" s="23" t="str">
        <f>IF(מלאי!D127&lt;&gt;"",מלאי!H127,"")</f>
        <v>Ever-Green</v>
      </c>
      <c r="E123" s="23"/>
      <c r="F123" s="23"/>
      <c r="G123" s="23"/>
      <c r="H123" s="23" t="str">
        <f>IF(מלאי!D127&lt;&gt;"",מלאי!I127,"")</f>
        <v>Desert</v>
      </c>
      <c r="I123" s="23"/>
      <c r="J123" s="23"/>
      <c r="K123" s="23"/>
      <c r="L123" s="23" t="e">
        <f>IF(מלאי!D127&lt;&gt;"",מלאי!#REF!,"")</f>
        <v>#REF!</v>
      </c>
    </row>
    <row r="124" spans="1:12" ht="15" customHeight="1" x14ac:dyDescent="0.25">
      <c r="A124" s="23" t="str">
        <f>IF(מלאי!D128&lt;&gt;"",מלאי!D128,"")</f>
        <v>Inbar A7</v>
      </c>
      <c r="B124" s="23" t="str">
        <f>IF(מלאי!D128&lt;&gt;"",מלאי!B128&amp;IF(מלאי!C128&lt;&gt;""," ("&amp;מלאי!C128&amp;")",""),"")</f>
        <v>Poncho Inbar (V1)</v>
      </c>
      <c r="C124" s="23" t="str">
        <f>IF(מלאי!D128&lt;&gt;"",מלאי!A128,"")</f>
        <v>OverGarment</v>
      </c>
      <c r="D124" s="23" t="str">
        <f>IF(מלאי!D128&lt;&gt;"",מלאי!H128,"")</f>
        <v>Forest Green</v>
      </c>
      <c r="E124" s="23"/>
      <c r="F124" s="23"/>
      <c r="G124" s="23"/>
      <c r="H124" s="23" t="str">
        <f>IF(מלאי!D128&lt;&gt;"",מלאי!I128,"")</f>
        <v>Desert Coyote</v>
      </c>
      <c r="I124" s="23"/>
      <c r="J124" s="23"/>
      <c r="K124" s="23"/>
      <c r="L124" s="23" t="e">
        <f>IF(מלאי!D128&lt;&gt;"",מלאי!#REF!,"")</f>
        <v>#REF!</v>
      </c>
    </row>
    <row r="125" spans="1:12" ht="15" customHeight="1" x14ac:dyDescent="0.25">
      <c r="A125" s="23" t="str">
        <f>IF(מלאי!D129&lt;&gt;"",מלאי!D129,"")</f>
        <v/>
      </c>
      <c r="B125" s="23" t="str">
        <f>IF(מלאי!D129&lt;&gt;"",מלאי!B129&amp;IF(מלאי!C129&lt;&gt;""," ("&amp;מלאי!C129&amp;")",""),"")</f>
        <v/>
      </c>
      <c r="C125" s="23" t="str">
        <f>IF(מלאי!D129&lt;&gt;"",מלאי!A129,"")</f>
        <v/>
      </c>
      <c r="D125" s="23" t="str">
        <f>IF(מלאי!D129&lt;&gt;"",מלאי!H129,"")</f>
        <v/>
      </c>
      <c r="E125" s="23"/>
      <c r="F125" s="23"/>
      <c r="G125" s="23"/>
      <c r="H125" s="23" t="str">
        <f>IF(מלאי!D129&lt;&gt;"",מלאי!I129,"")</f>
        <v/>
      </c>
      <c r="I125" s="23"/>
      <c r="J125" s="23"/>
      <c r="K125" s="23"/>
      <c r="L125" s="23" t="str">
        <f>IF(מלאי!D129&lt;&gt;"",מלאי!#REF!,"")</f>
        <v/>
      </c>
    </row>
    <row r="126" spans="1:12" ht="15" customHeight="1" x14ac:dyDescent="0.25">
      <c r="A126" s="23" t="str">
        <f>IF(מלאי!D130&lt;&gt;"",מלאי!D130,"")</f>
        <v/>
      </c>
      <c r="B126" s="23" t="str">
        <f>IF(מלאי!D130&lt;&gt;"",מלאי!B130&amp;IF(מלאי!C130&lt;&gt;""," ("&amp;מלאי!C130&amp;")",""),"")</f>
        <v/>
      </c>
      <c r="C126" s="23" t="str">
        <f>IF(מלאי!D130&lt;&gt;"",מלאי!A130,"")</f>
        <v/>
      </c>
      <c r="D126" s="23" t="str">
        <f>IF(מלאי!D130&lt;&gt;"",מלאי!H130,"")</f>
        <v/>
      </c>
      <c r="E126" s="23"/>
      <c r="F126" s="23"/>
      <c r="G126" s="23"/>
      <c r="H126" s="23" t="str">
        <f>IF(מלאי!D130&lt;&gt;"",מלאי!I130,"")</f>
        <v/>
      </c>
      <c r="I126" s="23"/>
      <c r="J126" s="23"/>
      <c r="K126" s="23"/>
      <c r="L126" s="23" t="str">
        <f>IF(מלאי!D130&lt;&gt;"",מלאי!#REF!,"")</f>
        <v/>
      </c>
    </row>
    <row r="127" spans="1:12" ht="15" customHeight="1" x14ac:dyDescent="0.25">
      <c r="A127" s="23" t="str">
        <f>IF(מלאי!D131&lt;&gt;"",מלאי!D131,"")</f>
        <v>מאלט - לMRZR</v>
      </c>
      <c r="B127" s="23" t="str">
        <f>IF(מלאי!D131&lt;&gt;"",מלאי!B131&amp;IF(מלאי!C131&lt;&gt;""," ("&amp;מלאי!C131&amp;")",""),"")</f>
        <v>חלקים של עמדות</v>
      </c>
      <c r="C127" s="23" t="str">
        <f>IF(מלאי!D131&lt;&gt;"",מלאי!A131,"")</f>
        <v>Accessories</v>
      </c>
      <c r="D127" s="23">
        <f>IF(מלאי!D131&lt;&gt;"",מלאי!H131,"")</f>
        <v>0</v>
      </c>
      <c r="E127" s="23"/>
      <c r="F127" s="23"/>
      <c r="G127" s="23"/>
      <c r="H127" s="23">
        <f>IF(מלאי!D131&lt;&gt;"",מלאי!I131,"")</f>
        <v>0</v>
      </c>
      <c r="I127" s="23"/>
      <c r="J127" s="23"/>
      <c r="K127" s="23"/>
      <c r="L127" s="23" t="e">
        <f>IF(מלאי!D131&lt;&gt;"",מלאי!#REF!,"")</f>
        <v>#REF!</v>
      </c>
    </row>
    <row r="128" spans="1:12" ht="15" customHeight="1" x14ac:dyDescent="0.25">
      <c r="A128" s="23" t="str">
        <f>IF(מלאי!D132&lt;&gt;"",מלאי!D132,"")</f>
        <v>גיל מחסן תחתון</v>
      </c>
      <c r="B128" s="23" t="str">
        <f>IF(מלאי!D132&lt;&gt;"",מלאי!B132&amp;IF(מלאי!C132&lt;&gt;""," ("&amp;מלאי!C132&amp;")",""),"")</f>
        <v>OverWatch (ATGM) HS (V1)</v>
      </c>
      <c r="C128" s="23" t="str">
        <f>IF(מלאי!D132&lt;&gt;"",מלאי!A132,"")</f>
        <v>Hide Site</v>
      </c>
      <c r="D128" s="23" t="str">
        <f>IF(מלאי!D132&lt;&gt;"",מלאי!H132,"")</f>
        <v>Ever-Green</v>
      </c>
      <c r="E128" s="23"/>
      <c r="F128" s="23"/>
      <c r="G128" s="23"/>
      <c r="H128" s="23" t="str">
        <f>IF(מלאי!D132&lt;&gt;"",מלאי!I132,"")</f>
        <v>Desert</v>
      </c>
      <c r="I128" s="23"/>
      <c r="J128" s="23"/>
      <c r="K128" s="23"/>
      <c r="L128" s="23" t="e">
        <f>IF(מלאי!D132&lt;&gt;"",מלאי!#REF!,"")</f>
        <v>#REF!</v>
      </c>
    </row>
    <row r="129" spans="1:12" ht="15" customHeight="1" x14ac:dyDescent="0.25">
      <c r="A129" s="23" t="str">
        <f>IF(מלאי!D133&lt;&gt;"",מלאי!D133,"")</f>
        <v>גיל בטי מחסן תחתון</v>
      </c>
      <c r="B129" s="23" t="str">
        <f>IF(מלאי!D133&lt;&gt;"",מלאי!B133&amp;IF(מלאי!C133&lt;&gt;""," ("&amp;מלאי!C133&amp;")",""),"")</f>
        <v>OverWatch (ATGM) HS (V1)</v>
      </c>
      <c r="C129" s="23" t="str">
        <f>IF(מלאי!D133&lt;&gt;"",מלאי!A133,"")</f>
        <v>Hide Site</v>
      </c>
      <c r="D129" s="23" t="str">
        <f>IF(מלאי!D133&lt;&gt;"",מלאי!H133,"")</f>
        <v>Ever-Green</v>
      </c>
      <c r="E129" s="23"/>
      <c r="F129" s="23"/>
      <c r="G129" s="23"/>
      <c r="H129" s="23" t="str">
        <f>IF(מלאי!D133&lt;&gt;"",מלאי!I133,"")</f>
        <v>Desert</v>
      </c>
      <c r="I129" s="23"/>
      <c r="J129" s="23"/>
      <c r="K129" s="23"/>
      <c r="L129" s="23" t="e">
        <f>IF(מלאי!D133&lt;&gt;"",מלאי!#REF!,"")</f>
        <v>#REF!</v>
      </c>
    </row>
    <row r="130" spans="1:12" ht="15" customHeight="1" x14ac:dyDescent="0.25">
      <c r="A130" s="23" t="str">
        <f>IF(מלאי!D134&lt;&gt;"",מלאי!D134,"")</f>
        <v>3.60 מחסן תחתון</v>
      </c>
      <c r="B130" s="23" t="str">
        <f>IF(מלאי!D134&lt;&gt;"",מלאי!B134&amp;IF(מלאי!C134&lt;&gt;""," ("&amp;מלאי!C134&amp;")",""),"")</f>
        <v>Operators HS (V1)</v>
      </c>
      <c r="C130" s="23" t="str">
        <f>IF(מלאי!D134&lt;&gt;"",מלאי!A134,"")</f>
        <v>Hide Site</v>
      </c>
      <c r="D130" s="23" t="str">
        <f>IF(מלאי!D134&lt;&gt;"",מלאי!H134,"")</f>
        <v>Desert</v>
      </c>
      <c r="E130" s="23"/>
      <c r="F130" s="23"/>
      <c r="G130" s="23"/>
      <c r="H130" s="23" t="str">
        <f>IF(מלאי!D134&lt;&gt;"",מלאי!I134,"")</f>
        <v>Desert-Green</v>
      </c>
      <c r="I130" s="23"/>
      <c r="J130" s="23"/>
      <c r="K130" s="23"/>
      <c r="L130" s="23" t="e">
        <f>IF(מלאי!D134&lt;&gt;"",מלאי!#REF!,"")</f>
        <v>#REF!</v>
      </c>
    </row>
    <row r="131" spans="1:12" ht="15" customHeight="1" x14ac:dyDescent="0.25">
      <c r="A131" s="23" t="str">
        <f>IF(מלאי!D135&lt;&gt;"",מלאי!D135,"")</f>
        <v>LC - 1</v>
      </c>
      <c r="B131" s="23" t="str">
        <f>IF(מלאי!D135&lt;&gt;"",מלאי!B135&amp;IF(מלאי!C135&lt;&gt;""," ("&amp;מלאי!C135&amp;")",""),"")</f>
        <v>LC79 (V1)</v>
      </c>
      <c r="C131" s="23" t="str">
        <f>IF(מלאי!D135&lt;&gt;"",מלאי!A135,"")</f>
        <v>Platform Hide Site</v>
      </c>
      <c r="D131" s="23" t="str">
        <f>IF(מלאי!D135&lt;&gt;"",מלאי!H135,"")</f>
        <v>Desert</v>
      </c>
      <c r="E131" s="23"/>
      <c r="F131" s="23"/>
      <c r="G131" s="23"/>
      <c r="H131" s="23" t="str">
        <f>IF(מלאי!D135&lt;&gt;"",מלאי!I135,"")</f>
        <v>Desert-Green</v>
      </c>
      <c r="I131" s="23"/>
      <c r="J131" s="23"/>
      <c r="K131" s="23"/>
      <c r="L131" s="23" t="e">
        <f>IF(מלאי!D135&lt;&gt;"",מלאי!#REF!,"")</f>
        <v>#REF!</v>
      </c>
    </row>
    <row r="132" spans="1:12" ht="15" customHeight="1" x14ac:dyDescent="0.25">
      <c r="A132" s="23" t="str">
        <f>IF(מלאי!D136&lt;&gt;"",מלאי!D136,"")</f>
        <v>LC - 2</v>
      </c>
      <c r="B132" s="23" t="str">
        <f>IF(מלאי!D136&lt;&gt;"",מלאי!B136&amp;IF(מלאי!C136&lt;&gt;""," ("&amp;מלאי!C136&amp;")",""),"")</f>
        <v>LC79 (V1)</v>
      </c>
      <c r="C132" s="23" t="str">
        <f>IF(מלאי!D136&lt;&gt;"",מלאי!A136,"")</f>
        <v>Platform Hide Site</v>
      </c>
      <c r="D132" s="23" t="str">
        <f>IF(מלאי!D136&lt;&gt;"",מלאי!H136,"")</f>
        <v>Desert</v>
      </c>
      <c r="E132" s="23"/>
      <c r="F132" s="23"/>
      <c r="G132" s="23"/>
      <c r="H132" s="23" t="str">
        <f>IF(מלאי!D136&lt;&gt;"",מלאי!I136,"")</f>
        <v>Desert-Green</v>
      </c>
      <c r="I132" s="23"/>
      <c r="J132" s="23"/>
      <c r="K132" s="23"/>
      <c r="L132" s="23" t="e">
        <f>IF(מלאי!D136&lt;&gt;"",מלאי!#REF!,"")</f>
        <v>#REF!</v>
      </c>
    </row>
    <row r="133" spans="1:12" ht="15" customHeight="1" x14ac:dyDescent="0.25">
      <c r="A133" s="23" t="str">
        <f>IF(מלאי!D137&lt;&gt;"",מלאי!D137,"")</f>
        <v>רשת הצללה להדגמות</v>
      </c>
      <c r="B133" s="23" t="str">
        <f>IF(מלאי!D137&lt;&gt;"",מלאי!B137&amp;IF(מלאי!C137&lt;&gt;""," ("&amp;מלאי!C137&amp;")",""),"")</f>
        <v>רשת הצללה (V1)</v>
      </c>
      <c r="C133" s="23" t="str">
        <f>IF(מלאי!D137&lt;&gt;"",מלאי!A137,"")</f>
        <v>Platform Hide Site</v>
      </c>
      <c r="D133" s="23" t="str">
        <f>IF(מלאי!D137&lt;&gt;"",מלאי!H137,"")</f>
        <v>Desert</v>
      </c>
      <c r="E133" s="23"/>
      <c r="F133" s="23"/>
      <c r="G133" s="23"/>
      <c r="H133" s="23" t="str">
        <f>IF(מלאי!D137&lt;&gt;"",מלאי!I137,"")</f>
        <v>Desert-Green</v>
      </c>
      <c r="I133" s="23"/>
      <c r="J133" s="23"/>
      <c r="K133" s="23"/>
      <c r="L133" s="23" t="e">
        <f>IF(מלאי!D137&lt;&gt;"",מלאי!#REF!,"")</f>
        <v>#REF!</v>
      </c>
    </row>
    <row r="134" spans="1:12" ht="15" customHeight="1" x14ac:dyDescent="0.25">
      <c r="A134" s="23" t="str">
        <f>IF(מלאי!D138&lt;&gt;"",מלאי!D138,"")</f>
        <v>דוגמא GMV לא מטופל</v>
      </c>
      <c r="B134" s="23" t="str">
        <f>IF(מלאי!D138&lt;&gt;"",מלאי!B138&amp;IF(מלאי!C138&lt;&gt;""," ("&amp;מלאי!C138&amp;")",""),"")</f>
        <v>GMV</v>
      </c>
      <c r="C134" s="23" t="str">
        <f>IF(מלאי!D138&lt;&gt;"",מלאי!A138,"")</f>
        <v>Platform Hide Site</v>
      </c>
      <c r="D134" s="23" t="str">
        <f>IF(מלאי!D138&lt;&gt;"",מלאי!H138,"")</f>
        <v>Desert</v>
      </c>
      <c r="E134" s="23"/>
      <c r="F134" s="23"/>
      <c r="G134" s="23"/>
      <c r="H134" s="23" t="str">
        <f>IF(מלאי!D138&lt;&gt;"",מלאי!I138,"")</f>
        <v>Desert-Green</v>
      </c>
      <c r="I134" s="23"/>
      <c r="J134" s="23"/>
      <c r="K134" s="23"/>
      <c r="L134" s="23" t="e">
        <f>IF(מלאי!D138&lt;&gt;"",מלאי!#REF!,"")</f>
        <v>#REF!</v>
      </c>
    </row>
    <row r="135" spans="1:12" ht="15" customHeight="1" x14ac:dyDescent="0.25">
      <c r="A135" s="23" t="str">
        <f>IF(מלאי!D139&lt;&gt;"",מלאי!D139,"")</f>
        <v>רשת חומרי חוץ 9*9</v>
      </c>
      <c r="B135" s="23" t="str">
        <f>IF(מלאי!D139&lt;&gt;"",מלאי!B139&amp;IF(מלאי!C139&lt;&gt;""," ("&amp;מלאי!C139&amp;")",""),"")</f>
        <v>חלקים של עמדות</v>
      </c>
      <c r="C135" s="23" t="str">
        <f>IF(מלאי!D139&lt;&gt;"",מלאי!A139,"")</f>
        <v>Accessories</v>
      </c>
      <c r="D135" s="23">
        <f>IF(מלאי!D139&lt;&gt;"",מלאי!H139,"")</f>
        <v>0</v>
      </c>
      <c r="E135" s="23"/>
      <c r="F135" s="23"/>
      <c r="G135" s="23"/>
      <c r="H135" s="23">
        <f>IF(מלאי!D139&lt;&gt;"",מלאי!I139,"")</f>
        <v>0</v>
      </c>
      <c r="I135" s="23"/>
      <c r="J135" s="23"/>
      <c r="K135" s="23"/>
      <c r="L135" s="23" t="e">
        <f>IF(מלאי!D139&lt;&gt;"",מלאי!#REF!,"")</f>
        <v>#REF!</v>
      </c>
    </row>
    <row r="136" spans="1:12" ht="15" customHeight="1" x14ac:dyDescent="0.25">
      <c r="A136" s="23" t="str">
        <f>IF(מלאי!D140&lt;&gt;"",מלאי!D140,"")</f>
        <v>רשת לא ידועה 1</v>
      </c>
      <c r="B136" s="23" t="str">
        <f>IF(מלאי!D140&lt;&gt;"",מלאי!B140&amp;IF(מלאי!C140&lt;&gt;""," ("&amp;מלאי!C140&amp;")",""),"")</f>
        <v/>
      </c>
      <c r="C136" s="23" t="str">
        <f>IF(מלאי!D140&lt;&gt;"",מלאי!A140,"")</f>
        <v>Platform Hide Site</v>
      </c>
      <c r="D136" s="23">
        <f>IF(מלאי!D140&lt;&gt;"",מלאי!H140,"")</f>
        <v>0</v>
      </c>
      <c r="E136" s="23"/>
      <c r="F136" s="23"/>
      <c r="G136" s="23"/>
      <c r="H136" s="23">
        <f>IF(מלאי!D140&lt;&gt;"",מלאי!I140,"")</f>
        <v>0</v>
      </c>
      <c r="I136" s="23"/>
      <c r="J136" s="23"/>
      <c r="K136" s="23"/>
      <c r="L136" s="23" t="e">
        <f>IF(מלאי!D140&lt;&gt;"",מלאי!#REF!,"")</f>
        <v>#REF!</v>
      </c>
    </row>
    <row r="137" spans="1:12" ht="15" customHeight="1" x14ac:dyDescent="0.25">
      <c r="A137" s="23" t="str">
        <f>IF(מלאי!D141&lt;&gt;"",מלאי!D141,"")</f>
        <v>רשת לא ידועה 2</v>
      </c>
      <c r="B137" s="23" t="str">
        <f>IF(מלאי!D141&lt;&gt;"",מלאי!B141&amp;IF(מלאי!C141&lt;&gt;""," ("&amp;מלאי!C141&amp;")",""),"")</f>
        <v/>
      </c>
      <c r="C137" s="23" t="str">
        <f>IF(מלאי!D141&lt;&gt;"",מלאי!A141,"")</f>
        <v>Platform Hide Site</v>
      </c>
      <c r="D137" s="23">
        <f>IF(מלאי!D141&lt;&gt;"",מלאי!H141,"")</f>
        <v>0</v>
      </c>
      <c r="E137" s="23"/>
      <c r="F137" s="23"/>
      <c r="G137" s="23"/>
      <c r="H137" s="23">
        <f>IF(מלאי!D141&lt;&gt;"",מלאי!I141,"")</f>
        <v>0</v>
      </c>
      <c r="I137" s="23"/>
      <c r="J137" s="23"/>
      <c r="K137" s="23"/>
      <c r="L137" s="23" t="e">
        <f>IF(מלאי!D141&lt;&gt;"",מלאי!#REF!,"")</f>
        <v>#REF!</v>
      </c>
    </row>
    <row r="138" spans="1:12" ht="15" customHeight="1" x14ac:dyDescent="0.25">
      <c r="A138" s="23" t="str">
        <f>IF(מלאי!D142&lt;&gt;"",מלאי!D142,"")</f>
        <v>רשת לא ידועה 3</v>
      </c>
      <c r="B138" s="23" t="str">
        <f>IF(מלאי!D142&lt;&gt;"",מלאי!B142&amp;IF(מלאי!C142&lt;&gt;""," ("&amp;מלאי!C142&amp;")",""),"")</f>
        <v/>
      </c>
      <c r="C138" s="23" t="str">
        <f>IF(מלאי!D142&lt;&gt;"",מלאי!A142,"")</f>
        <v>Platform Hide Site</v>
      </c>
      <c r="D138" s="23">
        <f>IF(מלאי!D142&lt;&gt;"",מלאי!H142,"")</f>
        <v>0</v>
      </c>
      <c r="E138" s="23"/>
      <c r="F138" s="23"/>
      <c r="G138" s="23"/>
      <c r="H138" s="23">
        <f>IF(מלאי!D142&lt;&gt;"",מלאי!I142,"")</f>
        <v>0</v>
      </c>
      <c r="I138" s="23"/>
      <c r="J138" s="23"/>
      <c r="K138" s="23"/>
      <c r="L138" s="23" t="e">
        <f>IF(מלאי!D142&lt;&gt;"",מלאי!#REF!,"")</f>
        <v>#REF!</v>
      </c>
    </row>
    <row r="139" spans="1:12" ht="15" customHeight="1" x14ac:dyDescent="0.25">
      <c r="A139" s="23" t="str">
        <f>IF(מלאי!D143&lt;&gt;"",מלאי!D143,"")</f>
        <v>עמדת חוד 1</v>
      </c>
      <c r="B139" s="23" t="str">
        <f>IF(מלאי!D143&lt;&gt;"",מלאי!B143&amp;IF(מלאי!C143&lt;&gt;""," ("&amp;מלאי!C143&amp;")",""),"")</f>
        <v>עמדת חוד (V1)</v>
      </c>
      <c r="C139" s="23" t="str">
        <f>IF(מלאי!D143&lt;&gt;"",מלאי!A143,"")</f>
        <v>Hide Site</v>
      </c>
      <c r="D139" s="23" t="str">
        <f>IF(מלאי!D143&lt;&gt;"",מלאי!H143,"")</f>
        <v>Ever-Green</v>
      </c>
      <c r="E139" s="23"/>
      <c r="F139" s="23"/>
      <c r="G139" s="23"/>
      <c r="H139" s="23" t="str">
        <f>IF(מלאי!D143&lt;&gt;"",מלאי!I143,"")</f>
        <v>Desert</v>
      </c>
      <c r="I139" s="23"/>
      <c r="J139" s="23"/>
      <c r="K139" s="23"/>
      <c r="L139" s="23" t="e">
        <f>IF(מלאי!D143&lt;&gt;"",מלאי!#REF!,"")</f>
        <v>#REF!</v>
      </c>
    </row>
    <row r="140" spans="1:12" ht="15" customHeight="1" x14ac:dyDescent="0.25">
      <c r="A140" s="23" t="str">
        <f>IF(מלאי!D144&lt;&gt;"",מלאי!D144,"")</f>
        <v>עמדת חוד 2</v>
      </c>
      <c r="B140" s="23" t="str">
        <f>IF(מלאי!D144&lt;&gt;"",מלאי!B144&amp;IF(מלאי!C144&lt;&gt;""," ("&amp;מלאי!C144&amp;")",""),"")</f>
        <v>עמדת חוד (V1)</v>
      </c>
      <c r="C140" s="23" t="str">
        <f>IF(מלאי!D144&lt;&gt;"",מלאי!A144,"")</f>
        <v>Hide Site</v>
      </c>
      <c r="D140" s="23" t="str">
        <f>IF(מלאי!D144&lt;&gt;"",מלאי!H144,"")</f>
        <v>Ever-Green</v>
      </c>
      <c r="E140" s="23"/>
      <c r="F140" s="23"/>
      <c r="G140" s="23"/>
      <c r="H140" s="23" t="str">
        <f>IF(מלאי!D144&lt;&gt;"",מלאי!I144,"")</f>
        <v>Desert</v>
      </c>
      <c r="I140" s="23"/>
      <c r="J140" s="23"/>
      <c r="K140" s="23"/>
      <c r="L140" s="23" t="e">
        <f>IF(מלאי!D144&lt;&gt;"",מלאי!#REF!,"")</f>
        <v>#REF!</v>
      </c>
    </row>
    <row r="141" spans="1:12" ht="15" customHeight="1" x14ac:dyDescent="0.25">
      <c r="A141" s="23" t="str">
        <f>IF(מלאי!D145&lt;&gt;"",מלאי!D145,"")</f>
        <v/>
      </c>
      <c r="B141" s="23" t="str">
        <f>IF(מלאי!D145&lt;&gt;"",מלאי!B145&amp;IF(מלאי!C145&lt;&gt;""," ("&amp;מלאי!C145&amp;")",""),"")</f>
        <v/>
      </c>
      <c r="C141" s="23" t="str">
        <f>IF(מלאי!D145&lt;&gt;"",מלאי!A145,"")</f>
        <v/>
      </c>
      <c r="D141" s="23" t="str">
        <f>IF(מלאי!D145&lt;&gt;"",מלאי!H145,"")</f>
        <v/>
      </c>
      <c r="E141" s="23"/>
      <c r="F141" s="23"/>
      <c r="G141" s="23"/>
      <c r="H141" s="23" t="str">
        <f>IF(מלאי!D145&lt;&gt;"",מלאי!I145,"")</f>
        <v/>
      </c>
      <c r="I141" s="23"/>
      <c r="J141" s="23"/>
      <c r="K141" s="23"/>
      <c r="L141" s="23" t="str">
        <f>IF(מלאי!D145&lt;&gt;"",מלאי!#REF!,"")</f>
        <v/>
      </c>
    </row>
    <row r="142" spans="1:12" ht="15" customHeight="1" x14ac:dyDescent="0.25">
      <c r="A142" s="23" t="str">
        <f>IF(מלאי!D146&lt;&gt;"",מלאי!D146,"")</f>
        <v/>
      </c>
      <c r="B142" s="23" t="str">
        <f>IF(מלאי!D146&lt;&gt;"",מלאי!B146&amp;IF(מלאי!C146&lt;&gt;""," ("&amp;מלאי!C146&amp;")",""),"")</f>
        <v/>
      </c>
      <c r="C142" s="23" t="str">
        <f>IF(מלאי!D146&lt;&gt;"",מלאי!A146,"")</f>
        <v/>
      </c>
      <c r="D142" s="23" t="str">
        <f>IF(מלאי!D146&lt;&gt;"",מלאי!H146,"")</f>
        <v/>
      </c>
      <c r="E142" s="23"/>
      <c r="F142" s="23"/>
      <c r="G142" s="23"/>
      <c r="H142" s="23" t="str">
        <f>IF(מלאי!D146&lt;&gt;"",מלאי!I146,"")</f>
        <v/>
      </c>
      <c r="I142" s="23"/>
      <c r="J142" s="23"/>
      <c r="K142" s="23"/>
      <c r="L142" s="23" t="str">
        <f>IF(מלאי!D146&lt;&gt;"",מלאי!#REF!,"")</f>
        <v/>
      </c>
    </row>
    <row r="143" spans="1:12" ht="15" customHeight="1" x14ac:dyDescent="0.25">
      <c r="A143" s="23" t="str">
        <f>IF(מלאי!D147&lt;&gt;"",מלאי!D147,"")</f>
        <v/>
      </c>
      <c r="B143" s="23" t="str">
        <f>IF(מלאי!D147&lt;&gt;"",מלאי!B147&amp;IF(מלאי!C147&lt;&gt;""," ("&amp;מלאי!C147&amp;")",""),"")</f>
        <v/>
      </c>
      <c r="C143" s="23" t="str">
        <f>IF(מלאי!D147&lt;&gt;"",מלאי!A147,"")</f>
        <v/>
      </c>
      <c r="D143" s="23" t="str">
        <f>IF(מלאי!D147&lt;&gt;"",מלאי!H147,"")</f>
        <v/>
      </c>
      <c r="E143" s="23"/>
      <c r="F143" s="23"/>
      <c r="G143" s="23"/>
      <c r="H143" s="23" t="str">
        <f>IF(מלאי!D147&lt;&gt;"",מלאי!I147,"")</f>
        <v/>
      </c>
      <c r="I143" s="23"/>
      <c r="J143" s="23"/>
      <c r="K143" s="23"/>
      <c r="L143" s="23" t="str">
        <f>IF(מלאי!D147&lt;&gt;"",מלאי!#REF!,"")</f>
        <v/>
      </c>
    </row>
    <row r="144" spans="1:12" ht="15" customHeight="1" x14ac:dyDescent="0.25">
      <c r="A144" s="23" t="str">
        <f>IF(מלאי!D148&lt;&gt;"",מלאי!D148,"")</f>
        <v/>
      </c>
      <c r="B144" s="23" t="str">
        <f>IF(מלאי!D148&lt;&gt;"",מלאי!B148&amp;IF(מלאי!C148&lt;&gt;""," ("&amp;מלאי!C148&amp;")",""),"")</f>
        <v/>
      </c>
      <c r="C144" s="23" t="str">
        <f>IF(מלאי!D148&lt;&gt;"",מלאי!A148,"")</f>
        <v/>
      </c>
      <c r="D144" s="23" t="str">
        <f>IF(מלאי!D148&lt;&gt;"",מלאי!H148,"")</f>
        <v/>
      </c>
      <c r="E144" s="23"/>
      <c r="F144" s="23"/>
      <c r="G144" s="23"/>
      <c r="H144" s="23" t="str">
        <f>IF(מלאי!D148&lt;&gt;"",מלאי!I148,"")</f>
        <v/>
      </c>
      <c r="I144" s="23"/>
      <c r="J144" s="23"/>
      <c r="K144" s="23"/>
      <c r="L144" s="23" t="str">
        <f>IF(מלאי!D148&lt;&gt;"",מלאי!#REF!,"")</f>
        <v/>
      </c>
    </row>
    <row r="145" spans="1:12" ht="15" customHeight="1" x14ac:dyDescent="0.25">
      <c r="A145" s="23" t="str">
        <f>IF(מלאי!D149&lt;&gt;"",מלאי!D149,"")</f>
        <v>מחסן עליון גיל 1</v>
      </c>
      <c r="B145" s="23" t="str">
        <f>IF(מלאי!D149&lt;&gt;"",מלאי!B149&amp;IF(מלאי!C149&lt;&gt;""," ("&amp;מלאי!C149&amp;")",""),"")</f>
        <v>OverWatch (ATGM) HS</v>
      </c>
      <c r="C145" s="23" t="str">
        <f>IF(מלאי!D149&lt;&gt;"",מלאי!A149,"")</f>
        <v>Platform Hide Site</v>
      </c>
      <c r="D145" s="23" t="str">
        <f>IF(מלאי!D149&lt;&gt;"",מלאי!H149,"")</f>
        <v>Desert-Green</v>
      </c>
      <c r="E145" s="23"/>
      <c r="F145" s="23"/>
      <c r="G145" s="23"/>
      <c r="H145" s="23" t="str">
        <f>IF(מלאי!D149&lt;&gt;"",מלאי!I149,"")</f>
        <v>Desert</v>
      </c>
      <c r="I145" s="23"/>
      <c r="J145" s="23"/>
      <c r="K145" s="23"/>
      <c r="L145" s="23" t="e">
        <f>IF(מלאי!D149&lt;&gt;"",מלאי!#REF!,"")</f>
        <v>#REF!</v>
      </c>
    </row>
    <row r="146" spans="1:12" ht="15" customHeight="1" x14ac:dyDescent="0.25">
      <c r="A146" s="23" t="str">
        <f>IF(מלאי!D150&lt;&gt;"",מלאי!D150,"")</f>
        <v>מחסן עליון באגי 1</v>
      </c>
      <c r="B146" s="23" t="str">
        <f>IF(מלאי!D150&lt;&gt;"",מלאי!B150&amp;IF(מלאי!C150&lt;&gt;""," ("&amp;מלאי!C150&amp;")",""),"")</f>
        <v xml:space="preserve"> (bagi)</v>
      </c>
      <c r="C146" s="23" t="str">
        <f>IF(מלאי!D150&lt;&gt;"",מלאי!A150,"")</f>
        <v>Platform Hide Site</v>
      </c>
      <c r="D146" s="23" t="str">
        <f>IF(מלאי!D150&lt;&gt;"",מלאי!H150,"")</f>
        <v>Ever-Green</v>
      </c>
      <c r="E146" s="23"/>
      <c r="F146" s="23"/>
      <c r="G146" s="23"/>
      <c r="H146" s="23" t="str">
        <f>IF(מלאי!D150&lt;&gt;"",מלאי!I150,"")</f>
        <v>Desert</v>
      </c>
      <c r="I146" s="23"/>
      <c r="J146" s="23"/>
      <c r="K146" s="23"/>
      <c r="L146" s="23" t="e">
        <f>IF(מלאי!D150&lt;&gt;"",מלאי!#REF!,"")</f>
        <v>#REF!</v>
      </c>
    </row>
    <row r="147" spans="1:12" ht="15" customHeight="1" x14ac:dyDescent="0.25">
      <c r="A147" s="23" t="e">
        <f>IF(מלאי!#REF!&lt;&gt;"",מלאי!#REF!,"")</f>
        <v>#REF!</v>
      </c>
      <c r="B147" s="23" t="e">
        <f>IF(מלאי!#REF!&lt;&gt;"",מלאי!#REF!&amp;IF(מלאי!#REF!&lt;&gt;""," ("&amp;מלאי!#REF!&amp;")",""),"")</f>
        <v>#REF!</v>
      </c>
      <c r="C147" s="23" t="e">
        <f>IF(מלאי!#REF!&lt;&gt;"",מלאי!#REF!,"")</f>
        <v>#REF!</v>
      </c>
      <c r="D147" s="23" t="e">
        <f>IF(מלאי!#REF!&lt;&gt;"",מלאי!#REF!,"")</f>
        <v>#REF!</v>
      </c>
      <c r="E147" s="23"/>
      <c r="F147" s="23"/>
      <c r="G147" s="23"/>
      <c r="H147" s="23" t="e">
        <f>IF(מלאי!#REF!&lt;&gt;"",מלאי!#REF!,"")</f>
        <v>#REF!</v>
      </c>
      <c r="I147" s="23"/>
      <c r="J147" s="23"/>
      <c r="K147" s="23"/>
      <c r="L147" s="23" t="e">
        <f>IF(מלאי!#REF!&lt;&gt;"",מלאי!#REF!,"")</f>
        <v>#REF!</v>
      </c>
    </row>
    <row r="148" spans="1:12" ht="15" customHeight="1" x14ac:dyDescent="0.25">
      <c r="A148" s="23" t="str">
        <f>IF(מלאי!D151&lt;&gt;"",מלאי!D151,"")</f>
        <v xml:space="preserve">ARC Op HS sampels Snirt </v>
      </c>
      <c r="B148" s="23" t="str">
        <f>IF(מלאי!D151&lt;&gt;"",מלאי!B151&amp;IF(מלאי!C151&lt;&gt;""," ("&amp;מלאי!C151&amp;")",""),"")</f>
        <v>Operators HS (V1)</v>
      </c>
      <c r="C148" s="23" t="str">
        <f>IF(מלאי!D151&lt;&gt;"",מלאי!A151,"")</f>
        <v>Hide Site</v>
      </c>
      <c r="D148" s="23" t="str">
        <f>IF(מלאי!D151&lt;&gt;"",מלאי!H151,"")</f>
        <v>Snirt Snow</v>
      </c>
      <c r="E148" s="23"/>
      <c r="F148" s="23"/>
      <c r="G148" s="23"/>
      <c r="H148" s="23">
        <f>IF(מלאי!D151&lt;&gt;"",מלאי!I151,"")</f>
        <v>0</v>
      </c>
      <c r="I148" s="23"/>
      <c r="J148" s="23"/>
      <c r="K148" s="23"/>
      <c r="L148" s="23" t="e">
        <f>IF(מלאי!D151&lt;&gt;"",מלאי!#REF!,"")</f>
        <v>#REF!</v>
      </c>
    </row>
    <row r="149" spans="1:12" ht="15" customHeight="1" x14ac:dyDescent="0.25">
      <c r="A149" s="23" t="str">
        <f>IF(מלאי!D152&lt;&gt;"",מלאי!D152,"")</f>
        <v>Arctic Jacket sampels Snirt</v>
      </c>
      <c r="B149" s="23" t="str">
        <f>IF(מלאי!D152&lt;&gt;"",מלאי!B152&amp;IF(מלאי!C152&lt;&gt;""," ("&amp;מלאי!C152&amp;")",""),"")</f>
        <v>Arctic Jacket (V1)</v>
      </c>
      <c r="C149" s="23" t="str">
        <f>IF(מלאי!D152&lt;&gt;"",מלאי!A152,"")</f>
        <v>OverGarment</v>
      </c>
      <c r="D149" s="23" t="str">
        <f>IF(מלאי!D152&lt;&gt;"",מלאי!H152,"")</f>
        <v>Snirt Snow</v>
      </c>
      <c r="E149" s="23"/>
      <c r="F149" s="23"/>
      <c r="G149" s="23"/>
      <c r="H149" s="23">
        <f>IF(מלאי!D152&lt;&gt;"",מלאי!I152,"")</f>
        <v>0</v>
      </c>
      <c r="I149" s="23"/>
      <c r="J149" s="23"/>
      <c r="K149" s="23"/>
      <c r="L149" s="23" t="e">
        <f>IF(מלאי!D152&lt;&gt;"",מלאי!#REF!,"")</f>
        <v>#REF!</v>
      </c>
    </row>
    <row r="150" spans="1:12" ht="15" customHeight="1" x14ac:dyDescent="0.25">
      <c r="A150" s="23" t="str">
        <f>IF(מלאי!D153&lt;&gt;"",מלאי!D153,"")</f>
        <v>Arctic Pants sampels Snirt</v>
      </c>
      <c r="B150" s="23" t="str">
        <f>IF(מלאי!D153&lt;&gt;"",מלאי!B153&amp;IF(מלאי!C153&lt;&gt;""," ("&amp;מלאי!C153&amp;")",""),"")</f>
        <v>Arctic Overpants (V1)</v>
      </c>
      <c r="C150" s="23" t="str">
        <f>IF(מלאי!D153&lt;&gt;"",מלאי!A153,"")</f>
        <v>OverGarment</v>
      </c>
      <c r="D150" s="23" t="str">
        <f>IF(מלאי!D153&lt;&gt;"",מלאי!H153,"")</f>
        <v>Snirt Snow</v>
      </c>
      <c r="E150" s="23"/>
      <c r="F150" s="23"/>
      <c r="G150" s="23"/>
      <c r="H150" s="23">
        <f>IF(מלאי!D153&lt;&gt;"",מלאי!I153,"")</f>
        <v>0</v>
      </c>
      <c r="I150" s="23"/>
      <c r="J150" s="23"/>
      <c r="K150" s="23"/>
      <c r="L150" s="23" t="e">
        <f>IF(מלאי!D153&lt;&gt;"",מלאי!#REF!,"")</f>
        <v>#REF!</v>
      </c>
    </row>
    <row r="151" spans="1:12" ht="15" customHeight="1" x14ac:dyDescent="0.25">
      <c r="A151" s="23" t="str">
        <f>IF(מלאי!D154&lt;&gt;"",מלאי!D154,"")</f>
        <v>Arctic poncho sampels Snirt</v>
      </c>
      <c r="B151" s="23" t="str">
        <f>IF(מלאי!D154&lt;&gt;"",מלאי!B154&amp;IF(מלאי!C154&lt;&gt;""," ("&amp;מלאי!C154&amp;")",""),"")</f>
        <v>Arctic Poncho SRV (V1)</v>
      </c>
      <c r="C151" s="23" t="str">
        <f>IF(מלאי!D154&lt;&gt;"",מלאי!A154,"")</f>
        <v>OverGarment</v>
      </c>
      <c r="D151" s="23" t="str">
        <f>IF(מלאי!D154&lt;&gt;"",מלאי!H154,"")</f>
        <v>Snirt Snow</v>
      </c>
      <c r="E151" s="23"/>
      <c r="F151" s="23"/>
      <c r="G151" s="23"/>
      <c r="H151" s="23">
        <f>IF(מלאי!D154&lt;&gt;"",מלאי!I154,"")</f>
        <v>0</v>
      </c>
      <c r="I151" s="23"/>
      <c r="J151" s="23"/>
      <c r="K151" s="23"/>
      <c r="L151" s="23" t="e">
        <f>IF(מלאי!D154&lt;&gt;"",מלאי!#REF!,"")</f>
        <v>#REF!</v>
      </c>
    </row>
    <row r="152" spans="1:12" ht="15" customHeight="1" x14ac:dyDescent="0.25">
      <c r="A152" s="23" t="str">
        <f>IF(מלאי!D155&lt;&gt;"",מלאי!D155,"")</f>
        <v>Gaiters Arc sampels Snirt</v>
      </c>
      <c r="B152" s="23" t="str">
        <f>IF(מלאי!D155&lt;&gt;"",מלאי!B155&amp;IF(מלאי!C155&lt;&gt;""," ("&amp;מלאי!C155&amp;")",""),"")</f>
        <v>Gaiters (V1)</v>
      </c>
      <c r="C152" s="23" t="str">
        <f>IF(מלאי!D155&lt;&gt;"",מלאי!A155,"")</f>
        <v>OverGarment</v>
      </c>
      <c r="D152" s="23" t="str">
        <f>IF(מלאי!D155&lt;&gt;"",מלאי!H155,"")</f>
        <v>Snirt Snow</v>
      </c>
      <c r="E152" s="23"/>
      <c r="F152" s="23"/>
      <c r="G152" s="23"/>
      <c r="H152" s="23">
        <f>IF(מלאי!D155&lt;&gt;"",מלאי!I155,"")</f>
        <v>0</v>
      </c>
      <c r="I152" s="23"/>
      <c r="J152" s="23"/>
      <c r="K152" s="23"/>
      <c r="L152" s="23" t="e">
        <f>IF(מלאי!D155&lt;&gt;"",מלאי!#REF!,"")</f>
        <v>#REF!</v>
      </c>
    </row>
    <row r="153" spans="1:12" ht="15" customHeight="1" x14ac:dyDescent="0.25">
      <c r="A153" s="23" t="str">
        <f>IF(מלאי!D156&lt;&gt;"",מלאי!D156,"")</f>
        <v xml:space="preserve">ARC Op HS sampels Fresh </v>
      </c>
      <c r="B153" s="23" t="str">
        <f>IF(מלאי!D156&lt;&gt;"",מלאי!B156&amp;IF(מלאי!C156&lt;&gt;""," ("&amp;מלאי!C156&amp;")",""),"")</f>
        <v>Operators HS (V1)</v>
      </c>
      <c r="C153" s="23" t="str">
        <f>IF(מלאי!D156&lt;&gt;"",מלאי!A156,"")</f>
        <v>Hide Site</v>
      </c>
      <c r="D153" s="23" t="str">
        <f>IF(מלאי!D156&lt;&gt;"",מלאי!H156,"")</f>
        <v>Fresh Snow</v>
      </c>
      <c r="E153" s="23"/>
      <c r="F153" s="23"/>
      <c r="G153" s="23"/>
      <c r="H153" s="23">
        <f>IF(מלאי!D156&lt;&gt;"",מלאי!I156,"")</f>
        <v>0</v>
      </c>
      <c r="I153" s="23"/>
      <c r="J153" s="23"/>
      <c r="K153" s="23"/>
      <c r="L153" s="23" t="e">
        <f>IF(מלאי!D156&lt;&gt;"",מלאי!#REF!,"")</f>
        <v>#REF!</v>
      </c>
    </row>
    <row r="154" spans="1:12" ht="15" customHeight="1" x14ac:dyDescent="0.25">
      <c r="A154" s="23" t="str">
        <f>IF(מלאי!D157&lt;&gt;"",מלאי!D157,"")</f>
        <v>Arctic Jacket sampels Fresh</v>
      </c>
      <c r="B154" s="23" t="str">
        <f>IF(מלאי!D157&lt;&gt;"",מלאי!B157&amp;IF(מלאי!C157&lt;&gt;""," ("&amp;מלאי!C157&amp;")",""),"")</f>
        <v>Arctic Jacket (V1)</v>
      </c>
      <c r="C154" s="23" t="str">
        <f>IF(מלאי!D157&lt;&gt;"",מלאי!A157,"")</f>
        <v>OverGarment</v>
      </c>
      <c r="D154" s="23" t="str">
        <f>IF(מלאי!D157&lt;&gt;"",מלאי!H157,"")</f>
        <v>Fresh Snow</v>
      </c>
      <c r="E154" s="23"/>
      <c r="F154" s="23"/>
      <c r="G154" s="23"/>
      <c r="H154" s="23">
        <f>IF(מלאי!D157&lt;&gt;"",מלאי!I157,"")</f>
        <v>0</v>
      </c>
      <c r="I154" s="23"/>
      <c r="J154" s="23"/>
      <c r="K154" s="23"/>
      <c r="L154" s="23" t="e">
        <f>IF(מלאי!D157&lt;&gt;"",מלאי!#REF!,"")</f>
        <v>#REF!</v>
      </c>
    </row>
    <row r="155" spans="1:12" ht="15" customHeight="1" x14ac:dyDescent="0.25">
      <c r="A155" s="23" t="str">
        <f>IF(מלאי!D158&lt;&gt;"",מלאי!D158,"")</f>
        <v>Arctic Pants sampels Fresh</v>
      </c>
      <c r="B155" s="23" t="str">
        <f>IF(מלאי!D158&lt;&gt;"",מלאי!B158&amp;IF(מלאי!C158&lt;&gt;""," ("&amp;מלאי!C158&amp;")",""),"")</f>
        <v>Arctic Overpants (V1)</v>
      </c>
      <c r="C155" s="23" t="str">
        <f>IF(מלאי!D158&lt;&gt;"",מלאי!A158,"")</f>
        <v>OverGarment</v>
      </c>
      <c r="D155" s="23" t="str">
        <f>IF(מלאי!D158&lt;&gt;"",מלאי!H158,"")</f>
        <v>Fresh Snow</v>
      </c>
      <c r="E155" s="23"/>
      <c r="F155" s="23"/>
      <c r="G155" s="23"/>
      <c r="H155" s="23">
        <f>IF(מלאי!D158&lt;&gt;"",מלאי!I158,"")</f>
        <v>0</v>
      </c>
      <c r="I155" s="23"/>
      <c r="J155" s="23"/>
      <c r="K155" s="23"/>
      <c r="L155" s="23" t="e">
        <f>IF(מלאי!D158&lt;&gt;"",מלאי!#REF!,"")</f>
        <v>#REF!</v>
      </c>
    </row>
    <row r="156" spans="1:12" ht="15" customHeight="1" x14ac:dyDescent="0.25">
      <c r="A156" s="23" t="str">
        <f>IF(מלאי!D159&lt;&gt;"",מלאי!D159,"")</f>
        <v>Arctic poncho sampels Fresh</v>
      </c>
      <c r="B156" s="23" t="str">
        <f>IF(מלאי!D159&lt;&gt;"",מלאי!B159&amp;IF(מלאי!C159&lt;&gt;""," ("&amp;מלאי!C159&amp;")",""),"")</f>
        <v>Arctic Poncho SRV (V1)</v>
      </c>
      <c r="C156" s="23" t="str">
        <f>IF(מלאי!D159&lt;&gt;"",מלאי!A159,"")</f>
        <v>OverGarment</v>
      </c>
      <c r="D156" s="23" t="str">
        <f>IF(מלאי!D159&lt;&gt;"",מלאי!H159,"")</f>
        <v>Fresh Snow</v>
      </c>
      <c r="E156" s="23"/>
      <c r="F156" s="23"/>
      <c r="G156" s="23"/>
      <c r="H156" s="23">
        <f>IF(מלאי!D159&lt;&gt;"",מלאי!I159,"")</f>
        <v>0</v>
      </c>
      <c r="I156" s="23"/>
      <c r="J156" s="23"/>
      <c r="K156" s="23"/>
      <c r="L156" s="23" t="e">
        <f>IF(מלאי!D159&lt;&gt;"",מלאי!#REF!,"")</f>
        <v>#REF!</v>
      </c>
    </row>
    <row r="157" spans="1:12" ht="15" customHeight="1" x14ac:dyDescent="0.25">
      <c r="A157" s="23" t="str">
        <f>IF(מלאי!D160&lt;&gt;"",מלאי!D160,"")</f>
        <v>Gaiters Arc sampels Fresh</v>
      </c>
      <c r="B157" s="23" t="str">
        <f>IF(מלאי!D160&lt;&gt;"",מלאי!B160&amp;IF(מלאי!C160&lt;&gt;""," ("&amp;מלאי!C160&amp;")",""),"")</f>
        <v>Gaiters (V1)</v>
      </c>
      <c r="C157" s="23" t="str">
        <f>IF(מלאי!D160&lt;&gt;"",מלאי!A160,"")</f>
        <v>OverGarment</v>
      </c>
      <c r="D157" s="23" t="str">
        <f>IF(מלאי!D160&lt;&gt;"",מלאי!H160,"")</f>
        <v>Fresh Snow</v>
      </c>
      <c r="E157" s="23"/>
      <c r="F157" s="23"/>
      <c r="G157" s="23"/>
      <c r="H157" s="23">
        <f>IF(מלאי!D160&lt;&gt;"",מלאי!I160,"")</f>
        <v>0</v>
      </c>
      <c r="I157" s="23"/>
      <c r="J157" s="23"/>
      <c r="K157" s="23"/>
      <c r="L157" s="23" t="e">
        <f>IF(מלאי!D160&lt;&gt;"",מלאי!#REF!,"")</f>
        <v>#REF!</v>
      </c>
    </row>
    <row r="158" spans="1:12" ht="15" customHeight="1" x14ac:dyDescent="0.25">
      <c r="A158" s="23" t="str">
        <f>IF(מלאי!D161&lt;&gt;"",מלאי!D161,"")</f>
        <v>UNI 008</v>
      </c>
      <c r="B158" s="23" t="str">
        <f>IF(מלאי!D161&lt;&gt;"",מלאי!B161&amp;IF(מלאי!C161&lt;&gt;""," ("&amp;מלאי!C161&amp;")",""),"")</f>
        <v>Shirt (אדם, דגם-2)</v>
      </c>
      <c r="C158" s="23" t="str">
        <f>IF(מלאי!D161&lt;&gt;"",מלאי!A161,"")</f>
        <v>Uniform</v>
      </c>
      <c r="D158" s="23" t="str">
        <f>IF(מלאי!D161&lt;&gt;"",מלאי!H161,"")</f>
        <v>Ever-Green</v>
      </c>
      <c r="E158" s="23"/>
      <c r="F158" s="23"/>
      <c r="G158" s="23"/>
      <c r="H158" s="23">
        <f>IF(מלאי!D161&lt;&gt;"",מלאי!I161,"")</f>
        <v>0</v>
      </c>
      <c r="I158" s="23"/>
      <c r="J158" s="23"/>
      <c r="K158" s="23"/>
      <c r="L158" s="23" t="e">
        <f>IF(מלאי!D161&lt;&gt;"",מלאי!#REF!,"")</f>
        <v>#REF!</v>
      </c>
    </row>
    <row r="159" spans="1:12" ht="15" customHeight="1" x14ac:dyDescent="0.25">
      <c r="A159" s="23" t="str">
        <f>IF(מלאי!D162&lt;&gt;"",מלאי!D162,"")</f>
        <v>UNI 005</v>
      </c>
      <c r="B159" s="23" t="str">
        <f>IF(מלאי!D162&lt;&gt;"",מלאי!B162&amp;IF(מלאי!C162&lt;&gt;""," ("&amp;מלאי!C162&amp;")",""),"")</f>
        <v>Pants</v>
      </c>
      <c r="C159" s="23" t="str">
        <f>IF(מלאי!D162&lt;&gt;"",מלאי!A162,"")</f>
        <v>Uniform</v>
      </c>
      <c r="D159" s="23" t="str">
        <f>IF(מלאי!D162&lt;&gt;"",מלאי!H162,"")</f>
        <v>Kestrel</v>
      </c>
      <c r="E159" s="23"/>
      <c r="F159" s="23"/>
      <c r="G159" s="23"/>
      <c r="H159" s="23">
        <f>IF(מלאי!D162&lt;&gt;"",מלאי!I162,"")</f>
        <v>0</v>
      </c>
      <c r="I159" s="23"/>
      <c r="J159" s="23"/>
      <c r="K159" s="23"/>
      <c r="L159" s="23" t="e">
        <f>IF(מלאי!D162&lt;&gt;"",מלאי!#REF!,"")</f>
        <v>#REF!</v>
      </c>
    </row>
    <row r="160" spans="1:12" ht="15" customHeight="1" x14ac:dyDescent="0.25">
      <c r="A160" s="23" t="str">
        <f>IF(מלאי!D163&lt;&gt;"",מלאי!D163,"")</f>
        <v>UNI 006</v>
      </c>
      <c r="B160" s="23" t="str">
        <f>IF(מלאי!D163&lt;&gt;"",מלאי!B163&amp;IF(מלאי!C163&lt;&gt;""," ("&amp;מלאי!C163&amp;")",""),"")</f>
        <v>Pants (Maritime)</v>
      </c>
      <c r="C160" s="23" t="str">
        <f>IF(מלאי!D163&lt;&gt;"",מלאי!A163,"")</f>
        <v>Uniform</v>
      </c>
      <c r="D160" s="23" t="str">
        <f>IF(מלאי!D163&lt;&gt;"",מלאי!H163,"")</f>
        <v>Kestrel</v>
      </c>
      <c r="E160" s="23"/>
      <c r="F160" s="23"/>
      <c r="G160" s="23"/>
      <c r="H160" s="23">
        <f>IF(מלאי!D163&lt;&gt;"",מלאי!I163,"")</f>
        <v>0</v>
      </c>
      <c r="I160" s="23"/>
      <c r="J160" s="23"/>
      <c r="K160" s="23"/>
      <c r="L160" s="23" t="e">
        <f>IF(מלאי!D163&lt;&gt;"",מלאי!#REF!,"")</f>
        <v>#REF!</v>
      </c>
    </row>
    <row r="161" spans="1:12" ht="15" customHeight="1" x14ac:dyDescent="0.25">
      <c r="A161" s="23" t="str">
        <f>IF(מלאי!D164&lt;&gt;"",מלאי!D164,"")</f>
        <v>UNI 036</v>
      </c>
      <c r="B161" s="23" t="str">
        <f>IF(מלאי!D164&lt;&gt;"",מלאי!B164&amp;IF(מלאי!C164&lt;&gt;""," ("&amp;מלאי!C164&amp;")",""),"")</f>
        <v>Pants (Maritime)</v>
      </c>
      <c r="C161" s="23" t="str">
        <f>IF(מלאי!D164&lt;&gt;"",מלאי!A164,"")</f>
        <v>Uniform</v>
      </c>
      <c r="D161" s="23" t="str">
        <f>IF(מלאי!D164&lt;&gt;"",מלאי!H164,"")</f>
        <v>Kestrel</v>
      </c>
      <c r="E161" s="23"/>
      <c r="F161" s="23"/>
      <c r="G161" s="23"/>
      <c r="H161" s="23">
        <f>IF(מלאי!D164&lt;&gt;"",מלאי!I164,"")</f>
        <v>0</v>
      </c>
      <c r="I161" s="23"/>
      <c r="J161" s="23"/>
      <c r="K161" s="23"/>
      <c r="L161" s="23" t="e">
        <f>IF(מלאי!D164&lt;&gt;"",מלאי!#REF!,"")</f>
        <v>#REF!</v>
      </c>
    </row>
    <row r="162" spans="1:12" ht="15" customHeight="1" x14ac:dyDescent="0.25">
      <c r="A162" s="23" t="str">
        <f>IF(מלאי!D165&lt;&gt;"",מלאי!D165,"")</f>
        <v>חולצה מלאי 1</v>
      </c>
      <c r="B162" s="23" t="str">
        <f>IF(מלאי!D165&lt;&gt;"",מלאי!B165&amp;IF(מלאי!C165&lt;&gt;""," ("&amp;מלאי!C165&amp;")",""),"")</f>
        <v>Shirt (Maritime)</v>
      </c>
      <c r="C162" s="23" t="str">
        <f>IF(מלאי!D165&lt;&gt;"",מלאי!A165,"")</f>
        <v>Uniform</v>
      </c>
      <c r="D162" s="23" t="str">
        <f>IF(מלאי!D165&lt;&gt;"",מלאי!H165,"")</f>
        <v>Marine</v>
      </c>
      <c r="E162" s="23"/>
      <c r="F162" s="23"/>
      <c r="G162" s="23"/>
      <c r="H162" s="23">
        <f>IF(מלאי!D165&lt;&gt;"",מלאי!I165,"")</f>
        <v>0</v>
      </c>
      <c r="I162" s="23"/>
      <c r="J162" s="23"/>
      <c r="K162" s="23"/>
      <c r="L162" s="23" t="e">
        <f>IF(מלאי!D165&lt;&gt;"",מלאי!#REF!,"")</f>
        <v>#REF!</v>
      </c>
    </row>
    <row r="163" spans="1:12" ht="15" customHeight="1" x14ac:dyDescent="0.25">
      <c r="A163" s="23" t="str">
        <f>IF(מלאי!D166&lt;&gt;"",מלאי!D166,"")</f>
        <v>קסדה מרון 1</v>
      </c>
      <c r="B163" s="23" t="str">
        <f>IF(מלאי!D166&lt;&gt;"",מלאי!B166&amp;IF(מלאי!C166&lt;&gt;""," ("&amp;מלאי!C166&amp;")",""),"")</f>
        <v>Headcover</v>
      </c>
      <c r="C163" s="23" t="str">
        <f>IF(מלאי!D166&lt;&gt;"",מלאי!A166,"")</f>
        <v>Uniform</v>
      </c>
      <c r="D163" s="23" t="str">
        <f>IF(מלאי!D166&lt;&gt;"",מלאי!H166,"")</f>
        <v>Kestrel</v>
      </c>
      <c r="E163" s="23"/>
      <c r="F163" s="23"/>
      <c r="G163" s="23"/>
      <c r="H163" s="23">
        <f>IF(מלאי!D166&lt;&gt;"",מלאי!I166,"")</f>
        <v>0</v>
      </c>
      <c r="I163" s="23"/>
      <c r="J163" s="23"/>
      <c r="K163" s="23"/>
      <c r="L163" s="23" t="e">
        <f>IF(מלאי!D166&lt;&gt;"",מלאי!#REF!,"")</f>
        <v>#REF!</v>
      </c>
    </row>
    <row r="164" spans="1:12" ht="15" customHeight="1" x14ac:dyDescent="0.25">
      <c r="A164" s="23" t="str">
        <f>IF(מלאי!D167&lt;&gt;"",מלאי!D167,"")</f>
        <v>IRR מדגים</v>
      </c>
      <c r="B164" s="23" t="str">
        <f>IF(מלאי!D167&lt;&gt;"",מלאי!B167&amp;IF(מלאי!C167&lt;&gt;""," ("&amp;מלאי!C167&amp;")",""),"")</f>
        <v>יריעת החשכה</v>
      </c>
      <c r="C164" s="23" t="str">
        <f>IF(מלאי!D167&lt;&gt;"",מלאי!A167,"")</f>
        <v>Blankets</v>
      </c>
      <c r="D164" s="23">
        <f>IF(מלאי!D167&lt;&gt;"",מלאי!H167,"")</f>
        <v>0</v>
      </c>
      <c r="E164" s="23"/>
      <c r="F164" s="23"/>
      <c r="G164" s="23"/>
      <c r="H164" s="23">
        <f>IF(מלאי!D167&lt;&gt;"",מלאי!I167,"")</f>
        <v>0</v>
      </c>
      <c r="I164" s="23"/>
      <c r="J164" s="23"/>
      <c r="K164" s="23"/>
      <c r="L164" s="23" t="e">
        <f>IF(מלאי!D167&lt;&gt;"",מלאי!#REF!,"")</f>
        <v>#REF!</v>
      </c>
    </row>
    <row r="165" spans="1:12" ht="15" customHeight="1" x14ac:dyDescent="0.25">
      <c r="A165" s="23" t="str">
        <f>IF(מלאי!D168&lt;&gt;"",מלאי!D168,"")</f>
        <v>בלקלבה מלאי 01</v>
      </c>
      <c r="B165" s="23" t="str">
        <f>IF(מלאי!D168&lt;&gt;"",מלאי!B168&amp;IF(מלאי!C168&lt;&gt;""," ("&amp;מלאי!C168&amp;")",""),"")</f>
        <v>Balaclava</v>
      </c>
      <c r="C165" s="23" t="str">
        <f>IF(מלאי!D168&lt;&gt;"",מלאי!A168,"")</f>
        <v>Uniform</v>
      </c>
      <c r="D165" s="23">
        <f>IF(מלאי!D168&lt;&gt;"",מלאי!H168,"")</f>
        <v>0</v>
      </c>
      <c r="E165" s="23"/>
      <c r="F165" s="23"/>
      <c r="G165" s="23"/>
      <c r="H165" s="23">
        <f>IF(מלאי!D168&lt;&gt;"",מלאי!I168,"")</f>
        <v>0</v>
      </c>
      <c r="I165" s="23"/>
      <c r="J165" s="23"/>
      <c r="K165" s="23"/>
      <c r="L165" s="23" t="e">
        <f>IF(מלאי!D168&lt;&gt;"",מלאי!#REF!,"")</f>
        <v>#REF!</v>
      </c>
    </row>
    <row r="166" spans="1:12" ht="15" customHeight="1" x14ac:dyDescent="0.25">
      <c r="A166" s="23" t="str">
        <f>IF(מלאי!D169&lt;&gt;"",מלאי!D169,"")</f>
        <v/>
      </c>
      <c r="B166" s="23" t="str">
        <f>IF(מלאי!D169&lt;&gt;"",מלאי!B169&amp;IF(מלאי!C169&lt;&gt;""," ("&amp;מלאי!C169&amp;")",""),"")</f>
        <v/>
      </c>
      <c r="C166" s="23" t="str">
        <f>IF(מלאי!D169&lt;&gt;"",מלאי!A169,"")</f>
        <v/>
      </c>
      <c r="D166" s="23" t="str">
        <f>IF(מלאי!D169&lt;&gt;"",מלאי!H169,"")</f>
        <v/>
      </c>
      <c r="E166" s="23"/>
      <c r="F166" s="23"/>
      <c r="G166" s="23"/>
      <c r="H166" s="23" t="str">
        <f>IF(מלאי!D169&lt;&gt;"",מלאי!I169,"")</f>
        <v/>
      </c>
      <c r="I166" s="23"/>
      <c r="J166" s="23"/>
      <c r="K166" s="23"/>
      <c r="L166" s="23" t="str">
        <f>IF(מלאי!D169&lt;&gt;"",מלאי!#REF!,"")</f>
        <v/>
      </c>
    </row>
    <row r="167" spans="1:12" ht="15" customHeight="1" x14ac:dyDescent="0.25">
      <c r="A167" s="23" t="str">
        <f>IF(מלאי!D170&lt;&gt;"",מלאי!D170,"")</f>
        <v/>
      </c>
      <c r="B167" s="23" t="str">
        <f>IF(מלאי!D170&lt;&gt;"",מלאי!B170&amp;IF(מלאי!C170&lt;&gt;""," ("&amp;מלאי!C170&amp;")",""),"")</f>
        <v/>
      </c>
      <c r="C167" s="23" t="str">
        <f>IF(מלאי!D170&lt;&gt;"",מלאי!A170,"")</f>
        <v/>
      </c>
      <c r="D167" s="23" t="str">
        <f>IF(מלאי!D170&lt;&gt;"",מלאי!H170,"")</f>
        <v/>
      </c>
      <c r="E167" s="23"/>
      <c r="F167" s="23"/>
      <c r="G167" s="23"/>
      <c r="H167" s="23" t="str">
        <f>IF(מלאי!D170&lt;&gt;"",מלאי!I170,"")</f>
        <v/>
      </c>
      <c r="I167" s="23"/>
      <c r="J167" s="23"/>
      <c r="K167" s="23"/>
      <c r="L167" s="23" t="str">
        <f>IF(מלאי!D170&lt;&gt;"",מלאי!#REF!,"")</f>
        <v/>
      </c>
    </row>
    <row r="168" spans="1:12" ht="15" customHeight="1" x14ac:dyDescent="0.25">
      <c r="A168" s="23" t="str">
        <f>IF(מלאי!D171&lt;&gt;"",מלאי!D171,"")</f>
        <v/>
      </c>
      <c r="B168" s="23" t="str">
        <f>IF(מלאי!D171&lt;&gt;"",מלאי!B171&amp;IF(מלאי!C171&lt;&gt;""," ("&amp;מלאי!C171&amp;")",""),"")</f>
        <v/>
      </c>
      <c r="C168" s="23" t="str">
        <f>IF(מלאי!D171&lt;&gt;"",מלאי!A171,"")</f>
        <v/>
      </c>
      <c r="D168" s="23" t="str">
        <f>IF(מלאי!D171&lt;&gt;"",מלאי!H171,"")</f>
        <v/>
      </c>
      <c r="E168" s="23"/>
      <c r="F168" s="23"/>
      <c r="G168" s="23"/>
      <c r="H168" s="23" t="str">
        <f>IF(מלאי!D171&lt;&gt;"",מלאי!I171,"")</f>
        <v/>
      </c>
      <c r="I168" s="23"/>
      <c r="J168" s="23"/>
      <c r="K168" s="23"/>
      <c r="L168" s="23" t="str">
        <f>IF(מלאי!D171&lt;&gt;"",מלאי!#REF!,"")</f>
        <v/>
      </c>
    </row>
    <row r="169" spans="1:12" ht="15" customHeight="1" x14ac:dyDescent="0.25">
      <c r="A169" s="23" t="str">
        <f>IF(מלאי!D172&lt;&gt;"",מלאי!D172,"")</f>
        <v/>
      </c>
      <c r="B169" s="23" t="str">
        <f>IF(מלאי!D172&lt;&gt;"",מלאי!B172&amp;IF(מלאי!C172&lt;&gt;""," ("&amp;מלאי!C172&amp;")",""),"")</f>
        <v/>
      </c>
      <c r="C169" s="23" t="str">
        <f>IF(מלאי!D172&lt;&gt;"",מלאי!A172,"")</f>
        <v/>
      </c>
      <c r="D169" s="23" t="str">
        <f>IF(מלאי!D172&lt;&gt;"",מלאי!H172,"")</f>
        <v/>
      </c>
      <c r="E169" s="23"/>
      <c r="F169" s="23"/>
      <c r="G169" s="23"/>
      <c r="H169" s="23" t="str">
        <f>IF(מלאי!D172&lt;&gt;"",מלאי!I172,"")</f>
        <v/>
      </c>
      <c r="I169" s="23"/>
      <c r="J169" s="23"/>
      <c r="K169" s="23"/>
      <c r="L169" s="23" t="str">
        <f>IF(מלאי!D172&lt;&gt;"",מלאי!#REF!,"")</f>
        <v/>
      </c>
    </row>
    <row r="170" spans="1:12" ht="15" customHeight="1" x14ac:dyDescent="0.25">
      <c r="A170" s="23" t="str">
        <f>IF(מלאי!D173&lt;&gt;"",מלאי!D173,"")</f>
        <v/>
      </c>
      <c r="B170" s="23" t="str">
        <f>IF(מלאי!D173&lt;&gt;"",מלאי!B173&amp;IF(מלאי!C173&lt;&gt;""," ("&amp;מלאי!C173&amp;")",""),"")</f>
        <v/>
      </c>
      <c r="C170" s="23" t="str">
        <f>IF(מלאי!D173&lt;&gt;"",מלאי!A173,"")</f>
        <v/>
      </c>
      <c r="D170" s="23" t="str">
        <f>IF(מלאי!D173&lt;&gt;"",מלאי!H173,"")</f>
        <v/>
      </c>
      <c r="E170" s="23"/>
      <c r="F170" s="23"/>
      <c r="G170" s="23"/>
      <c r="H170" s="23" t="str">
        <f>IF(מלאי!D173&lt;&gt;"",מלאי!I173,"")</f>
        <v/>
      </c>
      <c r="I170" s="23"/>
      <c r="J170" s="23"/>
      <c r="K170" s="23"/>
      <c r="L170" s="23" t="str">
        <f>IF(מלאי!D173&lt;&gt;"",מלאי!#REF!,"")</f>
        <v/>
      </c>
    </row>
    <row r="171" spans="1:12" ht="15" customHeight="1" x14ac:dyDescent="0.25">
      <c r="A171" s="23" t="str">
        <f>IF(מלאי!D174&lt;&gt;"",מלאי!D174,"")</f>
        <v/>
      </c>
      <c r="B171" s="23" t="str">
        <f>IF(מלאי!D174&lt;&gt;"",מלאי!B174&amp;IF(מלאי!C174&lt;&gt;""," ("&amp;מלאי!C174&amp;")",""),"")</f>
        <v/>
      </c>
      <c r="C171" s="23" t="str">
        <f>IF(מלאי!D174&lt;&gt;"",מלאי!A174,"")</f>
        <v/>
      </c>
      <c r="D171" s="23" t="str">
        <f>IF(מלאי!D174&lt;&gt;"",מלאי!H174,"")</f>
        <v/>
      </c>
      <c r="E171" s="23"/>
      <c r="F171" s="23"/>
      <c r="G171" s="23"/>
      <c r="H171" s="23" t="str">
        <f>IF(מלאי!D174&lt;&gt;"",מלאי!I174,"")</f>
        <v/>
      </c>
      <c r="I171" s="23"/>
      <c r="J171" s="23"/>
      <c r="K171" s="23"/>
      <c r="L171" s="23" t="str">
        <f>IF(מלאי!D174&lt;&gt;"",מלאי!#REF!,"")</f>
        <v/>
      </c>
    </row>
    <row r="172" spans="1:12" ht="15" customHeight="1" x14ac:dyDescent="0.25">
      <c r="A172" s="23" t="str">
        <f>IF(מלאי!D175&lt;&gt;"",מלאי!D175,"")</f>
        <v/>
      </c>
      <c r="B172" s="23" t="str">
        <f>IF(מלאי!D175&lt;&gt;"",מלאי!B175&amp;IF(מלאי!C175&lt;&gt;""," ("&amp;מלאי!C175&amp;")",""),"")</f>
        <v/>
      </c>
      <c r="C172" s="23" t="str">
        <f>IF(מלאי!D175&lt;&gt;"",מלאי!A175,"")</f>
        <v/>
      </c>
      <c r="D172" s="23" t="str">
        <f>IF(מלאי!D175&lt;&gt;"",מלאי!H175,"")</f>
        <v/>
      </c>
      <c r="E172" s="23"/>
      <c r="F172" s="23"/>
      <c r="G172" s="23"/>
      <c r="H172" s="23" t="str">
        <f>IF(מלאי!D175&lt;&gt;"",מלאי!I175,"")</f>
        <v/>
      </c>
      <c r="I172" s="23"/>
      <c r="J172" s="23"/>
      <c r="K172" s="23"/>
      <c r="L172" s="23" t="str">
        <f>IF(מלאי!D175&lt;&gt;"",מלאי!#REF!,"")</f>
        <v/>
      </c>
    </row>
    <row r="173" spans="1:12" ht="15" customHeight="1" x14ac:dyDescent="0.25">
      <c r="A173" s="23" t="str">
        <f>IF(מלאי!D176&lt;&gt;"",מלאי!D176,"")</f>
        <v/>
      </c>
      <c r="B173" s="23" t="str">
        <f>IF(מלאי!D176&lt;&gt;"",מלאי!B176&amp;IF(מלאי!C176&lt;&gt;""," ("&amp;מלאי!C176&amp;")",""),"")</f>
        <v/>
      </c>
      <c r="C173" s="23" t="str">
        <f>IF(מלאי!D176&lt;&gt;"",מלאי!A176,"")</f>
        <v/>
      </c>
      <c r="D173" s="23" t="str">
        <f>IF(מלאי!D176&lt;&gt;"",מלאי!H176,"")</f>
        <v/>
      </c>
      <c r="E173" s="23"/>
      <c r="F173" s="23"/>
      <c r="G173" s="23"/>
      <c r="H173" s="23" t="str">
        <f>IF(מלאי!D176&lt;&gt;"",מלאי!I176,"")</f>
        <v/>
      </c>
      <c r="I173" s="23"/>
      <c r="J173" s="23"/>
      <c r="K173" s="23"/>
      <c r="L173" s="23" t="str">
        <f>IF(מלאי!D176&lt;&gt;"",מלאי!#REF!,"")</f>
        <v/>
      </c>
    </row>
    <row r="174" spans="1:12" ht="15" customHeight="1" x14ac:dyDescent="0.25">
      <c r="A174" s="23" t="str">
        <f>IF(מלאי!D177&lt;&gt;"",מלאי!D177,"")</f>
        <v/>
      </c>
      <c r="B174" s="23" t="str">
        <f>IF(מלאי!D177&lt;&gt;"",מלאי!B177&amp;IF(מלאי!C177&lt;&gt;""," ("&amp;מלאי!C177&amp;")",""),"")</f>
        <v/>
      </c>
      <c r="C174" s="23" t="str">
        <f>IF(מלאי!D177&lt;&gt;"",מלאי!A177,"")</f>
        <v/>
      </c>
      <c r="D174" s="23" t="str">
        <f>IF(מלאי!D177&lt;&gt;"",מלאי!H177,"")</f>
        <v/>
      </c>
      <c r="E174" s="23"/>
      <c r="F174" s="23"/>
      <c r="G174" s="23"/>
      <c r="H174" s="23" t="str">
        <f>IF(מלאי!D177&lt;&gt;"",מלאי!I177,"")</f>
        <v/>
      </c>
      <c r="I174" s="23"/>
      <c r="J174" s="23"/>
      <c r="K174" s="23"/>
      <c r="L174" s="23" t="str">
        <f>IF(מלאי!D177&lt;&gt;"",מלאי!#REF!,"")</f>
        <v/>
      </c>
    </row>
    <row r="175" spans="1:12" ht="15" customHeight="1" x14ac:dyDescent="0.25">
      <c r="A175" s="23" t="str">
        <f>IF(מלאי!D178&lt;&gt;"",מלאי!D178,"")</f>
        <v/>
      </c>
      <c r="B175" s="23" t="str">
        <f>IF(מלאי!D178&lt;&gt;"",מלאי!B178&amp;IF(מלאי!C178&lt;&gt;""," ("&amp;מלאי!C178&amp;")",""),"")</f>
        <v/>
      </c>
      <c r="C175" s="23" t="str">
        <f>IF(מלאי!D178&lt;&gt;"",מלאי!A178,"")</f>
        <v/>
      </c>
      <c r="D175" s="23" t="str">
        <f>IF(מלאי!D178&lt;&gt;"",מלאי!H178,"")</f>
        <v/>
      </c>
      <c r="E175" s="23"/>
      <c r="F175" s="23"/>
      <c r="G175" s="23"/>
      <c r="H175" s="23" t="str">
        <f>IF(מלאי!D178&lt;&gt;"",מלאי!I178,"")</f>
        <v/>
      </c>
      <c r="I175" s="23"/>
      <c r="J175" s="23"/>
      <c r="K175" s="23"/>
      <c r="L175" s="23" t="str">
        <f>IF(מלאי!D178&lt;&gt;"",מלאי!#REF!,"")</f>
        <v/>
      </c>
    </row>
    <row r="176" spans="1:12" ht="15" customHeight="1" x14ac:dyDescent="0.25">
      <c r="A176" s="23" t="str">
        <f>IF(מלאי!D179&lt;&gt;"",מלאי!D179,"")</f>
        <v/>
      </c>
      <c r="B176" s="23" t="str">
        <f>IF(מלאי!D179&lt;&gt;"",מלאי!B179&amp;IF(מלאי!C179&lt;&gt;""," ("&amp;מלאי!C179&amp;")",""),"")</f>
        <v/>
      </c>
      <c r="C176" s="23" t="str">
        <f>IF(מלאי!D179&lt;&gt;"",מלאי!A179,"")</f>
        <v/>
      </c>
      <c r="D176" s="23" t="str">
        <f>IF(מלאי!D179&lt;&gt;"",מלאי!H179,"")</f>
        <v/>
      </c>
      <c r="E176" s="23"/>
      <c r="F176" s="23"/>
      <c r="G176" s="23"/>
      <c r="H176" s="23" t="str">
        <f>IF(מלאי!D179&lt;&gt;"",מלאי!I179,"")</f>
        <v/>
      </c>
      <c r="I176" s="23"/>
      <c r="J176" s="23"/>
      <c r="K176" s="23"/>
      <c r="L176" s="23" t="str">
        <f>IF(מלאי!D179&lt;&gt;"",מלאי!#REF!,"")</f>
        <v/>
      </c>
    </row>
    <row r="177" spans="1:12" ht="15" customHeight="1" x14ac:dyDescent="0.25">
      <c r="A177" s="23" t="str">
        <f>IF(מלאי!D180&lt;&gt;"",מלאי!D180,"")</f>
        <v/>
      </c>
      <c r="B177" s="23" t="str">
        <f>IF(מלאי!D180&lt;&gt;"",מלאי!B180&amp;IF(מלאי!C180&lt;&gt;""," ("&amp;מלאי!C180&amp;")",""),"")</f>
        <v/>
      </c>
      <c r="C177" s="23" t="str">
        <f>IF(מלאי!D180&lt;&gt;"",מלאי!A180,"")</f>
        <v/>
      </c>
      <c r="D177" s="23" t="str">
        <f>IF(מלאי!D180&lt;&gt;"",מלאי!H180,"")</f>
        <v/>
      </c>
      <c r="E177" s="23"/>
      <c r="F177" s="23"/>
      <c r="G177" s="23"/>
      <c r="H177" s="23" t="str">
        <f>IF(מלאי!D180&lt;&gt;"",מלאי!I180,"")</f>
        <v/>
      </c>
      <c r="I177" s="23"/>
      <c r="J177" s="23"/>
      <c r="K177" s="23"/>
      <c r="L177" s="23" t="str">
        <f>IF(מלאי!D180&lt;&gt;"",מלאי!#REF!,"")</f>
        <v/>
      </c>
    </row>
    <row r="178" spans="1:12" ht="15" customHeight="1" x14ac:dyDescent="0.25">
      <c r="A178" s="23" t="str">
        <f>IF(מלאי!D181&lt;&gt;"",מלאי!D181,"")</f>
        <v/>
      </c>
      <c r="B178" s="23" t="str">
        <f>IF(מלאי!D181&lt;&gt;"",מלאי!B181&amp;IF(מלאי!C181&lt;&gt;""," ("&amp;מלאי!C181&amp;")",""),"")</f>
        <v/>
      </c>
      <c r="C178" s="23" t="str">
        <f>IF(מלאי!D181&lt;&gt;"",מלאי!A181,"")</f>
        <v/>
      </c>
      <c r="D178" s="23" t="str">
        <f>IF(מלאי!D181&lt;&gt;"",מלאי!H181,"")</f>
        <v/>
      </c>
      <c r="E178" s="23"/>
      <c r="F178" s="23"/>
      <c r="G178" s="23"/>
      <c r="H178" s="23" t="str">
        <f>IF(מלאי!D181&lt;&gt;"",מלאי!I181,"")</f>
        <v/>
      </c>
      <c r="I178" s="23"/>
      <c r="J178" s="23"/>
      <c r="K178" s="23"/>
      <c r="L178" s="23" t="str">
        <f>IF(מלאי!D181&lt;&gt;"",מלאי!#REF!,"")</f>
        <v/>
      </c>
    </row>
    <row r="179" spans="1:12" ht="15" customHeight="1" x14ac:dyDescent="0.25">
      <c r="A179" s="23" t="str">
        <f>IF(מלאי!D182&lt;&gt;"",מלאי!D182,"")</f>
        <v/>
      </c>
      <c r="B179" s="23" t="str">
        <f>IF(מלאי!D182&lt;&gt;"",מלאי!B182&amp;IF(מלאי!C182&lt;&gt;""," ("&amp;מלאי!C182&amp;")",""),"")</f>
        <v/>
      </c>
      <c r="C179" s="23" t="str">
        <f>IF(מלאי!D182&lt;&gt;"",מלאי!A182,"")</f>
        <v/>
      </c>
      <c r="D179" s="23" t="str">
        <f>IF(מלאי!D182&lt;&gt;"",מלאי!H182,"")</f>
        <v/>
      </c>
      <c r="E179" s="23"/>
      <c r="F179" s="23"/>
      <c r="G179" s="23"/>
      <c r="H179" s="23" t="str">
        <f>IF(מלאי!D182&lt;&gt;"",מלאי!I182,"")</f>
        <v/>
      </c>
      <c r="I179" s="23"/>
      <c r="J179" s="23"/>
      <c r="K179" s="23"/>
      <c r="L179" s="23" t="str">
        <f>IF(מלאי!D182&lt;&gt;"",מלאי!#REF!,"")</f>
        <v/>
      </c>
    </row>
    <row r="180" spans="1:12" ht="15" customHeight="1" x14ac:dyDescent="0.25">
      <c r="A180" s="23" t="str">
        <f>IF(מלאי!D183&lt;&gt;"",מלאי!D183,"")</f>
        <v/>
      </c>
      <c r="B180" s="23" t="str">
        <f>IF(מלאי!D183&lt;&gt;"",מלאי!B183&amp;IF(מלאי!C183&lt;&gt;""," ("&amp;מלאי!C183&amp;")",""),"")</f>
        <v/>
      </c>
      <c r="C180" s="23" t="str">
        <f>IF(מלאי!D183&lt;&gt;"",מלאי!A183,"")</f>
        <v/>
      </c>
      <c r="D180" s="23" t="str">
        <f>IF(מלאי!D183&lt;&gt;"",מלאי!H183,"")</f>
        <v/>
      </c>
      <c r="E180" s="23"/>
      <c r="F180" s="23"/>
      <c r="G180" s="23"/>
      <c r="H180" s="23" t="str">
        <f>IF(מלאי!D183&lt;&gt;"",מלאי!I183,"")</f>
        <v/>
      </c>
      <c r="I180" s="23"/>
      <c r="J180" s="23"/>
      <c r="K180" s="23"/>
      <c r="L180" s="23" t="str">
        <f>IF(מלאי!D183&lt;&gt;"",מלאי!#REF!,"")</f>
        <v/>
      </c>
    </row>
    <row r="181" spans="1:12" ht="15" customHeight="1" x14ac:dyDescent="0.25">
      <c r="A181" s="23" t="str">
        <f>IF(מלאי!D184&lt;&gt;"",מלאי!D184,"")</f>
        <v/>
      </c>
      <c r="B181" s="23" t="str">
        <f>IF(מלאי!D184&lt;&gt;"",מלאי!B184&amp;IF(מלאי!C184&lt;&gt;""," ("&amp;מלאי!C184&amp;")",""),"")</f>
        <v/>
      </c>
      <c r="C181" s="23" t="str">
        <f>IF(מלאי!D184&lt;&gt;"",מלאי!A184,"")</f>
        <v/>
      </c>
      <c r="D181" s="23" t="str">
        <f>IF(מלאי!D184&lt;&gt;"",מלאי!H184,"")</f>
        <v/>
      </c>
      <c r="E181" s="23"/>
      <c r="F181" s="23"/>
      <c r="G181" s="23"/>
      <c r="H181" s="23" t="str">
        <f>IF(מלאי!D184&lt;&gt;"",מלאי!I184,"")</f>
        <v/>
      </c>
      <c r="I181" s="23"/>
      <c r="J181" s="23"/>
      <c r="K181" s="23"/>
      <c r="L181" s="23" t="str">
        <f>IF(מלאי!D184&lt;&gt;"",מלאי!#REF!,"")</f>
        <v/>
      </c>
    </row>
    <row r="182" spans="1:12" ht="15" customHeight="1" x14ac:dyDescent="0.25">
      <c r="A182" s="23" t="str">
        <f>IF(מלאי!D185&lt;&gt;"",מלאי!D185,"")</f>
        <v/>
      </c>
      <c r="B182" s="23" t="str">
        <f>IF(מלאי!D185&lt;&gt;"",מלאי!B185&amp;IF(מלאי!C185&lt;&gt;""," ("&amp;מלאי!C185&amp;")",""),"")</f>
        <v/>
      </c>
      <c r="C182" s="23" t="str">
        <f>IF(מלאי!D185&lt;&gt;"",מלאי!A185,"")</f>
        <v/>
      </c>
      <c r="D182" s="23" t="str">
        <f>IF(מלאי!D185&lt;&gt;"",מלאי!H185,"")</f>
        <v/>
      </c>
      <c r="E182" s="23"/>
      <c r="F182" s="23"/>
      <c r="G182" s="23"/>
      <c r="H182" s="23" t="str">
        <f>IF(מלאי!D185&lt;&gt;"",מלאי!I185,"")</f>
        <v/>
      </c>
      <c r="I182" s="23"/>
      <c r="J182" s="23"/>
      <c r="K182" s="23"/>
      <c r="L182" s="23" t="str">
        <f>IF(מלאי!D185&lt;&gt;"",מלאי!#REF!,"")</f>
        <v/>
      </c>
    </row>
    <row r="183" spans="1:12" ht="15" customHeight="1" x14ac:dyDescent="0.25">
      <c r="A183" s="23" t="str">
        <f>IF(מלאי!D186&lt;&gt;"",מלאי!D186,"")</f>
        <v/>
      </c>
      <c r="B183" s="23" t="str">
        <f>IF(מלאי!D186&lt;&gt;"",מלאי!B186&amp;IF(מלאי!C186&lt;&gt;""," ("&amp;מלאי!C186&amp;")",""),"")</f>
        <v/>
      </c>
      <c r="C183" s="23" t="str">
        <f>IF(מלאי!D186&lt;&gt;"",מלאי!A186,"")</f>
        <v/>
      </c>
      <c r="D183" s="23" t="str">
        <f>IF(מלאי!D186&lt;&gt;"",מלאי!H186,"")</f>
        <v/>
      </c>
      <c r="E183" s="23"/>
      <c r="F183" s="23"/>
      <c r="G183" s="23"/>
      <c r="H183" s="23" t="str">
        <f>IF(מלאי!D186&lt;&gt;"",מלאי!I186,"")</f>
        <v/>
      </c>
      <c r="I183" s="23"/>
      <c r="J183" s="23"/>
      <c r="K183" s="23"/>
      <c r="L183" s="23" t="str">
        <f>IF(מלאי!D186&lt;&gt;"",מלאי!#REF!,"")</f>
        <v/>
      </c>
    </row>
    <row r="184" spans="1:12" ht="15" customHeight="1" x14ac:dyDescent="0.25">
      <c r="A184" s="23" t="str">
        <f>IF(מלאי!D187&lt;&gt;"",מלאי!D187,"")</f>
        <v/>
      </c>
      <c r="B184" s="23" t="str">
        <f>IF(מלאי!D187&lt;&gt;"",מלאי!B187&amp;IF(מלאי!C187&lt;&gt;""," ("&amp;מלאי!C187&amp;")",""),"")</f>
        <v/>
      </c>
      <c r="C184" s="23" t="str">
        <f>IF(מלאי!D187&lt;&gt;"",מלאי!A187,"")</f>
        <v/>
      </c>
      <c r="D184" s="23" t="str">
        <f>IF(מלאי!D187&lt;&gt;"",מלאי!H187,"")</f>
        <v/>
      </c>
      <c r="E184" s="23"/>
      <c r="F184" s="23"/>
      <c r="G184" s="23"/>
      <c r="H184" s="23" t="str">
        <f>IF(מלאי!D187&lt;&gt;"",מלאי!I187,"")</f>
        <v/>
      </c>
      <c r="I184" s="23"/>
      <c r="J184" s="23"/>
      <c r="K184" s="23"/>
      <c r="L184" s="23" t="str">
        <f>IF(מלאי!D187&lt;&gt;"",מלאי!#REF!,"")</f>
        <v/>
      </c>
    </row>
    <row r="185" spans="1:12" ht="15" customHeight="1" x14ac:dyDescent="0.25">
      <c r="A185" s="23" t="str">
        <f>IF(מלאי!D188&lt;&gt;"",מלאי!D188,"")</f>
        <v/>
      </c>
      <c r="B185" s="23" t="str">
        <f>IF(מלאי!D188&lt;&gt;"",מלאי!B188&amp;IF(מלאי!C188&lt;&gt;""," ("&amp;מלאי!C188&amp;")",""),"")</f>
        <v/>
      </c>
      <c r="C185" s="23" t="str">
        <f>IF(מלאי!D188&lt;&gt;"",מלאי!A188,"")</f>
        <v/>
      </c>
      <c r="D185" s="23" t="str">
        <f>IF(מלאי!D188&lt;&gt;"",מלאי!H188,"")</f>
        <v/>
      </c>
      <c r="E185" s="23"/>
      <c r="F185" s="23"/>
      <c r="G185" s="23"/>
      <c r="H185" s="23" t="str">
        <f>IF(מלאי!D188&lt;&gt;"",מלאי!I188,"")</f>
        <v/>
      </c>
      <c r="I185" s="23"/>
      <c r="J185" s="23"/>
      <c r="K185" s="23"/>
      <c r="L185" s="23" t="str">
        <f>IF(מלאי!D188&lt;&gt;"",מלאי!#REF!,"")</f>
        <v/>
      </c>
    </row>
    <row r="186" spans="1:12" ht="15" customHeight="1" x14ac:dyDescent="0.25">
      <c r="A186" s="23" t="str">
        <f>IF(מלאי!D189&lt;&gt;"",מלאי!D189,"")</f>
        <v/>
      </c>
      <c r="B186" s="23" t="str">
        <f>IF(מלאי!D189&lt;&gt;"",מלאי!B189&amp;IF(מלאי!C189&lt;&gt;""," ("&amp;מלאי!C189&amp;")",""),"")</f>
        <v/>
      </c>
      <c r="C186" s="23" t="str">
        <f>IF(מלאי!D189&lt;&gt;"",מלאי!A189,"")</f>
        <v/>
      </c>
      <c r="D186" s="23" t="str">
        <f>IF(מלאי!D189&lt;&gt;"",מלאי!H189,"")</f>
        <v/>
      </c>
      <c r="E186" s="23"/>
      <c r="F186" s="23"/>
      <c r="G186" s="23"/>
      <c r="H186" s="23" t="str">
        <f>IF(מלאי!D189&lt;&gt;"",מלאי!I189,"")</f>
        <v/>
      </c>
      <c r="I186" s="23"/>
      <c r="J186" s="23"/>
      <c r="K186" s="23"/>
      <c r="L186" s="23" t="str">
        <f>IF(מלאי!D189&lt;&gt;"",מלאי!#REF!,"")</f>
        <v/>
      </c>
    </row>
    <row r="187" spans="1:12" ht="15" customHeight="1" x14ac:dyDescent="0.25">
      <c r="A187" s="23" t="str">
        <f>IF(מלאי!D190&lt;&gt;"",מלאי!D190,"")</f>
        <v/>
      </c>
      <c r="B187" s="23" t="str">
        <f>IF(מלאי!D190&lt;&gt;"",מלאי!B190&amp;IF(מלאי!C190&lt;&gt;""," ("&amp;מלאי!C190&amp;")",""),"")</f>
        <v/>
      </c>
      <c r="C187" s="23" t="str">
        <f>IF(מלאי!D190&lt;&gt;"",מלאי!A190,"")</f>
        <v/>
      </c>
      <c r="D187" s="23" t="str">
        <f>IF(מלאי!D190&lt;&gt;"",מלאי!H190,"")</f>
        <v/>
      </c>
      <c r="E187" s="23"/>
      <c r="F187" s="23"/>
      <c r="G187" s="23"/>
      <c r="H187" s="23" t="str">
        <f>IF(מלאי!D190&lt;&gt;"",מלאי!I190,"")</f>
        <v/>
      </c>
      <c r="I187" s="23"/>
      <c r="J187" s="23"/>
      <c r="K187" s="23"/>
      <c r="L187" s="23" t="str">
        <f>IF(מלאי!D190&lt;&gt;"",מלאי!#REF!,"")</f>
        <v/>
      </c>
    </row>
    <row r="188" spans="1:12" ht="15" customHeight="1" x14ac:dyDescent="0.25">
      <c r="A188" s="23" t="str">
        <f>IF(מלאי!D191&lt;&gt;"",מלאי!D191,"")</f>
        <v/>
      </c>
      <c r="B188" s="23" t="str">
        <f>IF(מלאי!D191&lt;&gt;"",מלאי!B191&amp;IF(מלאי!C191&lt;&gt;""," ("&amp;מלאי!C191&amp;")",""),"")</f>
        <v/>
      </c>
      <c r="C188" s="23" t="str">
        <f>IF(מלאי!D191&lt;&gt;"",מלאי!A191,"")</f>
        <v/>
      </c>
      <c r="D188" s="23" t="str">
        <f>IF(מלאי!D191&lt;&gt;"",מלאי!H191,"")</f>
        <v/>
      </c>
      <c r="E188" s="23"/>
      <c r="F188" s="23"/>
      <c r="G188" s="23"/>
      <c r="H188" s="23" t="str">
        <f>IF(מלאי!D191&lt;&gt;"",מלאי!I191,"")</f>
        <v/>
      </c>
      <c r="I188" s="23"/>
      <c r="J188" s="23"/>
      <c r="K188" s="23"/>
      <c r="L188" s="23" t="str">
        <f>IF(מלאי!D191&lt;&gt;"",מלאי!#REF!,"")</f>
        <v/>
      </c>
    </row>
    <row r="189" spans="1:12" ht="15" customHeight="1" x14ac:dyDescent="0.25">
      <c r="A189" s="23" t="str">
        <f>IF(מלאי!D192&lt;&gt;"",מלאי!D192,"")</f>
        <v/>
      </c>
      <c r="B189" s="23" t="str">
        <f>IF(מלאי!D192&lt;&gt;"",מלאי!B192&amp;IF(מלאי!C192&lt;&gt;""," ("&amp;מלאי!C192&amp;")",""),"")</f>
        <v/>
      </c>
      <c r="C189" s="23" t="str">
        <f>IF(מלאי!D192&lt;&gt;"",מלאי!A192,"")</f>
        <v/>
      </c>
      <c r="D189" s="23" t="str">
        <f>IF(מלאי!D192&lt;&gt;"",מלאי!H192,"")</f>
        <v/>
      </c>
      <c r="E189" s="23"/>
      <c r="F189" s="23"/>
      <c r="G189" s="23"/>
      <c r="H189" s="23" t="str">
        <f>IF(מלאי!D192&lt;&gt;"",מלאי!I192,"")</f>
        <v/>
      </c>
      <c r="I189" s="23"/>
      <c r="J189" s="23"/>
      <c r="K189" s="23"/>
      <c r="L189" s="23" t="str">
        <f>IF(מלאי!D192&lt;&gt;"",מלאי!#REF!,"")</f>
        <v/>
      </c>
    </row>
    <row r="190" spans="1:12" ht="15" customHeight="1" x14ac:dyDescent="0.25">
      <c r="A190" s="23" t="str">
        <f>IF(מלאי!D193&lt;&gt;"",מלאי!D193,"")</f>
        <v/>
      </c>
      <c r="B190" s="23" t="str">
        <f>IF(מלאי!D193&lt;&gt;"",מלאי!B193&amp;IF(מלאי!C193&lt;&gt;""," ("&amp;מלאי!C193&amp;")",""),"")</f>
        <v/>
      </c>
      <c r="C190" s="23" t="str">
        <f>IF(מלאי!D193&lt;&gt;"",מלאי!A193,"")</f>
        <v/>
      </c>
      <c r="D190" s="23" t="str">
        <f>IF(מלאי!D193&lt;&gt;"",מלאי!H193,"")</f>
        <v/>
      </c>
      <c r="E190" s="23"/>
      <c r="F190" s="23"/>
      <c r="G190" s="23"/>
      <c r="H190" s="23" t="str">
        <f>IF(מלאי!D193&lt;&gt;"",מלאי!I193,"")</f>
        <v/>
      </c>
      <c r="I190" s="23"/>
      <c r="J190" s="23"/>
      <c r="K190" s="23"/>
      <c r="L190" s="23" t="str">
        <f>IF(מלאי!D193&lt;&gt;"",מלאי!#REF!,"")</f>
        <v/>
      </c>
    </row>
    <row r="191" spans="1:12" ht="15" customHeight="1" x14ac:dyDescent="0.25">
      <c r="A191" s="23" t="str">
        <f>IF(מלאי!D194&lt;&gt;"",מלאי!D194,"")</f>
        <v/>
      </c>
      <c r="B191" s="23" t="str">
        <f>IF(מלאי!D194&lt;&gt;"",מלאי!B194&amp;IF(מלאי!C194&lt;&gt;""," ("&amp;מלאי!C194&amp;")",""),"")</f>
        <v/>
      </c>
      <c r="C191" s="23" t="str">
        <f>IF(מלאי!D194&lt;&gt;"",מלאי!A194,"")</f>
        <v/>
      </c>
      <c r="D191" s="23" t="str">
        <f>IF(מלאי!D194&lt;&gt;"",מלאי!H194,"")</f>
        <v/>
      </c>
      <c r="E191" s="23"/>
      <c r="F191" s="23"/>
      <c r="G191" s="23"/>
      <c r="H191" s="23" t="str">
        <f>IF(מלאי!D194&lt;&gt;"",מלאי!I194,"")</f>
        <v/>
      </c>
      <c r="I191" s="23"/>
      <c r="J191" s="23"/>
      <c r="K191" s="23"/>
      <c r="L191" s="23" t="str">
        <f>IF(מלאי!D194&lt;&gt;"",מלאי!#REF!,"")</f>
        <v/>
      </c>
    </row>
    <row r="192" spans="1:12" ht="15" customHeight="1" x14ac:dyDescent="0.25">
      <c r="A192" s="23" t="str">
        <f>IF(מלאי!D195&lt;&gt;"",מלאי!D195,"")</f>
        <v/>
      </c>
      <c r="B192" s="23" t="str">
        <f>IF(מלאי!D195&lt;&gt;"",מלאי!B195&amp;IF(מלאי!C195&lt;&gt;""," ("&amp;מלאי!C195&amp;")",""),"")</f>
        <v/>
      </c>
      <c r="C192" s="23" t="str">
        <f>IF(מלאי!D195&lt;&gt;"",מלאי!A195,"")</f>
        <v/>
      </c>
      <c r="D192" s="23" t="str">
        <f>IF(מלאי!D195&lt;&gt;"",מלאי!H195,"")</f>
        <v/>
      </c>
      <c r="E192" s="23"/>
      <c r="F192" s="23"/>
      <c r="G192" s="23"/>
      <c r="H192" s="23" t="str">
        <f>IF(מלאי!D195&lt;&gt;"",מלאי!I195,"")</f>
        <v/>
      </c>
      <c r="I192" s="23"/>
      <c r="J192" s="23"/>
      <c r="K192" s="23"/>
      <c r="L192" s="23" t="str">
        <f>IF(מלאי!D195&lt;&gt;"",מלאי!#REF!,"")</f>
        <v/>
      </c>
    </row>
    <row r="193" spans="1:12" ht="15" customHeight="1" x14ac:dyDescent="0.25">
      <c r="A193" s="23" t="str">
        <f>IF(מלאי!D196&lt;&gt;"",מלאי!D196,"")</f>
        <v/>
      </c>
      <c r="B193" s="23" t="str">
        <f>IF(מלאי!D196&lt;&gt;"",מלאי!B196&amp;IF(מלאי!C196&lt;&gt;""," ("&amp;מלאי!C196&amp;")",""),"")</f>
        <v/>
      </c>
      <c r="C193" s="23" t="str">
        <f>IF(מלאי!D196&lt;&gt;"",מלאי!A196,"")</f>
        <v/>
      </c>
      <c r="D193" s="23" t="str">
        <f>IF(מלאי!D196&lt;&gt;"",מלאי!H196,"")</f>
        <v/>
      </c>
      <c r="E193" s="23"/>
      <c r="F193" s="23"/>
      <c r="G193" s="23"/>
      <c r="H193" s="23" t="str">
        <f>IF(מלאי!D196&lt;&gt;"",מלאי!I196,"")</f>
        <v/>
      </c>
      <c r="I193" s="23"/>
      <c r="J193" s="23"/>
      <c r="K193" s="23"/>
      <c r="L193" s="23" t="str">
        <f>IF(מלאי!D196&lt;&gt;"",מלאי!#REF!,"")</f>
        <v/>
      </c>
    </row>
    <row r="194" spans="1:12" ht="15" customHeight="1" x14ac:dyDescent="0.25">
      <c r="A194" s="23" t="str">
        <f>IF(מלאי!D197&lt;&gt;"",מלאי!D197,"")</f>
        <v/>
      </c>
      <c r="B194" s="23" t="str">
        <f>IF(מלאי!D197&lt;&gt;"",מלאי!B197&amp;IF(מלאי!C197&lt;&gt;""," ("&amp;מלאי!C197&amp;")",""),"")</f>
        <v/>
      </c>
      <c r="C194" s="23" t="str">
        <f>IF(מלאי!D197&lt;&gt;"",מלאי!A197,"")</f>
        <v/>
      </c>
      <c r="D194" s="23" t="str">
        <f>IF(מלאי!D197&lt;&gt;"",מלאי!H197,"")</f>
        <v/>
      </c>
      <c r="E194" s="23"/>
      <c r="F194" s="23"/>
      <c r="G194" s="23"/>
      <c r="H194" s="23" t="str">
        <f>IF(מלאי!D197&lt;&gt;"",מלאי!I197,"")</f>
        <v/>
      </c>
      <c r="I194" s="23"/>
      <c r="J194" s="23"/>
      <c r="K194" s="23"/>
      <c r="L194" s="23" t="str">
        <f>IF(מלאי!D197&lt;&gt;"",מלאי!#REF!,"")</f>
        <v/>
      </c>
    </row>
    <row r="195" spans="1:12" ht="15" customHeight="1" x14ac:dyDescent="0.25">
      <c r="A195" s="23" t="str">
        <f>IF(מלאי!D198&lt;&gt;"",מלאי!D198,"")</f>
        <v/>
      </c>
      <c r="B195" s="23" t="str">
        <f>IF(מלאי!D198&lt;&gt;"",מלאי!B198&amp;IF(מלאי!C198&lt;&gt;""," ("&amp;מלאי!C198&amp;")",""),"")</f>
        <v/>
      </c>
      <c r="C195" s="23" t="str">
        <f>IF(מלאי!D198&lt;&gt;"",מלאי!A198,"")</f>
        <v/>
      </c>
      <c r="D195" s="23" t="str">
        <f>IF(מלאי!D198&lt;&gt;"",מלאי!H198,"")</f>
        <v/>
      </c>
      <c r="E195" s="23"/>
      <c r="F195" s="23"/>
      <c r="G195" s="23"/>
      <c r="H195" s="23" t="str">
        <f>IF(מלאי!D198&lt;&gt;"",מלאי!I198,"")</f>
        <v/>
      </c>
      <c r="I195" s="23"/>
      <c r="J195" s="23"/>
      <c r="K195" s="23"/>
      <c r="L195" s="23" t="str">
        <f>IF(מלאי!D198&lt;&gt;"",מלאי!#REF!,"")</f>
        <v/>
      </c>
    </row>
    <row r="196" spans="1:12" ht="15" customHeight="1" x14ac:dyDescent="0.25">
      <c r="A196" s="23" t="str">
        <f>IF(מלאי!D199&lt;&gt;"",מלאי!D199,"")</f>
        <v/>
      </c>
      <c r="B196" s="23" t="str">
        <f>IF(מלאי!D199&lt;&gt;"",מלאי!B199&amp;IF(מלאי!C199&lt;&gt;""," ("&amp;מלאי!C199&amp;")",""),"")</f>
        <v/>
      </c>
      <c r="C196" s="23" t="str">
        <f>IF(מלאי!D199&lt;&gt;"",מלאי!A199,"")</f>
        <v/>
      </c>
      <c r="D196" s="23" t="str">
        <f>IF(מלאי!D199&lt;&gt;"",מלאי!H199,"")</f>
        <v/>
      </c>
      <c r="E196" s="23"/>
      <c r="F196" s="23"/>
      <c r="G196" s="23"/>
      <c r="H196" s="23" t="str">
        <f>IF(מלאי!D199&lt;&gt;"",מלאי!I199,"")</f>
        <v/>
      </c>
      <c r="I196" s="23"/>
      <c r="J196" s="23"/>
      <c r="K196" s="23"/>
      <c r="L196" s="23" t="str">
        <f>IF(מלאי!D199&lt;&gt;"",מלאי!#REF!,"")</f>
        <v/>
      </c>
    </row>
    <row r="197" spans="1:12" ht="15" customHeight="1" x14ac:dyDescent="0.25">
      <c r="A197" s="23" t="str">
        <f>IF(מלאי!D200&lt;&gt;"",מלאי!D200,"")</f>
        <v/>
      </c>
      <c r="B197" s="23" t="str">
        <f>IF(מלאי!D200&lt;&gt;"",מלאי!B200&amp;IF(מלאי!C200&lt;&gt;""," ("&amp;מלאי!C200&amp;")",""),"")</f>
        <v/>
      </c>
      <c r="C197" s="23" t="str">
        <f>IF(מלאי!D200&lt;&gt;"",מלאי!A200,"")</f>
        <v/>
      </c>
      <c r="D197" s="23" t="str">
        <f>IF(מלאי!D200&lt;&gt;"",מלאי!H200,"")</f>
        <v/>
      </c>
      <c r="E197" s="23"/>
      <c r="F197" s="23"/>
      <c r="G197" s="23"/>
      <c r="H197" s="23" t="str">
        <f>IF(מלאי!D200&lt;&gt;"",מלאי!I200,"")</f>
        <v/>
      </c>
      <c r="I197" s="23"/>
      <c r="J197" s="23"/>
      <c r="K197" s="23"/>
      <c r="L197" s="23" t="str">
        <f>IF(מלאי!D200&lt;&gt;"",מלאי!#REF!,"")</f>
        <v/>
      </c>
    </row>
    <row r="198" spans="1:12" ht="15" customHeight="1" x14ac:dyDescent="0.25">
      <c r="A198" s="23" t="str">
        <f>IF(מלאי!D201&lt;&gt;"",מלאי!D201,"")</f>
        <v/>
      </c>
      <c r="B198" s="23" t="str">
        <f>IF(מלאי!D201&lt;&gt;"",מלאי!B201&amp;IF(מלאי!C201&lt;&gt;""," ("&amp;מלאי!C201&amp;")",""),"")</f>
        <v/>
      </c>
      <c r="C198" s="23" t="str">
        <f>IF(מלאי!D201&lt;&gt;"",מלאי!A201,"")</f>
        <v/>
      </c>
      <c r="D198" s="23" t="str">
        <f>IF(מלאי!D201&lt;&gt;"",מלאי!H201,"")</f>
        <v/>
      </c>
      <c r="E198" s="23"/>
      <c r="F198" s="23"/>
      <c r="G198" s="23"/>
      <c r="H198" s="23" t="str">
        <f>IF(מלאי!D201&lt;&gt;"",מלאי!I201,"")</f>
        <v/>
      </c>
      <c r="I198" s="23"/>
      <c r="J198" s="23"/>
      <c r="K198" s="23"/>
      <c r="L198" s="23" t="str">
        <f>IF(מלאי!D201&lt;&gt;"",מלאי!#REF!,"")</f>
        <v/>
      </c>
    </row>
    <row r="199" spans="1:12" ht="15" customHeight="1" x14ac:dyDescent="0.25">
      <c r="A199" s="23" t="str">
        <f>IF(מלאי!D202&lt;&gt;"",מלאי!D202,"")</f>
        <v/>
      </c>
      <c r="B199" s="23" t="str">
        <f>IF(מלאי!D202&lt;&gt;"",מלאי!B202&amp;IF(מלאי!C202&lt;&gt;""," ("&amp;מלאי!C202&amp;")",""),"")</f>
        <v/>
      </c>
      <c r="C199" s="23" t="str">
        <f>IF(מלאי!D202&lt;&gt;"",מלאי!A202,"")</f>
        <v/>
      </c>
      <c r="D199" s="23" t="str">
        <f>IF(מלאי!D202&lt;&gt;"",מלאי!H202,"")</f>
        <v/>
      </c>
      <c r="E199" s="23"/>
      <c r="F199" s="23"/>
      <c r="G199" s="23"/>
      <c r="H199" s="23" t="str">
        <f>IF(מלאי!D202&lt;&gt;"",מלאי!I202,"")</f>
        <v/>
      </c>
      <c r="I199" s="23"/>
      <c r="J199" s="23"/>
      <c r="K199" s="23"/>
      <c r="L199" s="23" t="str">
        <f>IF(מלאי!D202&lt;&gt;"",מלאי!#REF!,"")</f>
        <v/>
      </c>
    </row>
    <row r="200" spans="1:12" ht="15" customHeight="1" x14ac:dyDescent="0.25">
      <c r="A200" s="23" t="str">
        <f>IF(מלאי!D203&lt;&gt;"",מלאי!D203,"")</f>
        <v/>
      </c>
      <c r="B200" s="23" t="str">
        <f>IF(מלאי!D203&lt;&gt;"",מלאי!B203&amp;IF(מלאי!C203&lt;&gt;""," ("&amp;מלאי!C203&amp;")",""),"")</f>
        <v/>
      </c>
      <c r="C200" s="23" t="str">
        <f>IF(מלאי!D203&lt;&gt;"",מלאי!A203,"")</f>
        <v/>
      </c>
      <c r="D200" s="23" t="str">
        <f>IF(מלאי!D203&lt;&gt;"",מלאי!H203,"")</f>
        <v/>
      </c>
      <c r="E200" s="23"/>
      <c r="F200" s="23"/>
      <c r="G200" s="23"/>
      <c r="H200" s="23" t="str">
        <f>IF(מלאי!D203&lt;&gt;"",מלאי!I203,"")</f>
        <v/>
      </c>
      <c r="I200" s="23"/>
      <c r="J200" s="23"/>
      <c r="K200" s="23"/>
      <c r="L200" s="23" t="str">
        <f>IF(מלאי!D203&lt;&gt;"",מלאי!#REF!,"")</f>
        <v/>
      </c>
    </row>
    <row r="201" spans="1:12" ht="15" customHeight="1" x14ac:dyDescent="0.25">
      <c r="A201" s="23" t="str">
        <f>IF(מלאי!D204&lt;&gt;"",מלאי!D204,"")</f>
        <v/>
      </c>
      <c r="B201" s="23" t="str">
        <f>IF(מלאי!D204&lt;&gt;"",מלאי!B204&amp;IF(מלאי!C204&lt;&gt;""," ("&amp;מלאי!C204&amp;")",""),"")</f>
        <v/>
      </c>
      <c r="C201" s="23" t="str">
        <f>IF(מלאי!D204&lt;&gt;"",מלאי!A204,"")</f>
        <v/>
      </c>
      <c r="D201" s="23" t="str">
        <f>IF(מלאי!D204&lt;&gt;"",מלאי!H204,"")</f>
        <v/>
      </c>
      <c r="E201" s="23"/>
      <c r="F201" s="23"/>
      <c r="G201" s="23"/>
      <c r="H201" s="23" t="str">
        <f>IF(מלאי!D204&lt;&gt;"",מלאי!I204,"")</f>
        <v/>
      </c>
      <c r="I201" s="23"/>
      <c r="J201" s="23"/>
      <c r="K201" s="23"/>
      <c r="L201" s="23" t="str">
        <f>IF(מלאי!D204&lt;&gt;"",מלאי!#REF!,"")</f>
        <v/>
      </c>
    </row>
    <row r="202" spans="1:12" ht="15" customHeight="1" x14ac:dyDescent="0.25">
      <c r="A202" s="23" t="str">
        <f>IF(מלאי!D205&lt;&gt;"",מלאי!D205,"")</f>
        <v/>
      </c>
      <c r="B202" s="23" t="str">
        <f>IF(מלאי!D205&lt;&gt;"",מלאי!B205&amp;IF(מלאי!C205&lt;&gt;""," ("&amp;מלאי!C205&amp;")",""),"")</f>
        <v/>
      </c>
      <c r="C202" s="23" t="str">
        <f>IF(מלאי!D205&lt;&gt;"",מלאי!A205,"")</f>
        <v/>
      </c>
      <c r="D202" s="23" t="str">
        <f>IF(מלאי!D205&lt;&gt;"",מלאי!H205,"")</f>
        <v/>
      </c>
      <c r="E202" s="23"/>
      <c r="F202" s="23"/>
      <c r="G202" s="23"/>
      <c r="H202" s="23" t="str">
        <f>IF(מלאי!D205&lt;&gt;"",מלאי!I205,"")</f>
        <v/>
      </c>
      <c r="I202" s="23"/>
      <c r="J202" s="23"/>
      <c r="K202" s="23"/>
      <c r="L202" s="23" t="str">
        <f>IF(מלאי!D205&lt;&gt;"",מלאי!#REF!,"")</f>
        <v/>
      </c>
    </row>
    <row r="203" spans="1:12" ht="15" customHeight="1" x14ac:dyDescent="0.25">
      <c r="A203" s="23" t="str">
        <f>IF(מלאי!D206&lt;&gt;"",מלאי!D206,"")</f>
        <v/>
      </c>
      <c r="B203" s="23" t="str">
        <f>IF(מלאי!D206&lt;&gt;"",מלאי!B206&amp;IF(מלאי!C206&lt;&gt;""," ("&amp;מלאי!C206&amp;")",""),"")</f>
        <v/>
      </c>
      <c r="C203" s="23" t="str">
        <f>IF(מלאי!D206&lt;&gt;"",מלאי!A206,"")</f>
        <v/>
      </c>
      <c r="D203" s="23" t="str">
        <f>IF(מלאי!D206&lt;&gt;"",מלאי!H206,"")</f>
        <v/>
      </c>
      <c r="E203" s="23"/>
      <c r="F203" s="23"/>
      <c r="G203" s="23"/>
      <c r="H203" s="23" t="str">
        <f>IF(מלאי!D206&lt;&gt;"",מלאי!I206,"")</f>
        <v/>
      </c>
      <c r="I203" s="23"/>
      <c r="J203" s="23"/>
      <c r="K203" s="23"/>
      <c r="L203" s="23" t="str">
        <f>IF(מלאי!D206&lt;&gt;"",מלאי!#REF!,"")</f>
        <v/>
      </c>
    </row>
    <row r="204" spans="1:12" ht="15" customHeight="1" x14ac:dyDescent="0.25">
      <c r="A204" s="23" t="str">
        <f>IF(מלאי!D207&lt;&gt;"",מלאי!D207,"")</f>
        <v/>
      </c>
      <c r="B204" s="23" t="str">
        <f>IF(מלאי!D207&lt;&gt;"",מלאי!B207&amp;IF(מלאי!C207&lt;&gt;""," ("&amp;מלאי!C207&amp;")",""),"")</f>
        <v/>
      </c>
      <c r="C204" s="23" t="str">
        <f>IF(מלאי!D207&lt;&gt;"",מלאי!A207,"")</f>
        <v/>
      </c>
      <c r="D204" s="23" t="str">
        <f>IF(מלאי!D207&lt;&gt;"",מלאי!H207,"")</f>
        <v/>
      </c>
      <c r="E204" s="23"/>
      <c r="F204" s="23"/>
      <c r="G204" s="23"/>
      <c r="H204" s="23" t="str">
        <f>IF(מלאי!D207&lt;&gt;"",מלאי!I207,"")</f>
        <v/>
      </c>
      <c r="I204" s="23"/>
      <c r="J204" s="23"/>
      <c r="K204" s="23"/>
      <c r="L204" s="23" t="str">
        <f>IF(מלאי!D207&lt;&gt;"",מלאי!#REF!,"")</f>
        <v/>
      </c>
    </row>
    <row r="205" spans="1:12" ht="15" customHeight="1" x14ac:dyDescent="0.25">
      <c r="A205" s="23" t="str">
        <f>IF(מלאי!D208&lt;&gt;"",מלאי!D208,"")</f>
        <v/>
      </c>
      <c r="B205" s="23" t="str">
        <f>IF(מלאי!D208&lt;&gt;"",מלאי!B208&amp;IF(מלאי!C208&lt;&gt;""," ("&amp;מלאי!C208&amp;")",""),"")</f>
        <v/>
      </c>
      <c r="C205" s="23" t="str">
        <f>IF(מלאי!D208&lt;&gt;"",מלאי!A208,"")</f>
        <v/>
      </c>
      <c r="D205" s="23" t="str">
        <f>IF(מלאי!D208&lt;&gt;"",מלאי!H208,"")</f>
        <v/>
      </c>
      <c r="E205" s="23"/>
      <c r="F205" s="23"/>
      <c r="G205" s="23"/>
      <c r="H205" s="23" t="str">
        <f>IF(מלאי!D208&lt;&gt;"",מלאי!I208,"")</f>
        <v/>
      </c>
      <c r="I205" s="23"/>
      <c r="J205" s="23"/>
      <c r="K205" s="23"/>
      <c r="L205" s="23" t="str">
        <f>IF(מלאי!D208&lt;&gt;"",מלאי!#REF!,"")</f>
        <v/>
      </c>
    </row>
    <row r="206" spans="1:12" ht="15" customHeight="1" x14ac:dyDescent="0.25">
      <c r="A206" s="23" t="str">
        <f>IF(מלאי!D209&lt;&gt;"",מלאי!D209,"")</f>
        <v/>
      </c>
      <c r="B206" s="23" t="str">
        <f>IF(מלאי!D209&lt;&gt;"",מלאי!B209&amp;IF(מלאי!C209&lt;&gt;""," ("&amp;מלאי!C209&amp;")",""),"")</f>
        <v/>
      </c>
      <c r="C206" s="23" t="str">
        <f>IF(מלאי!D209&lt;&gt;"",מלאי!A209,"")</f>
        <v/>
      </c>
      <c r="D206" s="23" t="str">
        <f>IF(מלאי!D209&lt;&gt;"",מלאי!H209,"")</f>
        <v/>
      </c>
      <c r="E206" s="23"/>
      <c r="F206" s="23"/>
      <c r="G206" s="23"/>
      <c r="H206" s="23" t="str">
        <f>IF(מלאי!D209&lt;&gt;"",מלאי!I209,"")</f>
        <v/>
      </c>
      <c r="I206" s="23"/>
      <c r="J206" s="23"/>
      <c r="K206" s="23"/>
      <c r="L206" s="23" t="str">
        <f>IF(מלאי!D209&lt;&gt;"",מלאי!#REF!,"")</f>
        <v/>
      </c>
    </row>
    <row r="207" spans="1:12" ht="15" customHeight="1" x14ac:dyDescent="0.25">
      <c r="A207" s="23" t="str">
        <f>IF(מלאי!D210&lt;&gt;"",מלאי!D210,"")</f>
        <v/>
      </c>
      <c r="B207" s="23" t="str">
        <f>IF(מלאי!D210&lt;&gt;"",מלאי!B210&amp;IF(מלאי!C210&lt;&gt;""," ("&amp;מלאי!C210&amp;")",""),"")</f>
        <v/>
      </c>
      <c r="C207" s="23" t="str">
        <f>IF(מלאי!D210&lt;&gt;"",מלאי!A210,"")</f>
        <v/>
      </c>
      <c r="D207" s="23" t="str">
        <f>IF(מלאי!D210&lt;&gt;"",מלאי!H210,"")</f>
        <v/>
      </c>
      <c r="E207" s="23"/>
      <c r="F207" s="23"/>
      <c r="G207" s="23"/>
      <c r="H207" s="23" t="str">
        <f>IF(מלאי!D210&lt;&gt;"",מלאי!I210,"")</f>
        <v/>
      </c>
      <c r="I207" s="23"/>
      <c r="J207" s="23"/>
      <c r="K207" s="23"/>
      <c r="L207" s="23" t="str">
        <f>IF(מלאי!D210&lt;&gt;"",מלאי!#REF!,"")</f>
        <v/>
      </c>
    </row>
    <row r="208" spans="1:12" ht="15" customHeight="1" x14ac:dyDescent="0.25">
      <c r="A208" s="23" t="str">
        <f>IF(מלאי!D211&lt;&gt;"",מלאי!D211,"")</f>
        <v/>
      </c>
      <c r="B208" s="23" t="str">
        <f>IF(מלאי!D211&lt;&gt;"",מלאי!B211&amp;IF(מלאי!C211&lt;&gt;""," ("&amp;מלאי!C211&amp;")",""),"")</f>
        <v/>
      </c>
      <c r="C208" s="23" t="str">
        <f>IF(מלאי!D211&lt;&gt;"",מלאי!A211,"")</f>
        <v/>
      </c>
      <c r="D208" s="23" t="str">
        <f>IF(מלאי!D211&lt;&gt;"",מלאי!H211,"")</f>
        <v/>
      </c>
      <c r="E208" s="23"/>
      <c r="F208" s="23"/>
      <c r="G208" s="23"/>
      <c r="H208" s="23" t="str">
        <f>IF(מלאי!D211&lt;&gt;"",מלאי!I211,"")</f>
        <v/>
      </c>
      <c r="I208" s="23"/>
      <c r="J208" s="23"/>
      <c r="K208" s="23"/>
      <c r="L208" s="23" t="str">
        <f>IF(מלאי!D211&lt;&gt;"",מלאי!#REF!,"")</f>
        <v/>
      </c>
    </row>
    <row r="209" spans="1:12" ht="15" customHeight="1" x14ac:dyDescent="0.25">
      <c r="A209" s="23" t="str">
        <f>IF(מלאי!D212&lt;&gt;"",מלאי!D212,"")</f>
        <v/>
      </c>
      <c r="B209" s="23" t="str">
        <f>IF(מלאי!D212&lt;&gt;"",מלאי!B212&amp;IF(מלאי!C212&lt;&gt;""," ("&amp;מלאי!C212&amp;")",""),"")</f>
        <v/>
      </c>
      <c r="C209" s="23" t="str">
        <f>IF(מלאי!D212&lt;&gt;"",מלאי!A212,"")</f>
        <v/>
      </c>
      <c r="D209" s="23" t="str">
        <f>IF(מלאי!D212&lt;&gt;"",מלאי!H212,"")</f>
        <v/>
      </c>
      <c r="E209" s="23"/>
      <c r="F209" s="23"/>
      <c r="G209" s="23"/>
      <c r="H209" s="23" t="str">
        <f>IF(מלאי!D212&lt;&gt;"",מלאי!I212,"")</f>
        <v/>
      </c>
      <c r="I209" s="23"/>
      <c r="J209" s="23"/>
      <c r="K209" s="23"/>
      <c r="L209" s="23" t="str">
        <f>IF(מלאי!D212&lt;&gt;"",מלאי!#REF!,"")</f>
        <v/>
      </c>
    </row>
    <row r="210" spans="1:12" ht="15" customHeight="1" x14ac:dyDescent="0.25">
      <c r="A210" s="23" t="str">
        <f>IF(מלאי!D213&lt;&gt;"",מלאי!D213,"")</f>
        <v/>
      </c>
      <c r="B210" s="23" t="str">
        <f>IF(מלאי!D213&lt;&gt;"",מלאי!B213&amp;IF(מלאי!C213&lt;&gt;""," ("&amp;מלאי!C213&amp;")",""),"")</f>
        <v/>
      </c>
      <c r="C210" s="23" t="str">
        <f>IF(מלאי!D213&lt;&gt;"",מלאי!A213,"")</f>
        <v/>
      </c>
      <c r="D210" s="23" t="str">
        <f>IF(מלאי!D213&lt;&gt;"",מלאי!H213,"")</f>
        <v/>
      </c>
      <c r="E210" s="23"/>
      <c r="F210" s="23"/>
      <c r="G210" s="23"/>
      <c r="H210" s="23" t="str">
        <f>IF(מלאי!D213&lt;&gt;"",מלאי!I213,"")</f>
        <v/>
      </c>
      <c r="I210" s="23"/>
      <c r="J210" s="23"/>
      <c r="K210" s="23"/>
      <c r="L210" s="23" t="str">
        <f>IF(מלאי!D213&lt;&gt;"",מלאי!#REF!,"")</f>
        <v/>
      </c>
    </row>
    <row r="211" spans="1:12" ht="15" customHeight="1" x14ac:dyDescent="0.25">
      <c r="A211" s="23" t="str">
        <f>IF(מלאי!D214&lt;&gt;"",מלאי!D214,"")</f>
        <v/>
      </c>
      <c r="B211" s="23" t="str">
        <f>IF(מלאי!D214&lt;&gt;"",מלאי!B214&amp;IF(מלאי!C214&lt;&gt;""," ("&amp;מלאי!C214&amp;")",""),"")</f>
        <v/>
      </c>
      <c r="C211" s="23" t="str">
        <f>IF(מלאי!D214&lt;&gt;"",מלאי!A214,"")</f>
        <v/>
      </c>
      <c r="D211" s="23" t="str">
        <f>IF(מלאי!D214&lt;&gt;"",מלאי!H214,"")</f>
        <v/>
      </c>
      <c r="E211" s="23"/>
      <c r="F211" s="23"/>
      <c r="G211" s="23"/>
      <c r="H211" s="23" t="str">
        <f>IF(מלאי!D214&lt;&gt;"",מלאי!I214,"")</f>
        <v/>
      </c>
      <c r="I211" s="23"/>
      <c r="J211" s="23"/>
      <c r="K211" s="23"/>
      <c r="L211" s="23" t="str">
        <f>IF(מלאי!D214&lt;&gt;"",מלאי!#REF!,"")</f>
        <v/>
      </c>
    </row>
    <row r="212" spans="1:12" ht="15" customHeight="1" x14ac:dyDescent="0.25">
      <c r="A212" s="23" t="str">
        <f>IF(מלאי!D215&lt;&gt;"",מלאי!D215,"")</f>
        <v/>
      </c>
      <c r="B212" s="23" t="str">
        <f>IF(מלאי!D215&lt;&gt;"",מלאי!B215&amp;IF(מלאי!C215&lt;&gt;""," ("&amp;מלאי!C215&amp;")",""),"")</f>
        <v/>
      </c>
      <c r="C212" s="23" t="str">
        <f>IF(מלאי!D215&lt;&gt;"",מלאי!A215,"")</f>
        <v/>
      </c>
      <c r="D212" s="23" t="str">
        <f>IF(מלאי!D215&lt;&gt;"",מלאי!H215,"")</f>
        <v/>
      </c>
      <c r="E212" s="23"/>
      <c r="F212" s="23"/>
      <c r="G212" s="23"/>
      <c r="H212" s="23" t="str">
        <f>IF(מלאי!D215&lt;&gt;"",מלאי!I215,"")</f>
        <v/>
      </c>
      <c r="I212" s="23"/>
      <c r="J212" s="23"/>
      <c r="K212" s="23"/>
      <c r="L212" s="23" t="str">
        <f>IF(מלאי!D215&lt;&gt;"",מלאי!#REF!,"")</f>
        <v/>
      </c>
    </row>
    <row r="213" spans="1:12" ht="15" customHeight="1" x14ac:dyDescent="0.25">
      <c r="A213" s="23" t="str">
        <f>IF(מלאי!D216&lt;&gt;"",מלאי!D216,"")</f>
        <v/>
      </c>
      <c r="B213" s="23" t="str">
        <f>IF(מלאי!D216&lt;&gt;"",מלאי!B216&amp;IF(מלאי!C216&lt;&gt;""," ("&amp;מלאי!C216&amp;")",""),"")</f>
        <v/>
      </c>
      <c r="C213" s="23" t="str">
        <f>IF(מלאי!D216&lt;&gt;"",מלאי!A216,"")</f>
        <v/>
      </c>
      <c r="D213" s="23" t="str">
        <f>IF(מלאי!D216&lt;&gt;"",מלאי!H216,"")</f>
        <v/>
      </c>
      <c r="E213" s="23"/>
      <c r="F213" s="23"/>
      <c r="G213" s="23"/>
      <c r="H213" s="23" t="str">
        <f>IF(מלאי!D216&lt;&gt;"",מלאי!I216,"")</f>
        <v/>
      </c>
      <c r="I213" s="23"/>
      <c r="J213" s="23"/>
      <c r="K213" s="23"/>
      <c r="L213" s="23" t="str">
        <f>IF(מלאי!D216&lt;&gt;"",מלאי!#REF!,"")</f>
        <v/>
      </c>
    </row>
    <row r="214" spans="1:12" ht="15" customHeight="1" x14ac:dyDescent="0.25">
      <c r="A214" s="23" t="str">
        <f>IF(מלאי!D217&lt;&gt;"",מלאי!D217,"")</f>
        <v/>
      </c>
      <c r="B214" s="23" t="str">
        <f>IF(מלאי!D217&lt;&gt;"",מלאי!B217&amp;IF(מלאי!C217&lt;&gt;""," ("&amp;מלאי!C217&amp;")",""),"")</f>
        <v/>
      </c>
      <c r="C214" s="23" t="str">
        <f>IF(מלאי!D217&lt;&gt;"",מלאי!A217,"")</f>
        <v/>
      </c>
      <c r="D214" s="23" t="str">
        <f>IF(מלאי!D217&lt;&gt;"",מלאי!H217,"")</f>
        <v/>
      </c>
      <c r="E214" s="23"/>
      <c r="F214" s="23"/>
      <c r="G214" s="23"/>
      <c r="H214" s="23" t="str">
        <f>IF(מלאי!D217&lt;&gt;"",מלאי!I217,"")</f>
        <v/>
      </c>
      <c r="I214" s="23"/>
      <c r="J214" s="23"/>
      <c r="K214" s="23"/>
      <c r="L214" s="23" t="str">
        <f>IF(מלאי!D217&lt;&gt;"",מלאי!#REF!,"")</f>
        <v/>
      </c>
    </row>
    <row r="215" spans="1:12" ht="15" customHeight="1" x14ac:dyDescent="0.25">
      <c r="A215" s="23" t="str">
        <f>IF(מלאי!D218&lt;&gt;"",מלאי!D218,"")</f>
        <v/>
      </c>
      <c r="B215" s="23" t="str">
        <f>IF(מלאי!D218&lt;&gt;"",מלאי!B218&amp;IF(מלאי!C218&lt;&gt;""," ("&amp;מלאי!C218&amp;")",""),"")</f>
        <v/>
      </c>
      <c r="C215" s="23" t="str">
        <f>IF(מלאי!D218&lt;&gt;"",מלאי!A218,"")</f>
        <v/>
      </c>
      <c r="D215" s="23" t="str">
        <f>IF(מלאי!D218&lt;&gt;"",מלאי!H218,"")</f>
        <v/>
      </c>
      <c r="E215" s="23"/>
      <c r="F215" s="23"/>
      <c r="G215" s="23"/>
      <c r="H215" s="23" t="str">
        <f>IF(מלאי!D218&lt;&gt;"",מלאי!I218,"")</f>
        <v/>
      </c>
      <c r="I215" s="23"/>
      <c r="J215" s="23"/>
      <c r="K215" s="23"/>
      <c r="L215" s="23" t="str">
        <f>IF(מלאי!D218&lt;&gt;"",מלאי!#REF!,"")</f>
        <v/>
      </c>
    </row>
    <row r="216" spans="1:12" ht="15" customHeight="1" x14ac:dyDescent="0.25">
      <c r="A216" s="23" t="str">
        <f>IF(מלאי!D219&lt;&gt;"",מלאי!D219,"")</f>
        <v/>
      </c>
      <c r="B216" s="23" t="str">
        <f>IF(מלאי!D219&lt;&gt;"",מלאי!B219&amp;IF(מלאי!C219&lt;&gt;""," ("&amp;מלאי!C219&amp;")",""),"")</f>
        <v/>
      </c>
      <c r="C216" s="23" t="str">
        <f>IF(מלאי!D219&lt;&gt;"",מלאי!A219,"")</f>
        <v/>
      </c>
      <c r="D216" s="23" t="str">
        <f>IF(מלאי!D219&lt;&gt;"",מלאי!H219,"")</f>
        <v/>
      </c>
      <c r="E216" s="23"/>
      <c r="F216" s="23"/>
      <c r="G216" s="23"/>
      <c r="H216" s="23" t="str">
        <f>IF(מלאי!D219&lt;&gt;"",מלאי!I219,"")</f>
        <v/>
      </c>
      <c r="I216" s="23"/>
      <c r="J216" s="23"/>
      <c r="K216" s="23"/>
      <c r="L216" s="23" t="str">
        <f>IF(מלאי!D219&lt;&gt;"",מלאי!#REF!,"")</f>
        <v/>
      </c>
    </row>
    <row r="217" spans="1:12" ht="15" customHeight="1" x14ac:dyDescent="0.25">
      <c r="A217" s="23" t="str">
        <f>IF(מלאי!D220&lt;&gt;"",מלאי!D220,"")</f>
        <v/>
      </c>
      <c r="B217" s="23" t="str">
        <f>IF(מלאי!D220&lt;&gt;"",מלאי!B220&amp;IF(מלאי!C220&lt;&gt;""," ("&amp;מלאי!C220&amp;")",""),"")</f>
        <v/>
      </c>
      <c r="C217" s="23" t="str">
        <f>IF(מלאי!D220&lt;&gt;"",מלאי!A220,"")</f>
        <v/>
      </c>
      <c r="D217" s="23" t="str">
        <f>IF(מלאי!D220&lt;&gt;"",מלאי!H220,"")</f>
        <v/>
      </c>
      <c r="E217" s="23"/>
      <c r="F217" s="23"/>
      <c r="G217" s="23"/>
      <c r="H217" s="23" t="str">
        <f>IF(מלאי!D220&lt;&gt;"",מלאי!I220,"")</f>
        <v/>
      </c>
      <c r="I217" s="23"/>
      <c r="J217" s="23"/>
      <c r="K217" s="23"/>
      <c r="L217" s="23" t="str">
        <f>IF(מלאי!D220&lt;&gt;"",מלאי!#REF!,"")</f>
        <v/>
      </c>
    </row>
    <row r="218" spans="1:12" ht="15" customHeight="1" x14ac:dyDescent="0.25">
      <c r="A218" s="23" t="str">
        <f>IF(מלאי!D221&lt;&gt;"",מלאי!D221,"")</f>
        <v/>
      </c>
      <c r="B218" s="23" t="str">
        <f>IF(מלאי!D221&lt;&gt;"",מלאי!B221&amp;IF(מלאי!C221&lt;&gt;""," ("&amp;מלאי!C221&amp;")",""),"")</f>
        <v/>
      </c>
      <c r="C218" s="23" t="str">
        <f>IF(מלאי!D221&lt;&gt;"",מלאי!A221,"")</f>
        <v/>
      </c>
      <c r="D218" s="23" t="str">
        <f>IF(מלאי!D221&lt;&gt;"",מלאי!H221,"")</f>
        <v/>
      </c>
      <c r="E218" s="23"/>
      <c r="F218" s="23"/>
      <c r="G218" s="23"/>
      <c r="H218" s="23" t="str">
        <f>IF(מלאי!D221&lt;&gt;"",מלאי!I221,"")</f>
        <v/>
      </c>
      <c r="I218" s="23"/>
      <c r="J218" s="23"/>
      <c r="K218" s="23"/>
      <c r="L218" s="23" t="str">
        <f>IF(מלאי!D221&lt;&gt;"",מלאי!#REF!,"")</f>
        <v/>
      </c>
    </row>
    <row r="219" spans="1:12" ht="15" customHeight="1" x14ac:dyDescent="0.25">
      <c r="A219" s="23" t="str">
        <f>IF(מלאי!D222&lt;&gt;"",מלאי!D222,"")</f>
        <v/>
      </c>
      <c r="B219" s="23" t="str">
        <f>IF(מלאי!D222&lt;&gt;"",מלאי!B222&amp;IF(מלאי!C222&lt;&gt;""," ("&amp;מלאי!C222&amp;")",""),"")</f>
        <v/>
      </c>
      <c r="C219" s="23" t="str">
        <f>IF(מלאי!D222&lt;&gt;"",מלאי!A222,"")</f>
        <v/>
      </c>
      <c r="D219" s="23" t="str">
        <f>IF(מלאי!D222&lt;&gt;"",מלאי!H222,"")</f>
        <v/>
      </c>
      <c r="E219" s="23"/>
      <c r="F219" s="23"/>
      <c r="G219" s="23"/>
      <c r="H219" s="23" t="str">
        <f>IF(מלאי!D222&lt;&gt;"",מלאי!I222,"")</f>
        <v/>
      </c>
      <c r="I219" s="23"/>
      <c r="J219" s="23"/>
      <c r="K219" s="23"/>
      <c r="L219" s="23" t="str">
        <f>IF(מלאי!D222&lt;&gt;"",מלאי!#REF!,"")</f>
        <v/>
      </c>
    </row>
    <row r="220" spans="1:12" ht="15" customHeight="1" x14ac:dyDescent="0.25">
      <c r="A220" s="23" t="str">
        <f>IF(מלאי!D223&lt;&gt;"",מלאי!D223,"")</f>
        <v/>
      </c>
      <c r="B220" s="23" t="str">
        <f>IF(מלאי!D223&lt;&gt;"",מלאי!B223&amp;IF(מלאי!C223&lt;&gt;""," ("&amp;מלאי!C223&amp;")",""),"")</f>
        <v/>
      </c>
      <c r="C220" s="23" t="str">
        <f>IF(מלאי!D223&lt;&gt;"",מלאי!A223,"")</f>
        <v/>
      </c>
      <c r="D220" s="23" t="str">
        <f>IF(מלאי!D223&lt;&gt;"",מלאי!H223,"")</f>
        <v/>
      </c>
      <c r="E220" s="23"/>
      <c r="F220" s="23"/>
      <c r="G220" s="23"/>
      <c r="H220" s="23" t="str">
        <f>IF(מלאי!D223&lt;&gt;"",מלאי!I223,"")</f>
        <v/>
      </c>
      <c r="I220" s="23"/>
      <c r="J220" s="23"/>
      <c r="K220" s="23"/>
      <c r="L220" s="23" t="str">
        <f>IF(מלאי!D223&lt;&gt;"",מלאי!#REF!,"")</f>
        <v/>
      </c>
    </row>
    <row r="221" spans="1:12" ht="15" customHeight="1" x14ac:dyDescent="0.25">
      <c r="A221" s="23" t="str">
        <f>IF(מלאי!D224&lt;&gt;"",מלאי!D224,"")</f>
        <v/>
      </c>
      <c r="B221" s="23" t="str">
        <f>IF(מלאי!D224&lt;&gt;"",מלאי!B224&amp;IF(מלאי!C224&lt;&gt;""," ("&amp;מלאי!C224&amp;")",""),"")</f>
        <v/>
      </c>
      <c r="C221" s="23" t="str">
        <f>IF(מלאי!D224&lt;&gt;"",מלאי!A224,"")</f>
        <v/>
      </c>
      <c r="D221" s="23" t="str">
        <f>IF(מלאי!D224&lt;&gt;"",מלאי!H224,"")</f>
        <v/>
      </c>
      <c r="E221" s="23"/>
      <c r="F221" s="23"/>
      <c r="G221" s="23"/>
      <c r="H221" s="23" t="str">
        <f>IF(מלאי!D224&lt;&gt;"",מלאי!I224,"")</f>
        <v/>
      </c>
      <c r="I221" s="23"/>
      <c r="J221" s="23"/>
      <c r="K221" s="23"/>
      <c r="L221" s="23" t="str">
        <f>IF(מלאי!D224&lt;&gt;"",מלאי!#REF!,"")</f>
        <v/>
      </c>
    </row>
    <row r="222" spans="1:12" ht="15" customHeight="1" x14ac:dyDescent="0.25">
      <c r="A222" s="23" t="str">
        <f>IF(מלאי!D225&lt;&gt;"",מלאי!D225,"")</f>
        <v/>
      </c>
      <c r="B222" s="23" t="str">
        <f>IF(מלאי!D225&lt;&gt;"",מלאי!B225&amp;IF(מלאי!C225&lt;&gt;""," ("&amp;מלאי!C225&amp;")",""),"")</f>
        <v/>
      </c>
      <c r="C222" s="23" t="str">
        <f>IF(מלאי!D225&lt;&gt;"",מלאי!A225,"")</f>
        <v/>
      </c>
      <c r="D222" s="23" t="str">
        <f>IF(מלאי!D225&lt;&gt;"",מלאי!H225,"")</f>
        <v/>
      </c>
      <c r="E222" s="23"/>
      <c r="F222" s="23"/>
      <c r="G222" s="23"/>
      <c r="H222" s="23" t="str">
        <f>IF(מלאי!D225&lt;&gt;"",מלאי!I225,"")</f>
        <v/>
      </c>
      <c r="I222" s="23"/>
      <c r="J222" s="23"/>
      <c r="K222" s="23"/>
      <c r="L222" s="23" t="str">
        <f>IF(מלאי!D225&lt;&gt;"",מלאי!#REF!,"")</f>
        <v/>
      </c>
    </row>
    <row r="223" spans="1:12" ht="15" customHeight="1" x14ac:dyDescent="0.25">
      <c r="A223" s="23" t="str">
        <f>IF(מלאי!D226&lt;&gt;"",מלאי!D226,"")</f>
        <v/>
      </c>
      <c r="B223" s="23" t="str">
        <f>IF(מלאי!D226&lt;&gt;"",מלאי!B226&amp;IF(מלאי!C226&lt;&gt;""," ("&amp;מלאי!C226&amp;")",""),"")</f>
        <v/>
      </c>
      <c r="C223" s="23" t="str">
        <f>IF(מלאי!D226&lt;&gt;"",מלאי!A226,"")</f>
        <v/>
      </c>
      <c r="D223" s="23" t="str">
        <f>IF(מלאי!D226&lt;&gt;"",מלאי!H226,"")</f>
        <v/>
      </c>
      <c r="E223" s="23"/>
      <c r="F223" s="23"/>
      <c r="G223" s="23"/>
      <c r="H223" s="23" t="str">
        <f>IF(מלאי!D226&lt;&gt;"",מלאי!I226,"")</f>
        <v/>
      </c>
      <c r="I223" s="23"/>
      <c r="J223" s="23"/>
      <c r="K223" s="23"/>
      <c r="L223" s="23" t="str">
        <f>IF(מלאי!D226&lt;&gt;"",מלאי!#REF!,"")</f>
        <v/>
      </c>
    </row>
    <row r="224" spans="1:12" ht="15" customHeight="1" x14ac:dyDescent="0.25">
      <c r="A224" s="23" t="str">
        <f>IF(מלאי!D227&lt;&gt;"",מלאי!D227,"")</f>
        <v/>
      </c>
      <c r="B224" s="23" t="str">
        <f>IF(מלאי!D227&lt;&gt;"",מלאי!B227&amp;IF(מלאי!C227&lt;&gt;""," ("&amp;מלאי!C227&amp;")",""),"")</f>
        <v/>
      </c>
      <c r="C224" s="23" t="str">
        <f>IF(מלאי!D227&lt;&gt;"",מלאי!A227,"")</f>
        <v/>
      </c>
      <c r="D224" s="23" t="str">
        <f>IF(מלאי!D227&lt;&gt;"",מלאי!H227,"")</f>
        <v/>
      </c>
      <c r="E224" s="23"/>
      <c r="F224" s="23"/>
      <c r="G224" s="23"/>
      <c r="H224" s="23" t="str">
        <f>IF(מלאי!D227&lt;&gt;"",מלאי!I227,"")</f>
        <v/>
      </c>
      <c r="I224" s="23"/>
      <c r="J224" s="23"/>
      <c r="K224" s="23"/>
      <c r="L224" s="23" t="str">
        <f>IF(מלאי!D227&lt;&gt;"",מלאי!#REF!,"")</f>
        <v/>
      </c>
    </row>
    <row r="225" spans="1:12" ht="15" customHeight="1" x14ac:dyDescent="0.25">
      <c r="A225" s="23" t="str">
        <f>IF(מלאי!D228&lt;&gt;"",מלאי!D228,"")</f>
        <v/>
      </c>
      <c r="B225" s="23" t="str">
        <f>IF(מלאי!D228&lt;&gt;"",מלאי!B228&amp;IF(מלאי!C228&lt;&gt;""," ("&amp;מלאי!C228&amp;")",""),"")</f>
        <v/>
      </c>
      <c r="C225" s="23" t="str">
        <f>IF(מלאי!D228&lt;&gt;"",מלאי!A228,"")</f>
        <v/>
      </c>
      <c r="D225" s="23" t="str">
        <f>IF(מלאי!D228&lt;&gt;"",מלאי!H228,"")</f>
        <v/>
      </c>
      <c r="E225" s="23"/>
      <c r="F225" s="23"/>
      <c r="G225" s="23"/>
      <c r="H225" s="23" t="str">
        <f>IF(מלאי!D228&lt;&gt;"",מלאי!I228,"")</f>
        <v/>
      </c>
      <c r="I225" s="23"/>
      <c r="J225" s="23"/>
      <c r="K225" s="23"/>
      <c r="L225" s="23" t="str">
        <f>IF(מלאי!D228&lt;&gt;"",מלאי!#REF!,"")</f>
        <v/>
      </c>
    </row>
    <row r="226" spans="1:12" ht="15" customHeight="1" x14ac:dyDescent="0.25">
      <c r="A226" s="23" t="str">
        <f>IF(מלאי!D229&lt;&gt;"",מלאי!D229,"")</f>
        <v/>
      </c>
      <c r="B226" s="23" t="str">
        <f>IF(מלאי!D229&lt;&gt;"",מלאי!B229&amp;IF(מלאי!C229&lt;&gt;""," ("&amp;מלאי!C229&amp;")",""),"")</f>
        <v/>
      </c>
      <c r="C226" s="23" t="str">
        <f>IF(מלאי!D229&lt;&gt;"",מלאי!A229,"")</f>
        <v/>
      </c>
      <c r="D226" s="23" t="str">
        <f>IF(מלאי!D229&lt;&gt;"",מלאי!H229,"")</f>
        <v/>
      </c>
      <c r="E226" s="23"/>
      <c r="F226" s="23"/>
      <c r="G226" s="23"/>
      <c r="H226" s="23" t="str">
        <f>IF(מלאי!D229&lt;&gt;"",מלאי!I229,"")</f>
        <v/>
      </c>
      <c r="I226" s="23"/>
      <c r="J226" s="23"/>
      <c r="K226" s="23"/>
      <c r="L226" s="23" t="str">
        <f>IF(מלאי!D229&lt;&gt;"",מלאי!#REF!,"")</f>
        <v/>
      </c>
    </row>
    <row r="227" spans="1:12" ht="15" customHeight="1" x14ac:dyDescent="0.25">
      <c r="A227" s="23" t="str">
        <f>IF(מלאי!D230&lt;&gt;"",מלאי!D230,"")</f>
        <v/>
      </c>
      <c r="B227" s="23" t="str">
        <f>IF(מלאי!D230&lt;&gt;"",מלאי!B230&amp;IF(מלאי!C230&lt;&gt;""," ("&amp;מלאי!C230&amp;")",""),"")</f>
        <v/>
      </c>
      <c r="C227" s="23" t="str">
        <f>IF(מלאי!D230&lt;&gt;"",מלאי!A230,"")</f>
        <v/>
      </c>
      <c r="D227" s="23" t="str">
        <f>IF(מלאי!D230&lt;&gt;"",מלאי!H230,"")</f>
        <v/>
      </c>
      <c r="E227" s="23"/>
      <c r="F227" s="23"/>
      <c r="G227" s="23"/>
      <c r="H227" s="23" t="str">
        <f>IF(מלאי!D230&lt;&gt;"",מלאי!I230,"")</f>
        <v/>
      </c>
      <c r="I227" s="23"/>
      <c r="J227" s="23"/>
      <c r="K227" s="23"/>
      <c r="L227" s="23" t="str">
        <f>IF(מלאי!D230&lt;&gt;"",מלאי!#REF!,"")</f>
        <v/>
      </c>
    </row>
    <row r="228" spans="1:12" ht="15" customHeight="1" x14ac:dyDescent="0.25">
      <c r="A228" s="23" t="str">
        <f>IF(מלאי!D231&lt;&gt;"",מלאי!D231,"")</f>
        <v/>
      </c>
      <c r="B228" s="23" t="str">
        <f>IF(מלאי!D231&lt;&gt;"",מלאי!B231&amp;IF(מלאי!C231&lt;&gt;""," ("&amp;מלאי!C231&amp;")",""),"")</f>
        <v/>
      </c>
      <c r="C228" s="23" t="str">
        <f>IF(מלאי!D231&lt;&gt;"",מלאי!A231,"")</f>
        <v/>
      </c>
      <c r="D228" s="23" t="str">
        <f>IF(מלאי!D231&lt;&gt;"",מלאי!H231,"")</f>
        <v/>
      </c>
      <c r="E228" s="23"/>
      <c r="F228" s="23"/>
      <c r="G228" s="23"/>
      <c r="H228" s="23" t="str">
        <f>IF(מלאי!D231&lt;&gt;"",מלאי!I231,"")</f>
        <v/>
      </c>
      <c r="I228" s="23"/>
      <c r="J228" s="23"/>
      <c r="K228" s="23"/>
      <c r="L228" s="23" t="str">
        <f>IF(מלאי!D231&lt;&gt;"",מלאי!#REF!,"")</f>
        <v/>
      </c>
    </row>
    <row r="229" spans="1:12" ht="15" customHeight="1" x14ac:dyDescent="0.25">
      <c r="A229" s="23" t="str">
        <f>IF(מלאי!D232&lt;&gt;"",מלאי!D232,"")</f>
        <v/>
      </c>
      <c r="B229" s="23" t="str">
        <f>IF(מלאי!D232&lt;&gt;"",מלאי!B232&amp;IF(מלאי!C232&lt;&gt;""," ("&amp;מלאי!C232&amp;")",""),"")</f>
        <v/>
      </c>
      <c r="C229" s="23" t="str">
        <f>IF(מלאי!D232&lt;&gt;"",מלאי!A232,"")</f>
        <v/>
      </c>
      <c r="D229" s="23" t="str">
        <f>IF(מלאי!D232&lt;&gt;"",מלאי!H232,"")</f>
        <v/>
      </c>
      <c r="E229" s="23"/>
      <c r="F229" s="23"/>
      <c r="G229" s="23"/>
      <c r="H229" s="23" t="str">
        <f>IF(מלאי!D232&lt;&gt;"",מלאי!I232,"")</f>
        <v/>
      </c>
      <c r="I229" s="23"/>
      <c r="J229" s="23"/>
      <c r="K229" s="23"/>
      <c r="L229" s="23" t="str">
        <f>IF(מלאי!D232&lt;&gt;"",מלאי!#REF!,"")</f>
        <v/>
      </c>
    </row>
    <row r="230" spans="1:12" ht="15" customHeight="1" x14ac:dyDescent="0.25">
      <c r="A230" s="23" t="str">
        <f>IF(מלאי!D233&lt;&gt;"",מלאי!D233,"")</f>
        <v/>
      </c>
      <c r="B230" s="23" t="str">
        <f>IF(מלאי!D233&lt;&gt;"",מלאי!B233&amp;IF(מלאי!C233&lt;&gt;""," ("&amp;מלאי!C233&amp;")",""),"")</f>
        <v/>
      </c>
      <c r="C230" s="23" t="str">
        <f>IF(מלאי!D233&lt;&gt;"",מלאי!A233,"")</f>
        <v/>
      </c>
      <c r="D230" s="23" t="str">
        <f>IF(מלאי!D233&lt;&gt;"",מלאי!H233,"")</f>
        <v/>
      </c>
      <c r="E230" s="23"/>
      <c r="F230" s="23"/>
      <c r="G230" s="23"/>
      <c r="H230" s="23" t="str">
        <f>IF(מלאי!D233&lt;&gt;"",מלאי!I233,"")</f>
        <v/>
      </c>
      <c r="I230" s="23"/>
      <c r="J230" s="23"/>
      <c r="K230" s="23"/>
      <c r="L230" s="23" t="str">
        <f>IF(מלאי!D233&lt;&gt;"",מלאי!#REF!,"")</f>
        <v/>
      </c>
    </row>
    <row r="231" spans="1:12" ht="15" customHeight="1" x14ac:dyDescent="0.25">
      <c r="A231" s="23" t="str">
        <f>IF(מלאי!D234&lt;&gt;"",מלאי!D234,"")</f>
        <v/>
      </c>
      <c r="B231" s="23" t="str">
        <f>IF(מלאי!D234&lt;&gt;"",מלאי!B234&amp;IF(מלאי!C234&lt;&gt;""," ("&amp;מלאי!C234&amp;")",""),"")</f>
        <v/>
      </c>
      <c r="C231" s="23" t="str">
        <f>IF(מלאי!D234&lt;&gt;"",מלאי!A234,"")</f>
        <v/>
      </c>
      <c r="D231" s="23" t="str">
        <f>IF(מלאי!D234&lt;&gt;"",מלאי!H234,"")</f>
        <v/>
      </c>
      <c r="E231" s="23"/>
      <c r="F231" s="23"/>
      <c r="G231" s="23"/>
      <c r="H231" s="23" t="str">
        <f>IF(מלאי!D234&lt;&gt;"",מלאי!I234,"")</f>
        <v/>
      </c>
      <c r="I231" s="23"/>
      <c r="J231" s="23"/>
      <c r="K231" s="23"/>
      <c r="L231" s="23" t="str">
        <f>IF(מלאי!D234&lt;&gt;"",מלאי!#REF!,"")</f>
        <v/>
      </c>
    </row>
    <row r="232" spans="1:12" ht="15" customHeight="1" x14ac:dyDescent="0.25">
      <c r="A232" s="23" t="str">
        <f>IF(מלאי!D235&lt;&gt;"",מלאי!D235,"")</f>
        <v/>
      </c>
      <c r="B232" s="23" t="str">
        <f>IF(מלאי!D235&lt;&gt;"",מלאי!B235&amp;IF(מלאי!C235&lt;&gt;""," ("&amp;מלאי!C235&amp;")",""),"")</f>
        <v/>
      </c>
      <c r="C232" s="23" t="str">
        <f>IF(מלאי!D235&lt;&gt;"",מלאי!A235,"")</f>
        <v/>
      </c>
      <c r="D232" s="23" t="str">
        <f>IF(מלאי!D235&lt;&gt;"",מלאי!H235,"")</f>
        <v/>
      </c>
      <c r="E232" s="23"/>
      <c r="F232" s="23"/>
      <c r="G232" s="23"/>
      <c r="H232" s="23" t="str">
        <f>IF(מלאי!D235&lt;&gt;"",מלאי!I235,"")</f>
        <v/>
      </c>
      <c r="I232" s="23"/>
      <c r="J232" s="23"/>
      <c r="K232" s="23"/>
      <c r="L232" s="23" t="str">
        <f>IF(מלאי!D235&lt;&gt;"",מלאי!#REF!,"")</f>
        <v/>
      </c>
    </row>
    <row r="233" spans="1:12" ht="15" customHeight="1" x14ac:dyDescent="0.25">
      <c r="A233" s="23" t="str">
        <f>IF(מלאי!D236&lt;&gt;"",מלאי!D236,"")</f>
        <v/>
      </c>
      <c r="B233" s="23" t="str">
        <f>IF(מלאי!D236&lt;&gt;"",מלאי!B236&amp;IF(מלאי!C236&lt;&gt;""," ("&amp;מלאי!C236&amp;")",""),"")</f>
        <v/>
      </c>
      <c r="C233" s="23" t="str">
        <f>IF(מלאי!D236&lt;&gt;"",מלאי!A236,"")</f>
        <v/>
      </c>
      <c r="D233" s="23" t="str">
        <f>IF(מלאי!D236&lt;&gt;"",מלאי!H236,"")</f>
        <v/>
      </c>
      <c r="E233" s="23"/>
      <c r="F233" s="23"/>
      <c r="G233" s="23"/>
      <c r="H233" s="23" t="str">
        <f>IF(מלאי!D236&lt;&gt;"",מלאי!I236,"")</f>
        <v/>
      </c>
      <c r="I233" s="23"/>
      <c r="J233" s="23"/>
      <c r="K233" s="23"/>
      <c r="L233" s="23" t="str">
        <f>IF(מלאי!D236&lt;&gt;"",מלאי!#REF!,"")</f>
        <v/>
      </c>
    </row>
    <row r="234" spans="1:12" ht="15" customHeight="1" x14ac:dyDescent="0.25">
      <c r="A234" s="23" t="str">
        <f>IF(מלאי!D237&lt;&gt;"",מלאי!D237,"")</f>
        <v/>
      </c>
      <c r="B234" s="23" t="str">
        <f>IF(מלאי!D237&lt;&gt;"",מלאי!B237&amp;IF(מלאי!C237&lt;&gt;""," ("&amp;מלאי!C237&amp;")",""),"")</f>
        <v/>
      </c>
      <c r="C234" s="23" t="str">
        <f>IF(מלאי!D237&lt;&gt;"",מלאי!A237,"")</f>
        <v/>
      </c>
      <c r="D234" s="23" t="str">
        <f>IF(מלאי!D237&lt;&gt;"",מלאי!H237,"")</f>
        <v/>
      </c>
      <c r="E234" s="23"/>
      <c r="F234" s="23"/>
      <c r="G234" s="23"/>
      <c r="H234" s="23" t="str">
        <f>IF(מלאי!D237&lt;&gt;"",מלאי!I237,"")</f>
        <v/>
      </c>
      <c r="I234" s="23"/>
      <c r="J234" s="23"/>
      <c r="K234" s="23"/>
      <c r="L234" s="23" t="str">
        <f>IF(מלאי!D237&lt;&gt;"",מלאי!#REF!,"")</f>
        <v/>
      </c>
    </row>
    <row r="235" spans="1:12" ht="15" customHeight="1" x14ac:dyDescent="0.25">
      <c r="A235" s="23" t="str">
        <f>IF(מלאי!D238&lt;&gt;"",מלאי!D238,"")</f>
        <v/>
      </c>
      <c r="B235" s="23" t="str">
        <f>IF(מלאי!D238&lt;&gt;"",מלאי!B238&amp;IF(מלאי!C238&lt;&gt;""," ("&amp;מלאי!C238&amp;")",""),"")</f>
        <v/>
      </c>
      <c r="C235" s="23" t="str">
        <f>IF(מלאי!D238&lt;&gt;"",מלאי!A238,"")</f>
        <v/>
      </c>
      <c r="D235" s="23" t="str">
        <f>IF(מלאי!D238&lt;&gt;"",מלאי!H238,"")</f>
        <v/>
      </c>
      <c r="E235" s="23"/>
      <c r="F235" s="23"/>
      <c r="G235" s="23"/>
      <c r="H235" s="23" t="str">
        <f>IF(מלאי!D238&lt;&gt;"",מלאי!I238,"")</f>
        <v/>
      </c>
      <c r="I235" s="23"/>
      <c r="J235" s="23"/>
      <c r="K235" s="23"/>
      <c r="L235" s="23" t="str">
        <f>IF(מלאי!D238&lt;&gt;"",מלאי!#REF!,"")</f>
        <v/>
      </c>
    </row>
    <row r="236" spans="1:12" ht="15" customHeight="1" x14ac:dyDescent="0.25">
      <c r="A236" s="23" t="str">
        <f>IF(מלאי!D239&lt;&gt;"",מלאי!D239,"")</f>
        <v/>
      </c>
      <c r="B236" s="23" t="str">
        <f>IF(מלאי!D239&lt;&gt;"",מלאי!B239&amp;IF(מלאי!C239&lt;&gt;""," ("&amp;מלאי!C239&amp;")",""),"")</f>
        <v/>
      </c>
      <c r="C236" s="23" t="str">
        <f>IF(מלאי!D239&lt;&gt;"",מלאי!A239,"")</f>
        <v/>
      </c>
      <c r="D236" s="23" t="str">
        <f>IF(מלאי!D239&lt;&gt;"",מלאי!H239,"")</f>
        <v/>
      </c>
      <c r="E236" s="23"/>
      <c r="F236" s="23"/>
      <c r="G236" s="23"/>
      <c r="H236" s="23" t="str">
        <f>IF(מלאי!D239&lt;&gt;"",מלאי!I239,"")</f>
        <v/>
      </c>
      <c r="I236" s="23"/>
      <c r="J236" s="23"/>
      <c r="K236" s="23"/>
      <c r="L236" s="23" t="str">
        <f>IF(מלאי!D239&lt;&gt;"",מלאי!#REF!,"")</f>
        <v/>
      </c>
    </row>
    <row r="237" spans="1:12" ht="15" customHeight="1" x14ac:dyDescent="0.25">
      <c r="A237" s="23" t="str">
        <f>IF(מלאי!D240&lt;&gt;"",מלאי!D240,"")</f>
        <v/>
      </c>
      <c r="B237" s="23" t="str">
        <f>IF(מלאי!D240&lt;&gt;"",מלאי!B240&amp;IF(מלאי!C240&lt;&gt;""," ("&amp;מלאי!C240&amp;")",""),"")</f>
        <v/>
      </c>
      <c r="C237" s="23" t="str">
        <f>IF(מלאי!D240&lt;&gt;"",מלאי!A240,"")</f>
        <v/>
      </c>
      <c r="D237" s="23" t="str">
        <f>IF(מלאי!D240&lt;&gt;"",מלאי!H240,"")</f>
        <v/>
      </c>
      <c r="E237" s="23"/>
      <c r="F237" s="23"/>
      <c r="G237" s="23"/>
      <c r="H237" s="23" t="str">
        <f>IF(מלאי!D240&lt;&gt;"",מלאי!I240,"")</f>
        <v/>
      </c>
      <c r="I237" s="23"/>
      <c r="J237" s="23"/>
      <c r="K237" s="23"/>
      <c r="L237" s="23" t="str">
        <f>IF(מלאי!D240&lt;&gt;"",מלאי!#REF!,"")</f>
        <v/>
      </c>
    </row>
    <row r="238" spans="1:12" ht="15" customHeight="1" x14ac:dyDescent="0.25">
      <c r="A238" s="23" t="str">
        <f>IF(מלאי!D241&lt;&gt;"",מלאי!D241,"")</f>
        <v/>
      </c>
      <c r="B238" s="23" t="str">
        <f>IF(מלאי!D241&lt;&gt;"",מלאי!B241&amp;IF(מלאי!C241&lt;&gt;""," ("&amp;מלאי!C241&amp;")",""),"")</f>
        <v/>
      </c>
      <c r="C238" s="23" t="str">
        <f>IF(מלאי!D241&lt;&gt;"",מלאי!A241,"")</f>
        <v/>
      </c>
      <c r="D238" s="23" t="str">
        <f>IF(מלאי!D241&lt;&gt;"",מלאי!H241,"")</f>
        <v/>
      </c>
      <c r="E238" s="23"/>
      <c r="F238" s="23"/>
      <c r="G238" s="23"/>
      <c r="H238" s="23" t="str">
        <f>IF(מלאי!D241&lt;&gt;"",מלאי!I241,"")</f>
        <v/>
      </c>
      <c r="I238" s="23"/>
      <c r="J238" s="23"/>
      <c r="K238" s="23"/>
      <c r="L238" s="23" t="str">
        <f>IF(מלאי!D241&lt;&gt;"",מלאי!#REF!,"")</f>
        <v/>
      </c>
    </row>
    <row r="239" spans="1:12" ht="15" customHeight="1" x14ac:dyDescent="0.25">
      <c r="A239" s="23" t="str">
        <f>IF(מלאי!D242&lt;&gt;"",מלאי!D242,"")</f>
        <v/>
      </c>
      <c r="B239" s="23" t="str">
        <f>IF(מלאי!D242&lt;&gt;"",מלאי!B242&amp;IF(מלאי!C242&lt;&gt;""," ("&amp;מלאי!C242&amp;")",""),"")</f>
        <v/>
      </c>
      <c r="C239" s="23" t="str">
        <f>IF(מלאי!D242&lt;&gt;"",מלאי!A242,"")</f>
        <v/>
      </c>
      <c r="D239" s="23" t="str">
        <f>IF(מלאי!D242&lt;&gt;"",מלאי!H242,"")</f>
        <v/>
      </c>
      <c r="E239" s="23"/>
      <c r="F239" s="23"/>
      <c r="G239" s="23"/>
      <c r="H239" s="23" t="str">
        <f>IF(מלאי!D242&lt;&gt;"",מלאי!I242,"")</f>
        <v/>
      </c>
      <c r="I239" s="23"/>
      <c r="J239" s="23"/>
      <c r="K239" s="23"/>
      <c r="L239" s="23" t="str">
        <f>IF(מלאי!D242&lt;&gt;"",מלאי!#REF!,"")</f>
        <v/>
      </c>
    </row>
    <row r="240" spans="1:12" ht="15" customHeight="1" x14ac:dyDescent="0.25">
      <c r="A240" s="23" t="str">
        <f>IF(מלאי!D243&lt;&gt;"",מלאי!D243,"")</f>
        <v/>
      </c>
      <c r="B240" s="23" t="str">
        <f>IF(מלאי!D243&lt;&gt;"",מלאי!B243&amp;IF(מלאי!C243&lt;&gt;""," ("&amp;מלאי!C243&amp;")",""),"")</f>
        <v/>
      </c>
      <c r="C240" s="23" t="str">
        <f>IF(מלאי!D243&lt;&gt;"",מלאי!A243,"")</f>
        <v/>
      </c>
      <c r="D240" s="23" t="str">
        <f>IF(מלאי!D243&lt;&gt;"",מלאי!H243,"")</f>
        <v/>
      </c>
      <c r="E240" s="23"/>
      <c r="F240" s="23"/>
      <c r="G240" s="23"/>
      <c r="H240" s="23" t="str">
        <f>IF(מלאי!D243&lt;&gt;"",מלאי!I243,"")</f>
        <v/>
      </c>
      <c r="I240" s="23"/>
      <c r="J240" s="23"/>
      <c r="K240" s="23"/>
      <c r="L240" s="23" t="str">
        <f>IF(מלאי!D243&lt;&gt;"",מלאי!#REF!,"")</f>
        <v/>
      </c>
    </row>
    <row r="241" spans="1:12" ht="15" customHeight="1" x14ac:dyDescent="0.25">
      <c r="A241" s="23" t="str">
        <f>IF(מלאי!D244&lt;&gt;"",מלאי!D244,"")</f>
        <v/>
      </c>
      <c r="B241" s="23" t="str">
        <f>IF(מלאי!D244&lt;&gt;"",מלאי!B244&amp;IF(מלאי!C244&lt;&gt;""," ("&amp;מלאי!C244&amp;")",""),"")</f>
        <v/>
      </c>
      <c r="C241" s="23" t="str">
        <f>IF(מלאי!D244&lt;&gt;"",מלאי!A244,"")</f>
        <v/>
      </c>
      <c r="D241" s="23" t="str">
        <f>IF(מלאי!D244&lt;&gt;"",מלאי!H244,"")</f>
        <v/>
      </c>
      <c r="E241" s="23"/>
      <c r="F241" s="23"/>
      <c r="G241" s="23"/>
      <c r="H241" s="23" t="str">
        <f>IF(מלאי!D244&lt;&gt;"",מלאי!I244,"")</f>
        <v/>
      </c>
      <c r="I241" s="23"/>
      <c r="J241" s="23"/>
      <c r="K241" s="23"/>
      <c r="L241" s="23" t="str">
        <f>IF(מלאי!D244&lt;&gt;"",מלאי!#REF!,"")</f>
        <v/>
      </c>
    </row>
    <row r="242" spans="1:12" ht="15" customHeight="1" x14ac:dyDescent="0.25">
      <c r="A242" s="23" t="str">
        <f>IF(מלאי!D245&lt;&gt;"",מלאי!D245,"")</f>
        <v/>
      </c>
      <c r="B242" s="23" t="str">
        <f>IF(מלאי!D245&lt;&gt;"",מלאי!B245&amp;IF(מלאי!C245&lt;&gt;""," ("&amp;מלאי!C245&amp;")",""),"")</f>
        <v/>
      </c>
      <c r="C242" s="23" t="str">
        <f>IF(מלאי!D245&lt;&gt;"",מלאי!A245,"")</f>
        <v/>
      </c>
      <c r="D242" s="23" t="str">
        <f>IF(מלאי!D245&lt;&gt;"",מלאי!H245,"")</f>
        <v/>
      </c>
      <c r="E242" s="23"/>
      <c r="F242" s="23"/>
      <c r="G242" s="23"/>
      <c r="H242" s="23" t="str">
        <f>IF(מלאי!D245&lt;&gt;"",מלאי!I245,"")</f>
        <v/>
      </c>
      <c r="I242" s="23"/>
      <c r="J242" s="23"/>
      <c r="K242" s="23"/>
      <c r="L242" s="23" t="str">
        <f>IF(מלאי!D245&lt;&gt;"",מלאי!#REF!,"")</f>
        <v/>
      </c>
    </row>
    <row r="243" spans="1:12" ht="15" customHeight="1" x14ac:dyDescent="0.25">
      <c r="A243" s="23" t="str">
        <f>IF(מלאי!D246&lt;&gt;"",מלאי!D246,"")</f>
        <v/>
      </c>
      <c r="B243" s="23" t="str">
        <f>IF(מלאי!D246&lt;&gt;"",מלאי!B246&amp;IF(מלאי!C246&lt;&gt;""," ("&amp;מלאי!C246&amp;")",""),"")</f>
        <v/>
      </c>
      <c r="C243" s="23" t="str">
        <f>IF(מלאי!D246&lt;&gt;"",מלאי!A246,"")</f>
        <v/>
      </c>
      <c r="D243" s="23" t="str">
        <f>IF(מלאי!D246&lt;&gt;"",מלאי!H246,"")</f>
        <v/>
      </c>
      <c r="E243" s="23"/>
      <c r="F243" s="23"/>
      <c r="G243" s="23"/>
      <c r="H243" s="23" t="str">
        <f>IF(מלאי!D246&lt;&gt;"",מלאי!I246,"")</f>
        <v/>
      </c>
      <c r="I243" s="23"/>
      <c r="J243" s="23"/>
      <c r="K243" s="23"/>
      <c r="L243" s="23" t="str">
        <f>IF(מלאי!D246&lt;&gt;"",מלאי!#REF!,"")</f>
        <v/>
      </c>
    </row>
    <row r="244" spans="1:12" ht="15" customHeight="1" x14ac:dyDescent="0.25">
      <c r="A244" s="23" t="str">
        <f>IF(מלאי!D247&lt;&gt;"",מלאי!D247,"")</f>
        <v/>
      </c>
      <c r="B244" s="23" t="str">
        <f>IF(מלאי!D247&lt;&gt;"",מלאי!B247&amp;IF(מלאי!C247&lt;&gt;""," ("&amp;מלאי!C247&amp;")",""),"")</f>
        <v/>
      </c>
      <c r="C244" s="23" t="str">
        <f>IF(מלאי!D247&lt;&gt;"",מלאי!A247,"")</f>
        <v/>
      </c>
      <c r="D244" s="23" t="str">
        <f>IF(מלאי!D247&lt;&gt;"",מלאי!H247,"")</f>
        <v/>
      </c>
      <c r="E244" s="23"/>
      <c r="F244" s="23"/>
      <c r="G244" s="23"/>
      <c r="H244" s="23" t="str">
        <f>IF(מלאי!D247&lt;&gt;"",מלאי!I247,"")</f>
        <v/>
      </c>
      <c r="I244" s="23"/>
      <c r="J244" s="23"/>
      <c r="K244" s="23"/>
      <c r="L244" s="23" t="str">
        <f>IF(מלאי!D247&lt;&gt;"",מלאי!#REF!,"")</f>
        <v/>
      </c>
    </row>
    <row r="245" spans="1:12" ht="15" customHeight="1" x14ac:dyDescent="0.25">
      <c r="A245" s="23" t="str">
        <f>IF(מלאי!D248&lt;&gt;"",מלאי!D248,"")</f>
        <v/>
      </c>
      <c r="B245" s="23" t="str">
        <f>IF(מלאי!D248&lt;&gt;"",מלאי!B248&amp;IF(מלאי!C248&lt;&gt;""," ("&amp;מלאי!C248&amp;")",""),"")</f>
        <v/>
      </c>
      <c r="C245" s="23" t="str">
        <f>IF(מלאי!D248&lt;&gt;"",מלאי!A248,"")</f>
        <v/>
      </c>
      <c r="D245" s="23" t="str">
        <f>IF(מלאי!D248&lt;&gt;"",מלאי!H248,"")</f>
        <v/>
      </c>
      <c r="E245" s="23"/>
      <c r="F245" s="23"/>
      <c r="G245" s="23"/>
      <c r="H245" s="23" t="str">
        <f>IF(מלאי!D248&lt;&gt;"",מלאי!I248,"")</f>
        <v/>
      </c>
      <c r="I245" s="23"/>
      <c r="J245" s="23"/>
      <c r="K245" s="23"/>
      <c r="L245" s="23" t="str">
        <f>IF(מלאי!D248&lt;&gt;"",מלאי!#REF!,"")</f>
        <v/>
      </c>
    </row>
    <row r="246" spans="1:12" ht="15" customHeight="1" x14ac:dyDescent="0.25">
      <c r="A246" s="23" t="str">
        <f>IF(מלאי!D249&lt;&gt;"",מלאי!D249,"")</f>
        <v/>
      </c>
      <c r="B246" s="23" t="str">
        <f>IF(מלאי!D249&lt;&gt;"",מלאי!B249&amp;IF(מלאי!C249&lt;&gt;""," ("&amp;מלאי!C249&amp;")",""),"")</f>
        <v/>
      </c>
      <c r="C246" s="23" t="str">
        <f>IF(מלאי!D249&lt;&gt;"",מלאי!A249,"")</f>
        <v/>
      </c>
      <c r="D246" s="23" t="str">
        <f>IF(מלאי!D249&lt;&gt;"",מלאי!H249,"")</f>
        <v/>
      </c>
      <c r="E246" s="23"/>
      <c r="F246" s="23"/>
      <c r="G246" s="23"/>
      <c r="H246" s="23" t="str">
        <f>IF(מלאי!D249&lt;&gt;"",מלאי!I249,"")</f>
        <v/>
      </c>
      <c r="I246" s="23"/>
      <c r="J246" s="23"/>
      <c r="K246" s="23"/>
      <c r="L246" s="23" t="str">
        <f>IF(מלאי!D249&lt;&gt;"",מלאי!#REF!,"")</f>
        <v/>
      </c>
    </row>
    <row r="247" spans="1:12" ht="15" customHeight="1" x14ac:dyDescent="0.25">
      <c r="A247" s="23" t="str">
        <f>IF(מלאי!D250&lt;&gt;"",מלאי!D250,"")</f>
        <v/>
      </c>
      <c r="B247" s="23" t="str">
        <f>IF(מלאי!D250&lt;&gt;"",מלאי!B250&amp;IF(מלאי!C250&lt;&gt;""," ("&amp;מלאי!C250&amp;")",""),"")</f>
        <v/>
      </c>
      <c r="C247" s="23" t="str">
        <f>IF(מלאי!D250&lt;&gt;"",מלאי!A250,"")</f>
        <v/>
      </c>
      <c r="D247" s="23" t="str">
        <f>IF(מלאי!D250&lt;&gt;"",מלאי!H250,"")</f>
        <v/>
      </c>
      <c r="E247" s="23"/>
      <c r="F247" s="23"/>
      <c r="G247" s="23"/>
      <c r="H247" s="23" t="str">
        <f>IF(מלאי!D250&lt;&gt;"",מלאי!I250,"")</f>
        <v/>
      </c>
      <c r="I247" s="23"/>
      <c r="J247" s="23"/>
      <c r="K247" s="23"/>
      <c r="L247" s="23" t="str">
        <f>IF(מלאי!D250&lt;&gt;"",מלאי!#REF!,"")</f>
        <v/>
      </c>
    </row>
    <row r="248" spans="1:12" ht="15" customHeight="1" x14ac:dyDescent="0.25">
      <c r="A248" s="23" t="str">
        <f>IF(מלאי!D251&lt;&gt;"",מלאי!D251,"")</f>
        <v/>
      </c>
      <c r="B248" s="23" t="str">
        <f>IF(מלאי!D251&lt;&gt;"",מלאי!B251&amp;IF(מלאי!C251&lt;&gt;""," ("&amp;מלאי!C251&amp;")",""),"")</f>
        <v/>
      </c>
      <c r="C248" s="23" t="str">
        <f>IF(מלאי!D251&lt;&gt;"",מלאי!A251,"")</f>
        <v/>
      </c>
      <c r="D248" s="23" t="str">
        <f>IF(מלאי!D251&lt;&gt;"",מלאי!H251,"")</f>
        <v/>
      </c>
      <c r="E248" s="23"/>
      <c r="F248" s="23"/>
      <c r="G248" s="23"/>
      <c r="H248" s="23" t="str">
        <f>IF(מלאי!D251&lt;&gt;"",מלאי!I251,"")</f>
        <v/>
      </c>
      <c r="I248" s="23"/>
      <c r="J248" s="23"/>
      <c r="K248" s="23"/>
      <c r="L248" s="23" t="str">
        <f>IF(מלאי!D251&lt;&gt;"",מלאי!#REF!,"")</f>
        <v/>
      </c>
    </row>
    <row r="249" spans="1:12" ht="15" customHeight="1" x14ac:dyDescent="0.25">
      <c r="A249" s="23" t="str">
        <f>IF(מלאי!D252&lt;&gt;"",מלאי!D252,"")</f>
        <v/>
      </c>
      <c r="B249" s="23" t="str">
        <f>IF(מלאי!D252&lt;&gt;"",מלאי!B252&amp;IF(מלאי!C252&lt;&gt;""," ("&amp;מלאי!C252&amp;")",""),"")</f>
        <v/>
      </c>
      <c r="C249" s="23" t="str">
        <f>IF(מלאי!D252&lt;&gt;"",מלאי!A252,"")</f>
        <v/>
      </c>
      <c r="D249" s="23" t="str">
        <f>IF(מלאי!D252&lt;&gt;"",מלאי!H252,"")</f>
        <v/>
      </c>
      <c r="E249" s="23"/>
      <c r="F249" s="23"/>
      <c r="G249" s="23"/>
      <c r="H249" s="23" t="str">
        <f>IF(מלאי!D252&lt;&gt;"",מלאי!I252,"")</f>
        <v/>
      </c>
      <c r="I249" s="23"/>
      <c r="J249" s="23"/>
      <c r="K249" s="23"/>
      <c r="L249" s="23" t="str">
        <f>IF(מלאי!D252&lt;&gt;"",מלאי!#REF!,"")</f>
        <v/>
      </c>
    </row>
    <row r="250" spans="1:12" ht="15" customHeight="1" x14ac:dyDescent="0.25">
      <c r="A250" s="23" t="str">
        <f>IF(מלאי!D253&lt;&gt;"",מלאי!D253,"")</f>
        <v/>
      </c>
      <c r="B250" s="23" t="str">
        <f>IF(מלאי!D253&lt;&gt;"",מלאי!B253&amp;IF(מלאי!C253&lt;&gt;""," ("&amp;מלאי!C253&amp;")",""),"")</f>
        <v/>
      </c>
      <c r="C250" s="23" t="str">
        <f>IF(מלאי!D253&lt;&gt;"",מלאי!A253,"")</f>
        <v/>
      </c>
      <c r="D250" s="23" t="str">
        <f>IF(מלאי!D253&lt;&gt;"",מלאי!H253,"")</f>
        <v/>
      </c>
      <c r="E250" s="23"/>
      <c r="F250" s="23"/>
      <c r="G250" s="23"/>
      <c r="H250" s="23" t="str">
        <f>IF(מלאי!D253&lt;&gt;"",מלאי!I253,"")</f>
        <v/>
      </c>
      <c r="I250" s="23"/>
      <c r="J250" s="23"/>
      <c r="K250" s="23"/>
      <c r="L250" s="23" t="str">
        <f>IF(מלאי!D253&lt;&gt;"",מלאי!#REF!,"")</f>
        <v/>
      </c>
    </row>
    <row r="251" spans="1:12" ht="15" customHeight="1" x14ac:dyDescent="0.25">
      <c r="A251" s="23" t="str">
        <f>IF(מלאי!D254&lt;&gt;"",מלאי!D254,"")</f>
        <v/>
      </c>
      <c r="B251" s="23" t="str">
        <f>IF(מלאי!D254&lt;&gt;"",מלאי!B254&amp;IF(מלאי!C254&lt;&gt;""," ("&amp;מלאי!C254&amp;")",""),"")</f>
        <v/>
      </c>
      <c r="C251" s="23" t="str">
        <f>IF(מלאי!D254&lt;&gt;"",מלאי!A254,"")</f>
        <v/>
      </c>
      <c r="D251" s="23" t="str">
        <f>IF(מלאי!D254&lt;&gt;"",מלאי!H254,"")</f>
        <v/>
      </c>
      <c r="E251" s="23"/>
      <c r="F251" s="23"/>
      <c r="G251" s="23"/>
      <c r="H251" s="23" t="str">
        <f>IF(מלאי!D254&lt;&gt;"",מלאי!I254,"")</f>
        <v/>
      </c>
      <c r="I251" s="23"/>
      <c r="J251" s="23"/>
      <c r="K251" s="23"/>
      <c r="L251" s="23" t="str">
        <f>IF(מלאי!D254&lt;&gt;"",מלאי!#REF!,"")</f>
        <v/>
      </c>
    </row>
    <row r="252" spans="1:12" ht="15" customHeight="1" x14ac:dyDescent="0.25">
      <c r="A252" s="23" t="str">
        <f>IF(מלאי!D255&lt;&gt;"",מלאי!D255,"")</f>
        <v/>
      </c>
      <c r="B252" s="23" t="str">
        <f>IF(מלאי!D255&lt;&gt;"",מלאי!B255&amp;IF(מלאי!C255&lt;&gt;""," ("&amp;מלאי!C255&amp;")",""),"")</f>
        <v/>
      </c>
      <c r="C252" s="23" t="str">
        <f>IF(מלאי!D255&lt;&gt;"",מלאי!A255,"")</f>
        <v/>
      </c>
      <c r="D252" s="23" t="str">
        <f>IF(מלאי!D255&lt;&gt;"",מלאי!H255,"")</f>
        <v/>
      </c>
      <c r="E252" s="23"/>
      <c r="F252" s="23"/>
      <c r="G252" s="23"/>
      <c r="H252" s="23" t="str">
        <f>IF(מלאי!D255&lt;&gt;"",מלאי!I255,"")</f>
        <v/>
      </c>
      <c r="I252" s="23"/>
      <c r="J252" s="23"/>
      <c r="K252" s="23"/>
      <c r="L252" s="23" t="str">
        <f>IF(מלאי!D255&lt;&gt;"",מלאי!#REF!,"")</f>
        <v/>
      </c>
    </row>
    <row r="253" spans="1:12" ht="15" customHeight="1" x14ac:dyDescent="0.25">
      <c r="A253" s="23" t="str">
        <f>IF(מלאי!D256&lt;&gt;"",מלאי!D256,"")</f>
        <v/>
      </c>
      <c r="B253" s="23" t="str">
        <f>IF(מלאי!D256&lt;&gt;"",מלאי!B256&amp;IF(מלאי!C256&lt;&gt;""," ("&amp;מלאי!C256&amp;")",""),"")</f>
        <v/>
      </c>
      <c r="C253" s="23" t="str">
        <f>IF(מלאי!D256&lt;&gt;"",מלאי!A256,"")</f>
        <v/>
      </c>
      <c r="D253" s="23" t="str">
        <f>IF(מלאי!D256&lt;&gt;"",מלאי!H256,"")</f>
        <v/>
      </c>
      <c r="E253" s="23"/>
      <c r="F253" s="23"/>
      <c r="G253" s="23"/>
      <c r="H253" s="23" t="str">
        <f>IF(מלאי!D256&lt;&gt;"",מלאי!I256,"")</f>
        <v/>
      </c>
      <c r="I253" s="23"/>
      <c r="J253" s="23"/>
      <c r="K253" s="23"/>
      <c r="L253" s="23" t="str">
        <f>IF(מלאי!D256&lt;&gt;"",מלאי!#REF!,"")</f>
        <v/>
      </c>
    </row>
    <row r="254" spans="1:12" ht="15" customHeight="1" x14ac:dyDescent="0.25">
      <c r="A254" s="23" t="str">
        <f>IF(מלאי!D257&lt;&gt;"",מלאי!D257,"")</f>
        <v/>
      </c>
      <c r="B254" s="23" t="str">
        <f>IF(מלאי!D257&lt;&gt;"",מלאי!B257&amp;IF(מלאי!C257&lt;&gt;""," ("&amp;מלאי!C257&amp;")",""),"")</f>
        <v/>
      </c>
      <c r="C254" s="23" t="str">
        <f>IF(מלאי!D257&lt;&gt;"",מלאי!A257,"")</f>
        <v/>
      </c>
      <c r="D254" s="23" t="str">
        <f>IF(מלאי!D257&lt;&gt;"",מלאי!H257,"")</f>
        <v/>
      </c>
      <c r="E254" s="23"/>
      <c r="F254" s="23"/>
      <c r="G254" s="23"/>
      <c r="H254" s="23" t="str">
        <f>IF(מלאי!D257&lt;&gt;"",מלאי!I257,"")</f>
        <v/>
      </c>
      <c r="I254" s="23"/>
      <c r="J254" s="23"/>
      <c r="K254" s="23"/>
      <c r="L254" s="23" t="str">
        <f>IF(מלאי!D257&lt;&gt;"",מלאי!#REF!,"")</f>
        <v/>
      </c>
    </row>
    <row r="255" spans="1:12" ht="15" customHeight="1" x14ac:dyDescent="0.25">
      <c r="A255" s="23" t="str">
        <f>IF(מלאי!D258&lt;&gt;"",מלאי!D258,"")</f>
        <v/>
      </c>
      <c r="B255" s="23" t="str">
        <f>IF(מלאי!D258&lt;&gt;"",מלאי!B258&amp;IF(מלאי!C258&lt;&gt;""," ("&amp;מלאי!C258&amp;")",""),"")</f>
        <v/>
      </c>
      <c r="C255" s="23" t="str">
        <f>IF(מלאי!D258&lt;&gt;"",מלאי!A258,"")</f>
        <v/>
      </c>
      <c r="D255" s="23" t="str">
        <f>IF(מלאי!D258&lt;&gt;"",מלאי!H258,"")</f>
        <v/>
      </c>
      <c r="E255" s="23"/>
      <c r="F255" s="23"/>
      <c r="G255" s="23"/>
      <c r="H255" s="23" t="str">
        <f>IF(מלאי!D258&lt;&gt;"",מלאי!I258,"")</f>
        <v/>
      </c>
      <c r="I255" s="23"/>
      <c r="J255" s="23"/>
      <c r="K255" s="23"/>
      <c r="L255" s="23" t="str">
        <f>IF(מלאי!D258&lt;&gt;"",מלאי!#REF!,"")</f>
        <v/>
      </c>
    </row>
    <row r="256" spans="1:12" ht="15" customHeight="1" x14ac:dyDescent="0.25">
      <c r="A256" s="23" t="str">
        <f>IF(מלאי!D259&lt;&gt;"",מלאי!D259,"")</f>
        <v/>
      </c>
      <c r="B256" s="23" t="str">
        <f>IF(מלאי!D259&lt;&gt;"",מלאי!B259&amp;IF(מלאי!C259&lt;&gt;""," ("&amp;מלאי!C259&amp;")",""),"")</f>
        <v/>
      </c>
      <c r="C256" s="23" t="str">
        <f>IF(מלאי!D259&lt;&gt;"",מלאי!A259,"")</f>
        <v/>
      </c>
      <c r="D256" s="23" t="str">
        <f>IF(מלאי!D259&lt;&gt;"",מלאי!H259,"")</f>
        <v/>
      </c>
      <c r="E256" s="23"/>
      <c r="F256" s="23"/>
      <c r="G256" s="23"/>
      <c r="H256" s="23" t="str">
        <f>IF(מלאי!D259&lt;&gt;"",מלאי!I259,"")</f>
        <v/>
      </c>
      <c r="I256" s="23"/>
      <c r="J256" s="23"/>
      <c r="K256" s="23"/>
      <c r="L256" s="23" t="str">
        <f>IF(מלאי!D259&lt;&gt;"",מלאי!#REF!,"")</f>
        <v/>
      </c>
    </row>
    <row r="257" spans="1:12" ht="15" customHeight="1" x14ac:dyDescent="0.25">
      <c r="A257" s="23" t="str">
        <f>IF(מלאי!D260&lt;&gt;"",מלאי!D260,"")</f>
        <v/>
      </c>
      <c r="B257" s="23" t="str">
        <f>IF(מלאי!D260&lt;&gt;"",מלאי!B260&amp;IF(מלאי!C260&lt;&gt;""," ("&amp;מלאי!C260&amp;")",""),"")</f>
        <v/>
      </c>
      <c r="C257" s="23" t="str">
        <f>IF(מלאי!D260&lt;&gt;"",מלאי!A260,"")</f>
        <v/>
      </c>
      <c r="D257" s="23" t="str">
        <f>IF(מלאי!D260&lt;&gt;"",מלאי!H260,"")</f>
        <v/>
      </c>
      <c r="E257" s="23"/>
      <c r="F257" s="23"/>
      <c r="G257" s="23"/>
      <c r="H257" s="23" t="str">
        <f>IF(מלאי!D260&lt;&gt;"",מלאי!I260,"")</f>
        <v/>
      </c>
      <c r="I257" s="23"/>
      <c r="J257" s="23"/>
      <c r="K257" s="23"/>
      <c r="L257" s="23" t="str">
        <f>IF(מלאי!D260&lt;&gt;"",מלאי!#REF!,"")</f>
        <v/>
      </c>
    </row>
    <row r="258" spans="1:12" ht="15" customHeight="1" x14ac:dyDescent="0.25">
      <c r="A258" s="23" t="str">
        <f>IF(מלאי!D261&lt;&gt;"",מלאי!D261,"")</f>
        <v/>
      </c>
      <c r="B258" s="23" t="str">
        <f>IF(מלאי!D261&lt;&gt;"",מלאי!B261&amp;IF(מלאי!C261&lt;&gt;""," ("&amp;מלאי!C261&amp;")",""),"")</f>
        <v/>
      </c>
      <c r="C258" s="23" t="str">
        <f>IF(מלאי!D261&lt;&gt;"",מלאי!A261,"")</f>
        <v/>
      </c>
      <c r="D258" s="23" t="str">
        <f>IF(מלאי!D261&lt;&gt;"",מלאי!H261,"")</f>
        <v/>
      </c>
      <c r="E258" s="23"/>
      <c r="F258" s="23"/>
      <c r="G258" s="23"/>
      <c r="H258" s="23" t="str">
        <f>IF(מלאי!D261&lt;&gt;"",מלאי!I261,"")</f>
        <v/>
      </c>
      <c r="I258" s="23"/>
      <c r="J258" s="23"/>
      <c r="K258" s="23"/>
      <c r="L258" s="23" t="str">
        <f>IF(מלאי!D261&lt;&gt;"",מלאי!#REF!,"")</f>
        <v/>
      </c>
    </row>
    <row r="259" spans="1:12" ht="15" customHeight="1" x14ac:dyDescent="0.25">
      <c r="A259" s="23" t="str">
        <f>IF(מלאי!D262&lt;&gt;"",מלאי!D262,"")</f>
        <v/>
      </c>
      <c r="B259" s="23" t="str">
        <f>IF(מלאי!D262&lt;&gt;"",מלאי!B262&amp;IF(מלאי!C262&lt;&gt;""," ("&amp;מלאי!C262&amp;")",""),"")</f>
        <v/>
      </c>
      <c r="C259" s="23" t="str">
        <f>IF(מלאי!D262&lt;&gt;"",מלאי!A262,"")</f>
        <v/>
      </c>
      <c r="D259" s="23" t="str">
        <f>IF(מלאי!D262&lt;&gt;"",מלאי!H262,"")</f>
        <v/>
      </c>
      <c r="E259" s="23"/>
      <c r="F259" s="23"/>
      <c r="G259" s="23"/>
      <c r="H259" s="23" t="str">
        <f>IF(מלאי!D262&lt;&gt;"",מלאי!I262,"")</f>
        <v/>
      </c>
      <c r="I259" s="23"/>
      <c r="J259" s="23"/>
      <c r="K259" s="23"/>
      <c r="L259" s="23" t="str">
        <f>IF(מלאי!D262&lt;&gt;"",מלאי!#REF!,"")</f>
        <v/>
      </c>
    </row>
    <row r="260" spans="1:12" ht="15" customHeight="1" x14ac:dyDescent="0.25">
      <c r="A260" s="23" t="str">
        <f>IF(מלאי!D263&lt;&gt;"",מלאי!D263,"")</f>
        <v/>
      </c>
      <c r="B260" s="23" t="str">
        <f>IF(מלאי!D263&lt;&gt;"",מלאי!B263&amp;IF(מלאי!C263&lt;&gt;""," ("&amp;מלאי!C263&amp;")",""),"")</f>
        <v/>
      </c>
      <c r="C260" s="23" t="str">
        <f>IF(מלאי!D263&lt;&gt;"",מלאי!A263,"")</f>
        <v/>
      </c>
      <c r="D260" s="23" t="str">
        <f>IF(מלאי!D263&lt;&gt;"",מלאי!H263,"")</f>
        <v/>
      </c>
      <c r="E260" s="23"/>
      <c r="F260" s="23"/>
      <c r="G260" s="23"/>
      <c r="H260" s="23" t="str">
        <f>IF(מלאי!D263&lt;&gt;"",מלאי!I263,"")</f>
        <v/>
      </c>
      <c r="I260" s="23"/>
      <c r="J260" s="23"/>
      <c r="K260" s="23"/>
      <c r="L260" s="23" t="str">
        <f>IF(מלאי!D263&lt;&gt;"",מלאי!#REF!,"")</f>
        <v/>
      </c>
    </row>
    <row r="261" spans="1:12" ht="15" customHeight="1" x14ac:dyDescent="0.25">
      <c r="A261" s="23" t="str">
        <f>IF(מלאי!D264&lt;&gt;"",מלאי!D264,"")</f>
        <v/>
      </c>
      <c r="B261" s="23" t="str">
        <f>IF(מלאי!D264&lt;&gt;"",מלאי!B264&amp;IF(מלאי!C264&lt;&gt;""," ("&amp;מלאי!C264&amp;")",""),"")</f>
        <v/>
      </c>
      <c r="C261" s="23" t="str">
        <f>IF(מלאי!D264&lt;&gt;"",מלאי!A264,"")</f>
        <v/>
      </c>
      <c r="D261" s="23" t="str">
        <f>IF(מלאי!D264&lt;&gt;"",מלאי!H264,"")</f>
        <v/>
      </c>
      <c r="E261" s="23"/>
      <c r="F261" s="23"/>
      <c r="G261" s="23"/>
      <c r="H261" s="23" t="str">
        <f>IF(מלאי!D264&lt;&gt;"",מלאי!I264,"")</f>
        <v/>
      </c>
      <c r="I261" s="23"/>
      <c r="J261" s="23"/>
      <c r="K261" s="23"/>
      <c r="L261" s="23" t="str">
        <f>IF(מלאי!D264&lt;&gt;"",מלאי!#REF!,"")</f>
        <v/>
      </c>
    </row>
    <row r="262" spans="1:12" ht="15" customHeight="1" x14ac:dyDescent="0.25">
      <c r="A262" s="23" t="str">
        <f>IF(מלאי!D265&lt;&gt;"",מלאי!D265,"")</f>
        <v/>
      </c>
      <c r="B262" s="23" t="str">
        <f>IF(מלאי!D265&lt;&gt;"",מלאי!B265&amp;IF(מלאי!C265&lt;&gt;""," ("&amp;מלאי!C265&amp;")",""),"")</f>
        <v/>
      </c>
      <c r="C262" s="23" t="str">
        <f>IF(מלאי!D265&lt;&gt;"",מלאי!A265,"")</f>
        <v/>
      </c>
      <c r="D262" s="23" t="str">
        <f>IF(מלאי!D265&lt;&gt;"",מלאי!H265,"")</f>
        <v/>
      </c>
      <c r="E262" s="23"/>
      <c r="F262" s="23"/>
      <c r="G262" s="23"/>
      <c r="H262" s="23" t="str">
        <f>IF(מלאי!D265&lt;&gt;"",מלאי!I265,"")</f>
        <v/>
      </c>
      <c r="I262" s="23"/>
      <c r="J262" s="23"/>
      <c r="K262" s="23"/>
      <c r="L262" s="23" t="str">
        <f>IF(מלאי!D265&lt;&gt;"",מלאי!#REF!,"")</f>
        <v/>
      </c>
    </row>
    <row r="263" spans="1:12" ht="15" customHeight="1" x14ac:dyDescent="0.25">
      <c r="A263" s="23" t="str">
        <f>IF(מלאי!D266&lt;&gt;"",מלאי!D266,"")</f>
        <v/>
      </c>
      <c r="B263" s="23" t="str">
        <f>IF(מלאי!D266&lt;&gt;"",מלאי!B266&amp;IF(מלאי!C266&lt;&gt;""," ("&amp;מלאי!C266&amp;")",""),"")</f>
        <v/>
      </c>
      <c r="C263" s="23" t="str">
        <f>IF(מלאי!D266&lt;&gt;"",מלאי!A266,"")</f>
        <v/>
      </c>
      <c r="D263" s="23" t="str">
        <f>IF(מלאי!D266&lt;&gt;"",מלאי!H266,"")</f>
        <v/>
      </c>
      <c r="E263" s="23"/>
      <c r="F263" s="23"/>
      <c r="G263" s="23"/>
      <c r="H263" s="23" t="str">
        <f>IF(מלאי!D266&lt;&gt;"",מלאי!I266,"")</f>
        <v/>
      </c>
      <c r="I263" s="23"/>
      <c r="J263" s="23"/>
      <c r="K263" s="23"/>
      <c r="L263" s="23" t="str">
        <f>IF(מלאי!D266&lt;&gt;"",מלאי!#REF!,"")</f>
        <v/>
      </c>
    </row>
    <row r="264" spans="1:12" ht="15" customHeight="1" x14ac:dyDescent="0.25">
      <c r="A264" s="23" t="str">
        <f>IF(מלאי!D267&lt;&gt;"",מלאי!D267,"")</f>
        <v/>
      </c>
      <c r="B264" s="23" t="str">
        <f>IF(מלאי!D267&lt;&gt;"",מלאי!B267&amp;IF(מלאי!C267&lt;&gt;""," ("&amp;מלאי!C267&amp;")",""),"")</f>
        <v/>
      </c>
      <c r="C264" s="23" t="str">
        <f>IF(מלאי!D267&lt;&gt;"",מלאי!A267,"")</f>
        <v/>
      </c>
      <c r="D264" s="23" t="str">
        <f>IF(מלאי!D267&lt;&gt;"",מלאי!H267,"")</f>
        <v/>
      </c>
      <c r="E264" s="23"/>
      <c r="F264" s="23"/>
      <c r="G264" s="23"/>
      <c r="H264" s="23" t="str">
        <f>IF(מלאי!D267&lt;&gt;"",מלאי!I267,"")</f>
        <v/>
      </c>
      <c r="I264" s="23"/>
      <c r="J264" s="23"/>
      <c r="K264" s="23"/>
      <c r="L264" s="23" t="str">
        <f>IF(מלאי!D267&lt;&gt;"",מלאי!#REF!,"")</f>
        <v/>
      </c>
    </row>
    <row r="265" spans="1:12" ht="15" customHeight="1" x14ac:dyDescent="0.25">
      <c r="A265" s="23" t="str">
        <f>IF(מלאי!D268&lt;&gt;"",מלאי!D268,"")</f>
        <v/>
      </c>
      <c r="B265" s="23" t="str">
        <f>IF(מלאי!D268&lt;&gt;"",מלאי!B268&amp;IF(מלאי!C268&lt;&gt;""," ("&amp;מלאי!C268&amp;")",""),"")</f>
        <v/>
      </c>
      <c r="C265" s="23" t="str">
        <f>IF(מלאי!D268&lt;&gt;"",מלאי!A268,"")</f>
        <v/>
      </c>
      <c r="D265" s="23" t="str">
        <f>IF(מלאי!D268&lt;&gt;"",מלאי!H268,"")</f>
        <v/>
      </c>
      <c r="E265" s="23"/>
      <c r="F265" s="23"/>
      <c r="G265" s="23"/>
      <c r="H265" s="23" t="str">
        <f>IF(מלאי!D268&lt;&gt;"",מלאי!I268,"")</f>
        <v/>
      </c>
      <c r="I265" s="23"/>
      <c r="J265" s="23"/>
      <c r="K265" s="23"/>
      <c r="L265" s="23" t="str">
        <f>IF(מלאי!D268&lt;&gt;"",מלאי!#REF!,"")</f>
        <v/>
      </c>
    </row>
    <row r="266" spans="1:12" ht="15" customHeight="1" x14ac:dyDescent="0.25">
      <c r="A266" s="23" t="str">
        <f>IF(מלאי!D269&lt;&gt;"",מלאי!D269,"")</f>
        <v/>
      </c>
      <c r="B266" s="23" t="str">
        <f>IF(מלאי!D269&lt;&gt;"",מלאי!B269&amp;IF(מלאי!C269&lt;&gt;""," ("&amp;מלאי!C269&amp;")",""),"")</f>
        <v/>
      </c>
      <c r="C266" s="23" t="str">
        <f>IF(מלאי!D269&lt;&gt;"",מלאי!A269,"")</f>
        <v/>
      </c>
      <c r="D266" s="23" t="str">
        <f>IF(מלאי!D269&lt;&gt;"",מלאי!H269,"")</f>
        <v/>
      </c>
      <c r="E266" s="23"/>
      <c r="F266" s="23"/>
      <c r="G266" s="23"/>
      <c r="H266" s="23" t="str">
        <f>IF(מלאי!D269&lt;&gt;"",מלאי!I269,"")</f>
        <v/>
      </c>
      <c r="I266" s="23"/>
      <c r="J266" s="23"/>
      <c r="K266" s="23"/>
      <c r="L266" s="23" t="str">
        <f>IF(מלאי!D269&lt;&gt;"",מלאי!#REF!,"")</f>
        <v/>
      </c>
    </row>
    <row r="267" spans="1:12" ht="15" customHeight="1" x14ac:dyDescent="0.25">
      <c r="A267" s="23" t="str">
        <f>IF(מלאי!D270&lt;&gt;"",מלאי!D270,"")</f>
        <v/>
      </c>
      <c r="B267" s="23" t="str">
        <f>IF(מלאי!D270&lt;&gt;"",מלאי!B270&amp;IF(מלאי!C270&lt;&gt;""," ("&amp;מלאי!C270&amp;")",""),"")</f>
        <v/>
      </c>
      <c r="C267" s="23" t="str">
        <f>IF(מלאי!D270&lt;&gt;"",מלאי!A270,"")</f>
        <v/>
      </c>
      <c r="D267" s="23" t="str">
        <f>IF(מלאי!D270&lt;&gt;"",מלאי!H270,"")</f>
        <v/>
      </c>
      <c r="E267" s="23"/>
      <c r="F267" s="23"/>
      <c r="G267" s="23"/>
      <c r="H267" s="23" t="str">
        <f>IF(מלאי!D270&lt;&gt;"",מלאי!I270,"")</f>
        <v/>
      </c>
      <c r="I267" s="23"/>
      <c r="J267" s="23"/>
      <c r="K267" s="23"/>
      <c r="L267" s="23" t="str">
        <f>IF(מלאי!D270&lt;&gt;"",מלאי!#REF!,"")</f>
        <v/>
      </c>
    </row>
    <row r="268" spans="1:12" ht="15" customHeight="1" x14ac:dyDescent="0.25">
      <c r="A268" s="23" t="str">
        <f>IF(מלאי!D271&lt;&gt;"",מלאי!D271,"")</f>
        <v/>
      </c>
      <c r="B268" s="23" t="str">
        <f>IF(מלאי!D271&lt;&gt;"",מלאי!B271&amp;IF(מלאי!C271&lt;&gt;""," ("&amp;מלאי!C271&amp;")",""),"")</f>
        <v/>
      </c>
      <c r="C268" s="23" t="str">
        <f>IF(מלאי!D271&lt;&gt;"",מלאי!A271,"")</f>
        <v/>
      </c>
      <c r="D268" s="23" t="str">
        <f>IF(מלאי!D271&lt;&gt;"",מלאי!H271,"")</f>
        <v/>
      </c>
      <c r="E268" s="23"/>
      <c r="F268" s="23"/>
      <c r="G268" s="23"/>
      <c r="H268" s="23" t="str">
        <f>IF(מלאי!D271&lt;&gt;"",מלאי!I271,"")</f>
        <v/>
      </c>
      <c r="I268" s="23"/>
      <c r="J268" s="23"/>
      <c r="K268" s="23"/>
      <c r="L268" s="23" t="str">
        <f>IF(מלאי!D271&lt;&gt;"",מלאי!#REF!,"")</f>
        <v/>
      </c>
    </row>
    <row r="269" spans="1:12" ht="15" customHeight="1" x14ac:dyDescent="0.25">
      <c r="A269" s="23" t="str">
        <f>IF(מלאי!D272&lt;&gt;"",מלאי!D272,"")</f>
        <v/>
      </c>
      <c r="B269" s="23" t="str">
        <f>IF(מלאי!D272&lt;&gt;"",מלאי!B272&amp;IF(מלאי!C272&lt;&gt;""," ("&amp;מלאי!C272&amp;")",""),"")</f>
        <v/>
      </c>
      <c r="C269" s="23" t="str">
        <f>IF(מלאי!D272&lt;&gt;"",מלאי!A272,"")</f>
        <v/>
      </c>
      <c r="D269" s="23" t="str">
        <f>IF(מלאי!D272&lt;&gt;"",מלאי!H272,"")</f>
        <v/>
      </c>
      <c r="E269" s="23"/>
      <c r="F269" s="23"/>
      <c r="G269" s="23"/>
      <c r="H269" s="23" t="str">
        <f>IF(מלאי!D272&lt;&gt;"",מלאי!I272,"")</f>
        <v/>
      </c>
      <c r="I269" s="23"/>
      <c r="J269" s="23"/>
      <c r="K269" s="23"/>
      <c r="L269" s="23" t="str">
        <f>IF(מלאי!D272&lt;&gt;"",מלאי!#REF!,"")</f>
        <v/>
      </c>
    </row>
    <row r="270" spans="1:12" ht="15" customHeight="1" x14ac:dyDescent="0.25">
      <c r="A270" s="23" t="str">
        <f>IF(מלאי!D273&lt;&gt;"",מלאי!D273,"")</f>
        <v/>
      </c>
      <c r="B270" s="23" t="str">
        <f>IF(מלאי!D273&lt;&gt;"",מלאי!B273&amp;IF(מלאי!C273&lt;&gt;""," ("&amp;מלאי!C273&amp;")",""),"")</f>
        <v/>
      </c>
      <c r="C270" s="23" t="str">
        <f>IF(מלאי!D273&lt;&gt;"",מלאי!A273,"")</f>
        <v/>
      </c>
      <c r="D270" s="23" t="str">
        <f>IF(מלאי!D273&lt;&gt;"",מלאי!H273,"")</f>
        <v/>
      </c>
      <c r="E270" s="23"/>
      <c r="F270" s="23"/>
      <c r="G270" s="23"/>
      <c r="H270" s="23" t="str">
        <f>IF(מלאי!D273&lt;&gt;"",מלאי!I273,"")</f>
        <v/>
      </c>
      <c r="I270" s="23"/>
      <c r="J270" s="23"/>
      <c r="K270" s="23"/>
      <c r="L270" s="23" t="str">
        <f>IF(מלאי!D273&lt;&gt;"",מלאי!#REF!,"")</f>
        <v/>
      </c>
    </row>
    <row r="271" spans="1:12" ht="15" customHeight="1" x14ac:dyDescent="0.25">
      <c r="A271" s="23" t="str">
        <f>IF(מלאי!D274&lt;&gt;"",מלאי!D274,"")</f>
        <v/>
      </c>
      <c r="B271" s="23" t="str">
        <f>IF(מלאי!D274&lt;&gt;"",מלאי!B274&amp;IF(מלאי!C274&lt;&gt;""," ("&amp;מלאי!C274&amp;")",""),"")</f>
        <v/>
      </c>
      <c r="C271" s="23" t="str">
        <f>IF(מלאי!D274&lt;&gt;"",מלאי!A274,"")</f>
        <v/>
      </c>
      <c r="D271" s="23" t="str">
        <f>IF(מלאי!D274&lt;&gt;"",מלאי!H274,"")</f>
        <v/>
      </c>
      <c r="E271" s="23"/>
      <c r="F271" s="23"/>
      <c r="G271" s="23"/>
      <c r="H271" s="23" t="str">
        <f>IF(מלאי!D274&lt;&gt;"",מלאי!I274,"")</f>
        <v/>
      </c>
      <c r="I271" s="23"/>
      <c r="J271" s="23"/>
      <c r="K271" s="23"/>
      <c r="L271" s="23" t="str">
        <f>IF(מלאי!D274&lt;&gt;"",מלאי!#REF!,"")</f>
        <v/>
      </c>
    </row>
    <row r="272" spans="1:12" ht="15" customHeight="1" x14ac:dyDescent="0.25">
      <c r="A272" s="23" t="str">
        <f>IF(מלאי!D275&lt;&gt;"",מלאי!D275,"")</f>
        <v/>
      </c>
      <c r="B272" s="23" t="str">
        <f>IF(מלאי!D275&lt;&gt;"",מלאי!B275&amp;IF(מלאי!C275&lt;&gt;""," ("&amp;מלאי!C275&amp;")",""),"")</f>
        <v/>
      </c>
      <c r="C272" s="23" t="str">
        <f>IF(מלאי!D275&lt;&gt;"",מלאי!A275,"")</f>
        <v/>
      </c>
      <c r="D272" s="23" t="str">
        <f>IF(מלאי!D275&lt;&gt;"",מלאי!H275,"")</f>
        <v/>
      </c>
      <c r="E272" s="23"/>
      <c r="F272" s="23"/>
      <c r="G272" s="23"/>
      <c r="H272" s="23" t="str">
        <f>IF(מלאי!D275&lt;&gt;"",מלאי!I275,"")</f>
        <v/>
      </c>
      <c r="I272" s="23"/>
      <c r="J272" s="23"/>
      <c r="K272" s="23"/>
      <c r="L272" s="23" t="str">
        <f>IF(מלאי!D275&lt;&gt;"",מלאי!#REF!,"")</f>
        <v/>
      </c>
    </row>
    <row r="273" spans="1:12" ht="15" customHeight="1" x14ac:dyDescent="0.25">
      <c r="A273" s="23" t="str">
        <f>IF(מלאי!D276&lt;&gt;"",מלאי!D276,"")</f>
        <v/>
      </c>
      <c r="B273" s="23" t="str">
        <f>IF(מלאי!D276&lt;&gt;"",מלאי!B276&amp;IF(מלאי!C276&lt;&gt;""," ("&amp;מלאי!C276&amp;")",""),"")</f>
        <v/>
      </c>
      <c r="C273" s="23" t="str">
        <f>IF(מלאי!D276&lt;&gt;"",מלאי!A276,"")</f>
        <v/>
      </c>
      <c r="D273" s="23" t="str">
        <f>IF(מלאי!D276&lt;&gt;"",מלאי!H276,"")</f>
        <v/>
      </c>
      <c r="E273" s="23"/>
      <c r="F273" s="23"/>
      <c r="G273" s="23"/>
      <c r="H273" s="23" t="str">
        <f>IF(מלאי!D276&lt;&gt;"",מלאי!I276,"")</f>
        <v/>
      </c>
      <c r="I273" s="23"/>
      <c r="J273" s="23"/>
      <c r="K273" s="23"/>
      <c r="L273" s="23" t="str">
        <f>IF(מלאי!D276&lt;&gt;"",מלאי!#REF!,"")</f>
        <v/>
      </c>
    </row>
    <row r="274" spans="1:12" ht="15" customHeight="1" x14ac:dyDescent="0.25">
      <c r="A274" s="23" t="str">
        <f>IF(מלאי!D277&lt;&gt;"",מלאי!D277,"")</f>
        <v/>
      </c>
      <c r="B274" s="23" t="str">
        <f>IF(מלאי!D277&lt;&gt;"",מלאי!B277&amp;IF(מלאי!C277&lt;&gt;""," ("&amp;מלאי!C277&amp;")",""),"")</f>
        <v/>
      </c>
      <c r="C274" s="23" t="str">
        <f>IF(מלאי!D277&lt;&gt;"",מלאי!A277,"")</f>
        <v/>
      </c>
      <c r="D274" s="23" t="str">
        <f>IF(מלאי!D277&lt;&gt;"",מלאי!H277,"")</f>
        <v/>
      </c>
      <c r="E274" s="23"/>
      <c r="F274" s="23"/>
      <c r="G274" s="23"/>
      <c r="H274" s="23" t="str">
        <f>IF(מלאי!D277&lt;&gt;"",מלאי!I277,"")</f>
        <v/>
      </c>
      <c r="I274" s="23"/>
      <c r="J274" s="23"/>
      <c r="K274" s="23"/>
      <c r="L274" s="23" t="str">
        <f>IF(מלאי!D277&lt;&gt;"",מלאי!#REF!,"")</f>
        <v/>
      </c>
    </row>
    <row r="275" spans="1:12" ht="15" customHeight="1" x14ac:dyDescent="0.25">
      <c r="A275" s="23" t="str">
        <f>IF(מלאי!D278&lt;&gt;"",מלאי!D278,"")</f>
        <v/>
      </c>
      <c r="B275" s="23" t="str">
        <f>IF(מלאי!D278&lt;&gt;"",מלאי!B278&amp;IF(מלאי!C278&lt;&gt;""," ("&amp;מלאי!C278&amp;")",""),"")</f>
        <v/>
      </c>
      <c r="C275" s="23" t="str">
        <f>IF(מלאי!D278&lt;&gt;"",מלאי!A278,"")</f>
        <v/>
      </c>
      <c r="D275" s="23" t="str">
        <f>IF(מלאי!D278&lt;&gt;"",מלאי!H278,"")</f>
        <v/>
      </c>
      <c r="E275" s="23"/>
      <c r="F275" s="23"/>
      <c r="G275" s="23"/>
      <c r="H275" s="23" t="str">
        <f>IF(מלאי!D278&lt;&gt;"",מלאי!I278,"")</f>
        <v/>
      </c>
      <c r="I275" s="23"/>
      <c r="J275" s="23"/>
      <c r="K275" s="23"/>
      <c r="L275" s="23" t="str">
        <f>IF(מלאי!D278&lt;&gt;"",מלאי!#REF!,"")</f>
        <v/>
      </c>
    </row>
    <row r="276" spans="1:12" ht="15" customHeight="1" x14ac:dyDescent="0.25">
      <c r="A276" s="23" t="str">
        <f>IF(מלאי!D279&lt;&gt;"",מלאי!D279,"")</f>
        <v/>
      </c>
      <c r="B276" s="23" t="str">
        <f>IF(מלאי!D279&lt;&gt;"",מלאי!B279&amp;IF(מלאי!C279&lt;&gt;""," ("&amp;מלאי!C279&amp;")",""),"")</f>
        <v/>
      </c>
      <c r="C276" s="23" t="str">
        <f>IF(מלאי!D279&lt;&gt;"",מלאי!A279,"")</f>
        <v/>
      </c>
      <c r="D276" s="23" t="str">
        <f>IF(מלאי!D279&lt;&gt;"",מלאי!H279,"")</f>
        <v/>
      </c>
      <c r="E276" s="23"/>
      <c r="F276" s="23"/>
      <c r="G276" s="23"/>
      <c r="H276" s="23" t="str">
        <f>IF(מלאי!D279&lt;&gt;"",מלאי!I279,"")</f>
        <v/>
      </c>
      <c r="I276" s="23"/>
      <c r="J276" s="23"/>
      <c r="K276" s="23"/>
      <c r="L276" s="23" t="str">
        <f>IF(מלאי!D279&lt;&gt;"",מלאי!#REF!,"")</f>
        <v/>
      </c>
    </row>
    <row r="277" spans="1:12" ht="15" customHeight="1" x14ac:dyDescent="0.25">
      <c r="A277" s="23" t="str">
        <f>IF(מלאי!D280&lt;&gt;"",מלאי!D280,"")</f>
        <v/>
      </c>
      <c r="B277" s="23" t="str">
        <f>IF(מלאי!D280&lt;&gt;"",מלאי!B280&amp;IF(מלאי!C280&lt;&gt;""," ("&amp;מלאי!C280&amp;")",""),"")</f>
        <v/>
      </c>
      <c r="C277" s="23" t="str">
        <f>IF(מלאי!D280&lt;&gt;"",מלאי!A280,"")</f>
        <v/>
      </c>
      <c r="D277" s="23" t="str">
        <f>IF(מלאי!D280&lt;&gt;"",מלאי!H280,"")</f>
        <v/>
      </c>
      <c r="E277" s="23"/>
      <c r="F277" s="23"/>
      <c r="G277" s="23"/>
      <c r="H277" s="23" t="str">
        <f>IF(מלאי!D280&lt;&gt;"",מלאי!I280,"")</f>
        <v/>
      </c>
      <c r="I277" s="23"/>
      <c r="J277" s="23"/>
      <c r="K277" s="23"/>
      <c r="L277" s="23" t="str">
        <f>IF(מלאי!D280&lt;&gt;"",מלאי!#REF!,"")</f>
        <v/>
      </c>
    </row>
    <row r="278" spans="1:12" ht="15" customHeight="1" x14ac:dyDescent="0.25">
      <c r="A278" s="23" t="str">
        <f>IF(מלאי!D281&lt;&gt;"",מלאי!D281,"")</f>
        <v/>
      </c>
      <c r="B278" s="23" t="str">
        <f>IF(מלאי!D281&lt;&gt;"",מלאי!B281&amp;IF(מלאי!C281&lt;&gt;""," ("&amp;מלאי!C281&amp;")",""),"")</f>
        <v/>
      </c>
      <c r="C278" s="23" t="str">
        <f>IF(מלאי!D281&lt;&gt;"",מלאי!A281,"")</f>
        <v/>
      </c>
      <c r="D278" s="23" t="str">
        <f>IF(מלאי!D281&lt;&gt;"",מלאי!H281,"")</f>
        <v/>
      </c>
      <c r="E278" s="23"/>
      <c r="F278" s="23"/>
      <c r="G278" s="23"/>
      <c r="H278" s="23" t="str">
        <f>IF(מלאי!D281&lt;&gt;"",מלאי!I281,"")</f>
        <v/>
      </c>
      <c r="I278" s="23"/>
      <c r="J278" s="23"/>
      <c r="K278" s="23"/>
      <c r="L278" s="23" t="str">
        <f>IF(מלאי!D281&lt;&gt;"",מלאי!#REF!,"")</f>
        <v/>
      </c>
    </row>
    <row r="279" spans="1:12" ht="15" customHeight="1" x14ac:dyDescent="0.25">
      <c r="A279" s="23" t="str">
        <f>IF(מלאי!D282&lt;&gt;"",מלאי!D282,"")</f>
        <v/>
      </c>
      <c r="B279" s="23" t="str">
        <f>IF(מלאי!D282&lt;&gt;"",מלאי!B282&amp;IF(מלאי!C282&lt;&gt;""," ("&amp;מלאי!C282&amp;")",""),"")</f>
        <v/>
      </c>
      <c r="C279" s="23" t="str">
        <f>IF(מלאי!D282&lt;&gt;"",מלאי!A282,"")</f>
        <v/>
      </c>
      <c r="D279" s="23" t="str">
        <f>IF(מלאי!D282&lt;&gt;"",מלאי!H282,"")</f>
        <v/>
      </c>
      <c r="E279" s="23"/>
      <c r="F279" s="23"/>
      <c r="G279" s="23"/>
      <c r="H279" s="23" t="str">
        <f>IF(מלאי!D282&lt;&gt;"",מלאי!I282,"")</f>
        <v/>
      </c>
      <c r="I279" s="23"/>
      <c r="J279" s="23"/>
      <c r="K279" s="23"/>
      <c r="L279" s="23" t="str">
        <f>IF(מלאי!D282&lt;&gt;"",מלאי!#REF!,"")</f>
        <v/>
      </c>
    </row>
    <row r="280" spans="1:12" ht="15" customHeight="1" x14ac:dyDescent="0.25">
      <c r="A280" s="23" t="str">
        <f>IF(מלאי!D283&lt;&gt;"",מלאי!D283,"")</f>
        <v/>
      </c>
      <c r="B280" s="23" t="str">
        <f>IF(מלאי!D283&lt;&gt;"",מלאי!B283&amp;IF(מלאי!C283&lt;&gt;""," ("&amp;מלאי!C283&amp;")",""),"")</f>
        <v/>
      </c>
      <c r="C280" s="23" t="str">
        <f>IF(מלאי!D283&lt;&gt;"",מלאי!A283,"")</f>
        <v/>
      </c>
      <c r="D280" s="23" t="str">
        <f>IF(מלאי!D283&lt;&gt;"",מלאי!H283,"")</f>
        <v/>
      </c>
      <c r="E280" s="23"/>
      <c r="F280" s="23"/>
      <c r="G280" s="23"/>
      <c r="H280" s="23" t="str">
        <f>IF(מלאי!D283&lt;&gt;"",מלאי!I283,"")</f>
        <v/>
      </c>
      <c r="I280" s="23"/>
      <c r="J280" s="23"/>
      <c r="K280" s="23"/>
      <c r="L280" s="23" t="str">
        <f>IF(מלאי!D283&lt;&gt;"",מלאי!#REF!,"")</f>
        <v/>
      </c>
    </row>
    <row r="281" spans="1:12" ht="15" customHeight="1" x14ac:dyDescent="0.25">
      <c r="A281" s="23" t="str">
        <f>IF(מלאי!D284&lt;&gt;"",מלאי!D284,"")</f>
        <v/>
      </c>
      <c r="B281" s="23" t="str">
        <f>IF(מלאי!D284&lt;&gt;"",מלאי!B284&amp;IF(מלאי!C284&lt;&gt;""," ("&amp;מלאי!C284&amp;")",""),"")</f>
        <v/>
      </c>
      <c r="C281" s="23" t="str">
        <f>IF(מלאי!D284&lt;&gt;"",מלאי!A284,"")</f>
        <v/>
      </c>
      <c r="D281" s="23" t="str">
        <f>IF(מלאי!D284&lt;&gt;"",מלאי!H284,"")</f>
        <v/>
      </c>
      <c r="E281" s="23"/>
      <c r="F281" s="23"/>
      <c r="G281" s="23"/>
      <c r="H281" s="23" t="str">
        <f>IF(מלאי!D284&lt;&gt;"",מלאי!I284,"")</f>
        <v/>
      </c>
      <c r="I281" s="23"/>
      <c r="J281" s="23"/>
      <c r="K281" s="23"/>
      <c r="L281" s="23" t="str">
        <f>IF(מלאי!D284&lt;&gt;"",מלאי!#REF!,"")</f>
        <v/>
      </c>
    </row>
    <row r="282" spans="1:12" ht="15" customHeight="1" x14ac:dyDescent="0.25">
      <c r="A282" s="23" t="str">
        <f>IF(מלאי!D285&lt;&gt;"",מלאי!D285,"")</f>
        <v/>
      </c>
      <c r="B282" s="23" t="str">
        <f>IF(מלאי!D285&lt;&gt;"",מלאי!B285&amp;IF(מלאי!C285&lt;&gt;""," ("&amp;מלאי!C285&amp;")",""),"")</f>
        <v/>
      </c>
      <c r="C282" s="23" t="str">
        <f>IF(מלאי!D285&lt;&gt;"",מלאי!A285,"")</f>
        <v/>
      </c>
      <c r="D282" s="23" t="str">
        <f>IF(מלאי!D285&lt;&gt;"",מלאי!H285,"")</f>
        <v/>
      </c>
      <c r="E282" s="23"/>
      <c r="F282" s="23"/>
      <c r="G282" s="23"/>
      <c r="H282" s="23" t="str">
        <f>IF(מלאי!D285&lt;&gt;"",מלאי!I285,"")</f>
        <v/>
      </c>
      <c r="I282" s="23"/>
      <c r="J282" s="23"/>
      <c r="K282" s="23"/>
      <c r="L282" s="23" t="str">
        <f>IF(מלאי!D285&lt;&gt;"",מלאי!#REF!,"")</f>
        <v/>
      </c>
    </row>
    <row r="283" spans="1:12" ht="15" customHeight="1" x14ac:dyDescent="0.25">
      <c r="A283" s="23" t="str">
        <f>IF(מלאי!D286&lt;&gt;"",מלאי!D286,"")</f>
        <v/>
      </c>
      <c r="B283" s="23" t="str">
        <f>IF(מלאי!D286&lt;&gt;"",מלאי!B286&amp;IF(מלאי!C286&lt;&gt;""," ("&amp;מלאי!C286&amp;")",""),"")</f>
        <v/>
      </c>
      <c r="C283" s="23" t="str">
        <f>IF(מלאי!D286&lt;&gt;"",מלאי!A286,"")</f>
        <v/>
      </c>
      <c r="D283" s="23" t="str">
        <f>IF(מלאי!D286&lt;&gt;"",מלאי!H286,"")</f>
        <v/>
      </c>
      <c r="E283" s="23"/>
      <c r="F283" s="23"/>
      <c r="G283" s="23"/>
      <c r="H283" s="23" t="str">
        <f>IF(מלאי!D286&lt;&gt;"",מלאי!I286,"")</f>
        <v/>
      </c>
      <c r="I283" s="23"/>
      <c r="J283" s="23"/>
      <c r="K283" s="23"/>
      <c r="L283" s="23" t="str">
        <f>IF(מלאי!D286&lt;&gt;"",מלאי!#REF!,"")</f>
        <v/>
      </c>
    </row>
    <row r="284" spans="1:12" ht="15" customHeight="1" x14ac:dyDescent="0.25">
      <c r="A284" s="23" t="str">
        <f>IF(מלאי!D287&lt;&gt;"",מלאי!D287,"")</f>
        <v/>
      </c>
      <c r="B284" s="23" t="str">
        <f>IF(מלאי!D287&lt;&gt;"",מלאי!B287&amp;IF(מלאי!C287&lt;&gt;""," ("&amp;מלאי!C287&amp;")",""),"")</f>
        <v/>
      </c>
      <c r="C284" s="23" t="str">
        <f>IF(מלאי!D287&lt;&gt;"",מלאי!A287,"")</f>
        <v/>
      </c>
      <c r="D284" s="23" t="str">
        <f>IF(מלאי!D287&lt;&gt;"",מלאי!H287,"")</f>
        <v/>
      </c>
      <c r="E284" s="23"/>
      <c r="F284" s="23"/>
      <c r="G284" s="23"/>
      <c r="H284" s="23" t="str">
        <f>IF(מלאי!D287&lt;&gt;"",מלאי!I287,"")</f>
        <v/>
      </c>
      <c r="I284" s="23"/>
      <c r="J284" s="23"/>
      <c r="K284" s="23"/>
      <c r="L284" s="23" t="str">
        <f>IF(מלאי!D287&lt;&gt;"",מלאי!#REF!,"")</f>
        <v/>
      </c>
    </row>
    <row r="285" spans="1:12" ht="15" customHeight="1" x14ac:dyDescent="0.25">
      <c r="A285" s="23" t="str">
        <f>IF(מלאי!D288&lt;&gt;"",מלאי!D288,"")</f>
        <v/>
      </c>
      <c r="B285" s="23" t="str">
        <f>IF(מלאי!D288&lt;&gt;"",מלאי!B288&amp;IF(מלאי!C288&lt;&gt;""," ("&amp;מלאי!C288&amp;")",""),"")</f>
        <v/>
      </c>
      <c r="C285" s="23" t="str">
        <f>IF(מלאי!D288&lt;&gt;"",מלאי!A288,"")</f>
        <v/>
      </c>
      <c r="D285" s="23" t="str">
        <f>IF(מלאי!D288&lt;&gt;"",מלאי!H288,"")</f>
        <v/>
      </c>
      <c r="E285" s="23"/>
      <c r="F285" s="23"/>
      <c r="G285" s="23"/>
      <c r="H285" s="23" t="str">
        <f>IF(מלאי!D288&lt;&gt;"",מלאי!I288,"")</f>
        <v/>
      </c>
      <c r="I285" s="23"/>
      <c r="J285" s="23"/>
      <c r="K285" s="23"/>
      <c r="L285" s="23" t="str">
        <f>IF(מלאי!D288&lt;&gt;"",מלאי!#REF!,"")</f>
        <v/>
      </c>
    </row>
    <row r="286" spans="1:12" ht="15" customHeight="1" x14ac:dyDescent="0.25">
      <c r="A286" s="23" t="str">
        <f>IF(מלאי!D289&lt;&gt;"",מלאי!D289,"")</f>
        <v/>
      </c>
      <c r="B286" s="23" t="str">
        <f>IF(מלאי!D289&lt;&gt;"",מלאי!B289&amp;IF(מלאי!C289&lt;&gt;""," ("&amp;מלאי!C289&amp;")",""),"")</f>
        <v/>
      </c>
      <c r="C286" s="23" t="str">
        <f>IF(מלאי!D289&lt;&gt;"",מלאי!A289,"")</f>
        <v/>
      </c>
      <c r="D286" s="23" t="str">
        <f>IF(מלאי!D289&lt;&gt;"",מלאי!H289,"")</f>
        <v/>
      </c>
      <c r="E286" s="23"/>
      <c r="F286" s="23"/>
      <c r="G286" s="23"/>
      <c r="H286" s="23" t="str">
        <f>IF(מלאי!D289&lt;&gt;"",מלאי!I289,"")</f>
        <v/>
      </c>
      <c r="I286" s="23"/>
      <c r="J286" s="23"/>
      <c r="K286" s="23"/>
      <c r="L286" s="23" t="str">
        <f>IF(מלאי!D289&lt;&gt;"",מלאי!#REF!,"")</f>
        <v/>
      </c>
    </row>
    <row r="287" spans="1:12" ht="15" customHeight="1" x14ac:dyDescent="0.25">
      <c r="A287" s="23" t="str">
        <f>IF(מלאי!D290&lt;&gt;"",מלאי!D290,"")</f>
        <v/>
      </c>
      <c r="B287" s="23" t="str">
        <f>IF(מלאי!D290&lt;&gt;"",מלאי!B290&amp;IF(מלאי!C290&lt;&gt;""," ("&amp;מלאי!C290&amp;")",""),"")</f>
        <v/>
      </c>
      <c r="C287" s="23" t="str">
        <f>IF(מלאי!D290&lt;&gt;"",מלאי!A290,"")</f>
        <v/>
      </c>
      <c r="D287" s="23" t="str">
        <f>IF(מלאי!D290&lt;&gt;"",מלאי!H290,"")</f>
        <v/>
      </c>
      <c r="E287" s="23"/>
      <c r="F287" s="23"/>
      <c r="G287" s="23"/>
      <c r="H287" s="23" t="str">
        <f>IF(מלאי!D290&lt;&gt;"",מלאי!I290,"")</f>
        <v/>
      </c>
      <c r="I287" s="23"/>
      <c r="J287" s="23"/>
      <c r="K287" s="23"/>
      <c r="L287" s="23" t="str">
        <f>IF(מלאי!D290&lt;&gt;"",מלאי!#REF!,"")</f>
        <v/>
      </c>
    </row>
    <row r="288" spans="1:12" ht="15" customHeight="1" x14ac:dyDescent="0.25">
      <c r="A288" s="23" t="str">
        <f>IF(מלאי!D291&lt;&gt;"",מלאי!D291,"")</f>
        <v/>
      </c>
      <c r="B288" s="23" t="str">
        <f>IF(מלאי!D291&lt;&gt;"",מלאי!B291&amp;IF(מלאי!C291&lt;&gt;""," ("&amp;מלאי!C291&amp;")",""),"")</f>
        <v/>
      </c>
      <c r="C288" s="23" t="str">
        <f>IF(מלאי!D291&lt;&gt;"",מלאי!A291,"")</f>
        <v/>
      </c>
      <c r="D288" s="23" t="str">
        <f>IF(מלאי!D291&lt;&gt;"",מלאי!H291,"")</f>
        <v/>
      </c>
      <c r="E288" s="23"/>
      <c r="F288" s="23"/>
      <c r="G288" s="23"/>
      <c r="H288" s="23" t="str">
        <f>IF(מלאי!D291&lt;&gt;"",מלאי!I291,"")</f>
        <v/>
      </c>
      <c r="I288" s="23"/>
      <c r="J288" s="23"/>
      <c r="K288" s="23"/>
      <c r="L288" s="23" t="str">
        <f>IF(מלאי!D291&lt;&gt;"",מלאי!#REF!,"")</f>
        <v/>
      </c>
    </row>
    <row r="289" spans="1:12" ht="15" customHeight="1" x14ac:dyDescent="0.25">
      <c r="A289" s="23" t="str">
        <f>IF(מלאי!D292&lt;&gt;"",מלאי!D292,"")</f>
        <v/>
      </c>
      <c r="B289" s="23" t="str">
        <f>IF(מלאי!D292&lt;&gt;"",מלאי!B292&amp;IF(מלאי!C292&lt;&gt;""," ("&amp;מלאי!C292&amp;")",""),"")</f>
        <v/>
      </c>
      <c r="C289" s="23" t="str">
        <f>IF(מלאי!D292&lt;&gt;"",מלאי!A292,"")</f>
        <v/>
      </c>
      <c r="D289" s="23" t="str">
        <f>IF(מלאי!D292&lt;&gt;"",מלאי!H292,"")</f>
        <v/>
      </c>
      <c r="E289" s="23"/>
      <c r="F289" s="23"/>
      <c r="G289" s="23"/>
      <c r="H289" s="23" t="str">
        <f>IF(מלאי!D292&lt;&gt;"",מלאי!I292,"")</f>
        <v/>
      </c>
      <c r="I289" s="23"/>
      <c r="J289" s="23"/>
      <c r="K289" s="23"/>
      <c r="L289" s="23" t="str">
        <f>IF(מלאי!D292&lt;&gt;"",מלאי!#REF!,"")</f>
        <v/>
      </c>
    </row>
    <row r="290" spans="1:12" ht="15" customHeight="1" x14ac:dyDescent="0.25">
      <c r="A290" s="23" t="str">
        <f>IF(מלאי!D293&lt;&gt;"",מלאי!D293,"")</f>
        <v/>
      </c>
      <c r="B290" s="23" t="str">
        <f>IF(מלאי!D293&lt;&gt;"",מלאי!B293&amp;IF(מלאי!C293&lt;&gt;""," ("&amp;מלאי!C293&amp;")",""),"")</f>
        <v/>
      </c>
      <c r="C290" s="23" t="str">
        <f>IF(מלאי!D293&lt;&gt;"",מלאי!A293,"")</f>
        <v/>
      </c>
      <c r="D290" s="23" t="str">
        <f>IF(מלאי!D293&lt;&gt;"",מלאי!H293,"")</f>
        <v/>
      </c>
      <c r="E290" s="23"/>
      <c r="F290" s="23"/>
      <c r="G290" s="23"/>
      <c r="H290" s="23" t="str">
        <f>IF(מלאי!D293&lt;&gt;"",מלאי!I293,"")</f>
        <v/>
      </c>
      <c r="I290" s="23"/>
      <c r="J290" s="23"/>
      <c r="K290" s="23"/>
      <c r="L290" s="23" t="str">
        <f>IF(מלאי!D293&lt;&gt;"",מלאי!#REF!,"")</f>
        <v/>
      </c>
    </row>
    <row r="291" spans="1:12" ht="15" customHeight="1" x14ac:dyDescent="0.25">
      <c r="A291" s="23" t="str">
        <f>IF(מלאי!D294&lt;&gt;"",מלאי!D294,"")</f>
        <v/>
      </c>
      <c r="B291" s="23" t="str">
        <f>IF(מלאי!D294&lt;&gt;"",מלאי!B294&amp;IF(מלאי!C294&lt;&gt;""," ("&amp;מלאי!C294&amp;")",""),"")</f>
        <v/>
      </c>
      <c r="C291" s="23" t="str">
        <f>IF(מלאי!D294&lt;&gt;"",מלאי!A294,"")</f>
        <v/>
      </c>
      <c r="D291" s="23" t="str">
        <f>IF(מלאי!D294&lt;&gt;"",מלאי!H294,"")</f>
        <v/>
      </c>
      <c r="E291" s="23"/>
      <c r="F291" s="23"/>
      <c r="G291" s="23"/>
      <c r="H291" s="23" t="str">
        <f>IF(מלאי!D294&lt;&gt;"",מלאי!I294,"")</f>
        <v/>
      </c>
      <c r="I291" s="23"/>
      <c r="J291" s="23"/>
      <c r="K291" s="23"/>
      <c r="L291" s="23" t="str">
        <f>IF(מלאי!D294&lt;&gt;"",מלאי!#REF!,"")</f>
        <v/>
      </c>
    </row>
    <row r="292" spans="1:12" ht="15" customHeight="1" x14ac:dyDescent="0.25">
      <c r="A292" s="23" t="str">
        <f>IF(מלאי!D295&lt;&gt;"",מלאי!D295,"")</f>
        <v/>
      </c>
      <c r="B292" s="23" t="str">
        <f>IF(מלאי!D295&lt;&gt;"",מלאי!B295&amp;IF(מלאי!C295&lt;&gt;""," ("&amp;מלאי!C295&amp;")",""),"")</f>
        <v/>
      </c>
      <c r="C292" s="23" t="str">
        <f>IF(מלאי!D295&lt;&gt;"",מלאי!A295,"")</f>
        <v/>
      </c>
      <c r="D292" s="23" t="str">
        <f>IF(מלאי!D295&lt;&gt;"",מלאי!H295,"")</f>
        <v/>
      </c>
      <c r="E292" s="23"/>
      <c r="F292" s="23"/>
      <c r="G292" s="23"/>
      <c r="H292" s="23" t="str">
        <f>IF(מלאי!D295&lt;&gt;"",מלאי!I295,"")</f>
        <v/>
      </c>
      <c r="I292" s="23"/>
      <c r="J292" s="23"/>
      <c r="K292" s="23"/>
      <c r="L292" s="23" t="str">
        <f>IF(מלאי!D295&lt;&gt;"",מלאי!#REF!,"")</f>
        <v/>
      </c>
    </row>
    <row r="293" spans="1:12" ht="15" customHeight="1" x14ac:dyDescent="0.25">
      <c r="A293" s="23" t="str">
        <f>IF(מלאי!D296&lt;&gt;"",מלאי!D296,"")</f>
        <v/>
      </c>
      <c r="B293" s="23" t="str">
        <f>IF(מלאי!D296&lt;&gt;"",מלאי!B296&amp;IF(מלאי!C296&lt;&gt;""," ("&amp;מלאי!C296&amp;")",""),"")</f>
        <v/>
      </c>
      <c r="C293" s="23" t="str">
        <f>IF(מלאי!D296&lt;&gt;"",מלאי!A296,"")</f>
        <v/>
      </c>
      <c r="D293" s="23" t="str">
        <f>IF(מלאי!D296&lt;&gt;"",מלאי!H296,"")</f>
        <v/>
      </c>
      <c r="E293" s="23"/>
      <c r="F293" s="23"/>
      <c r="G293" s="23"/>
      <c r="H293" s="23" t="str">
        <f>IF(מלאי!D296&lt;&gt;"",מלאי!I296,"")</f>
        <v/>
      </c>
      <c r="I293" s="23"/>
      <c r="J293" s="23"/>
      <c r="K293" s="23"/>
      <c r="L293" s="23" t="str">
        <f>IF(מלאי!D296&lt;&gt;"",מלאי!#REF!,"")</f>
        <v/>
      </c>
    </row>
    <row r="294" spans="1:12" ht="15" customHeight="1" x14ac:dyDescent="0.25">
      <c r="A294" s="23" t="str">
        <f>IF(מלאי!D297&lt;&gt;"",מלאי!D297,"")</f>
        <v/>
      </c>
      <c r="B294" s="23" t="str">
        <f>IF(מלאי!D297&lt;&gt;"",מלאי!B297&amp;IF(מלאי!C297&lt;&gt;""," ("&amp;מלאי!C297&amp;")",""),"")</f>
        <v/>
      </c>
      <c r="C294" s="23" t="str">
        <f>IF(מלאי!D297&lt;&gt;"",מלאי!A297,"")</f>
        <v/>
      </c>
      <c r="D294" s="23" t="str">
        <f>IF(מלאי!D297&lt;&gt;"",מלאי!H297,"")</f>
        <v/>
      </c>
      <c r="E294" s="23"/>
      <c r="F294" s="23"/>
      <c r="G294" s="23"/>
      <c r="H294" s="23" t="str">
        <f>IF(מלאי!D297&lt;&gt;"",מלאי!I297,"")</f>
        <v/>
      </c>
      <c r="I294" s="23"/>
      <c r="J294" s="23"/>
      <c r="K294" s="23"/>
      <c r="L294" s="23" t="str">
        <f>IF(מלאי!D297&lt;&gt;"",מלאי!#REF!,"")</f>
        <v/>
      </c>
    </row>
    <row r="295" spans="1:12" ht="15" customHeight="1" x14ac:dyDescent="0.25">
      <c r="A295" s="23" t="str">
        <f>IF(מלאי!D298&lt;&gt;"",מלאי!D298,"")</f>
        <v/>
      </c>
      <c r="B295" s="23" t="str">
        <f>IF(מלאי!D298&lt;&gt;"",מלאי!B298&amp;IF(מלאי!C298&lt;&gt;""," ("&amp;מלאי!C298&amp;")",""),"")</f>
        <v/>
      </c>
      <c r="C295" s="23" t="str">
        <f>IF(מלאי!D298&lt;&gt;"",מלאי!A298,"")</f>
        <v/>
      </c>
      <c r="D295" s="23" t="str">
        <f>IF(מלאי!D298&lt;&gt;"",מלאי!H298,"")</f>
        <v/>
      </c>
      <c r="E295" s="23"/>
      <c r="F295" s="23"/>
      <c r="G295" s="23"/>
      <c r="H295" s="23" t="str">
        <f>IF(מלאי!D298&lt;&gt;"",מלאי!I298,"")</f>
        <v/>
      </c>
      <c r="I295" s="23"/>
      <c r="J295" s="23"/>
      <c r="K295" s="23"/>
      <c r="L295" s="23" t="str">
        <f>IF(מלאי!D298&lt;&gt;"",מלאי!#REF!,"")</f>
        <v/>
      </c>
    </row>
    <row r="296" spans="1:12" ht="15" customHeight="1" x14ac:dyDescent="0.25">
      <c r="A296" s="23" t="str">
        <f>IF(מלאי!D299&lt;&gt;"",מלאי!D299,"")</f>
        <v/>
      </c>
      <c r="B296" s="23" t="str">
        <f>IF(מלאי!D299&lt;&gt;"",מלאי!B299&amp;IF(מלאי!C299&lt;&gt;""," ("&amp;מלאי!C299&amp;")",""),"")</f>
        <v/>
      </c>
      <c r="C296" s="23" t="str">
        <f>IF(מלאי!D299&lt;&gt;"",מלאי!A299,"")</f>
        <v/>
      </c>
      <c r="D296" s="23" t="str">
        <f>IF(מלאי!D299&lt;&gt;"",מלאי!H299,"")</f>
        <v/>
      </c>
      <c r="E296" s="23"/>
      <c r="F296" s="23"/>
      <c r="G296" s="23"/>
      <c r="H296" s="23" t="str">
        <f>IF(מלאי!D299&lt;&gt;"",מלאי!I299,"")</f>
        <v/>
      </c>
      <c r="I296" s="23"/>
      <c r="J296" s="23"/>
      <c r="K296" s="23"/>
      <c r="L296" s="23" t="str">
        <f>IF(מלאי!D299&lt;&gt;"",מלאי!#REF!,"")</f>
        <v/>
      </c>
    </row>
    <row r="297" spans="1:12" ht="15" customHeight="1" x14ac:dyDescent="0.25">
      <c r="A297" s="23" t="str">
        <f>IF(מלאי!D300&lt;&gt;"",מלאי!D300,"")</f>
        <v/>
      </c>
      <c r="B297" s="23" t="str">
        <f>IF(מלאי!D300&lt;&gt;"",מלאי!B300&amp;IF(מלאי!C300&lt;&gt;""," ("&amp;מלאי!C300&amp;")",""),"")</f>
        <v/>
      </c>
      <c r="C297" s="23" t="str">
        <f>IF(מלאי!D300&lt;&gt;"",מלאי!A300,"")</f>
        <v/>
      </c>
      <c r="D297" s="23" t="str">
        <f>IF(מלאי!D300&lt;&gt;"",מלאי!H300,"")</f>
        <v/>
      </c>
      <c r="E297" s="23"/>
      <c r="F297" s="23"/>
      <c r="G297" s="23"/>
      <c r="H297" s="23" t="str">
        <f>IF(מלאי!D300&lt;&gt;"",מלאי!I300,"")</f>
        <v/>
      </c>
      <c r="I297" s="23"/>
      <c r="J297" s="23"/>
      <c r="K297" s="23"/>
      <c r="L297" s="23" t="str">
        <f>IF(מלאי!D300&lt;&gt;"",מלאי!#REF!,"")</f>
        <v/>
      </c>
    </row>
    <row r="298" spans="1:12" ht="15" customHeight="1" x14ac:dyDescent="0.25">
      <c r="A298" s="23" t="str">
        <f>IF(מלאי!D301&lt;&gt;"",מלאי!D301,"")</f>
        <v/>
      </c>
      <c r="B298" s="23" t="str">
        <f>IF(מלאי!D301&lt;&gt;"",מלאי!B301&amp;IF(מלאי!C301&lt;&gt;""," ("&amp;מלאי!C301&amp;")",""),"")</f>
        <v/>
      </c>
      <c r="C298" s="23" t="str">
        <f>IF(מלאי!D301&lt;&gt;"",מלאי!A301,"")</f>
        <v/>
      </c>
      <c r="D298" s="23" t="str">
        <f>IF(מלאי!D301&lt;&gt;"",מלאי!H301,"")</f>
        <v/>
      </c>
      <c r="E298" s="23"/>
      <c r="F298" s="23"/>
      <c r="G298" s="23"/>
      <c r="H298" s="23" t="str">
        <f>IF(מלאי!D301&lt;&gt;"",מלאי!I301,"")</f>
        <v/>
      </c>
      <c r="I298" s="23"/>
      <c r="J298" s="23"/>
      <c r="K298" s="23"/>
      <c r="L298" s="23" t="str">
        <f>IF(מלאי!D301&lt;&gt;"",מלאי!#REF!,"")</f>
        <v/>
      </c>
    </row>
    <row r="299" spans="1:12" ht="15" customHeight="1" x14ac:dyDescent="0.25">
      <c r="A299" s="23" t="str">
        <f>IF(מלאי!D302&lt;&gt;"",מלאי!D302,"")</f>
        <v/>
      </c>
      <c r="B299" s="23" t="str">
        <f>IF(מלאי!D302&lt;&gt;"",מלאי!B302&amp;IF(מלאי!C302&lt;&gt;""," ("&amp;מלאי!C302&amp;")",""),"")</f>
        <v/>
      </c>
      <c r="C299" s="23" t="str">
        <f>IF(מלאי!D302&lt;&gt;"",מלאי!A302,"")</f>
        <v/>
      </c>
      <c r="D299" s="23" t="str">
        <f>IF(מלאי!D302&lt;&gt;"",מלאי!H302,"")</f>
        <v/>
      </c>
      <c r="E299" s="23"/>
      <c r="F299" s="23"/>
      <c r="G299" s="23"/>
      <c r="H299" s="23" t="str">
        <f>IF(מלאי!D302&lt;&gt;"",מלאי!I302,"")</f>
        <v/>
      </c>
      <c r="I299" s="23"/>
      <c r="J299" s="23"/>
      <c r="K299" s="23"/>
      <c r="L299" s="23" t="str">
        <f>IF(מלאי!D302&lt;&gt;"",מלאי!#REF!,"")</f>
        <v/>
      </c>
    </row>
    <row r="300" spans="1:12" ht="15" customHeight="1" x14ac:dyDescent="0.25">
      <c r="A300" s="23" t="str">
        <f>IF(מלאי!D303&lt;&gt;"",מלאי!D303,"")</f>
        <v/>
      </c>
      <c r="B300" s="23" t="str">
        <f>IF(מלאי!D303&lt;&gt;"",מלאי!B303&amp;IF(מלאי!C303&lt;&gt;""," ("&amp;מלאי!C303&amp;")",""),"")</f>
        <v/>
      </c>
      <c r="C300" s="23" t="str">
        <f>IF(מלאי!D303&lt;&gt;"",מלאי!A303,"")</f>
        <v/>
      </c>
      <c r="D300" s="23" t="str">
        <f>IF(מלאי!D303&lt;&gt;"",מלאי!H303,"")</f>
        <v/>
      </c>
      <c r="E300" s="23"/>
      <c r="F300" s="23"/>
      <c r="G300" s="23"/>
      <c r="H300" s="23" t="str">
        <f>IF(מלאי!D303&lt;&gt;"",מלאי!I303,"")</f>
        <v/>
      </c>
      <c r="I300" s="23"/>
      <c r="J300" s="23"/>
      <c r="K300" s="23"/>
      <c r="L300" s="23" t="str">
        <f>IF(מלאי!D303&lt;&gt;"",מלאי!#REF!,"")</f>
        <v/>
      </c>
    </row>
    <row r="301" spans="1:12" ht="15" customHeight="1" x14ac:dyDescent="0.25">
      <c r="A301" s="23" t="str">
        <f>IF(מלאי!D304&lt;&gt;"",מלאי!D304,"")</f>
        <v/>
      </c>
      <c r="B301" s="23" t="str">
        <f>IF(מלאי!D304&lt;&gt;"",מלאי!B304&amp;IF(מלאי!C304&lt;&gt;""," ("&amp;מלאי!C304&amp;")",""),"")</f>
        <v/>
      </c>
      <c r="C301" s="23" t="str">
        <f>IF(מלאי!D304&lt;&gt;"",מלאי!A304,"")</f>
        <v/>
      </c>
      <c r="D301" s="23" t="str">
        <f>IF(מלאי!D304&lt;&gt;"",מלאי!H304,"")</f>
        <v/>
      </c>
      <c r="E301" s="23"/>
      <c r="F301" s="23"/>
      <c r="G301" s="23"/>
      <c r="H301" s="23" t="str">
        <f>IF(מלאי!D304&lt;&gt;"",מלאי!I304,"")</f>
        <v/>
      </c>
      <c r="I301" s="23"/>
      <c r="J301" s="23"/>
      <c r="K301" s="23"/>
      <c r="L301" s="23" t="str">
        <f>IF(מלאי!D304&lt;&gt;"",מלאי!#REF!,"")</f>
        <v/>
      </c>
    </row>
    <row r="302" spans="1:12" ht="15" customHeight="1" x14ac:dyDescent="0.25">
      <c r="A302" s="23" t="str">
        <f>IF(מלאי!D305&lt;&gt;"",מלאי!D305,"")</f>
        <v/>
      </c>
      <c r="B302" s="23" t="str">
        <f>IF(מלאי!D305&lt;&gt;"",מלאי!B305&amp;IF(מלאי!C305&lt;&gt;""," ("&amp;מלאי!C305&amp;")",""),"")</f>
        <v/>
      </c>
      <c r="C302" s="23" t="str">
        <f>IF(מלאי!D305&lt;&gt;"",מלאי!A305,"")</f>
        <v/>
      </c>
      <c r="D302" s="23" t="str">
        <f>IF(מלאי!D305&lt;&gt;"",מלאי!H305,"")</f>
        <v/>
      </c>
      <c r="E302" s="23"/>
      <c r="F302" s="23"/>
      <c r="G302" s="23"/>
      <c r="H302" s="23" t="str">
        <f>IF(מלאי!D305&lt;&gt;"",מלאי!I305,"")</f>
        <v/>
      </c>
      <c r="I302" s="23"/>
      <c r="J302" s="23"/>
      <c r="K302" s="23"/>
      <c r="L302" s="23" t="str">
        <f>IF(מלאי!D305&lt;&gt;"",מלאי!#REF!,"")</f>
        <v/>
      </c>
    </row>
    <row r="303" spans="1:12" ht="15" customHeight="1" x14ac:dyDescent="0.25">
      <c r="A303" s="23" t="str">
        <f>IF(מלאי!D306&lt;&gt;"",מלאי!D306,"")</f>
        <v/>
      </c>
      <c r="B303" s="23" t="str">
        <f>IF(מלאי!D306&lt;&gt;"",מלאי!B306&amp;IF(מלאי!C306&lt;&gt;""," ("&amp;מלאי!C306&amp;")",""),"")</f>
        <v/>
      </c>
      <c r="C303" s="23" t="str">
        <f>IF(מלאי!D306&lt;&gt;"",מלאי!A306,"")</f>
        <v/>
      </c>
      <c r="D303" s="23" t="str">
        <f>IF(מלאי!D306&lt;&gt;"",מלאי!H306,"")</f>
        <v/>
      </c>
      <c r="E303" s="23"/>
      <c r="F303" s="23"/>
      <c r="G303" s="23"/>
      <c r="H303" s="23" t="str">
        <f>IF(מלאי!D306&lt;&gt;"",מלאי!I306,"")</f>
        <v/>
      </c>
      <c r="I303" s="23"/>
      <c r="J303" s="23"/>
      <c r="K303" s="23"/>
      <c r="L303" s="23" t="str">
        <f>IF(מלאי!D306&lt;&gt;"",מלאי!#REF!,"")</f>
        <v/>
      </c>
    </row>
    <row r="304" spans="1:12" ht="15" customHeight="1" x14ac:dyDescent="0.25">
      <c r="A304" s="23" t="str">
        <f>IF(מלאי!D307&lt;&gt;"",מלאי!D307,"")</f>
        <v/>
      </c>
      <c r="B304" s="23" t="str">
        <f>IF(מלאי!D307&lt;&gt;"",מלאי!B307&amp;IF(מלאי!C307&lt;&gt;""," ("&amp;מלאי!C307&amp;")",""),"")</f>
        <v/>
      </c>
      <c r="C304" s="23" t="str">
        <f>IF(מלאי!D307&lt;&gt;"",מלאי!A307,"")</f>
        <v/>
      </c>
      <c r="D304" s="23" t="str">
        <f>IF(מלאי!D307&lt;&gt;"",מלאי!H307,"")</f>
        <v/>
      </c>
      <c r="E304" s="23"/>
      <c r="F304" s="23"/>
      <c r="G304" s="23"/>
      <c r="H304" s="23" t="str">
        <f>IF(מלאי!D307&lt;&gt;"",מלאי!I307,"")</f>
        <v/>
      </c>
      <c r="I304" s="23"/>
      <c r="J304" s="23"/>
      <c r="K304" s="23"/>
      <c r="L304" s="23" t="str">
        <f>IF(מלאי!D307&lt;&gt;"",מלאי!#REF!,"")</f>
        <v/>
      </c>
    </row>
    <row r="305" spans="1:12" ht="15" customHeight="1" x14ac:dyDescent="0.25">
      <c r="A305" s="23" t="str">
        <f>IF(מלאי!D308&lt;&gt;"",מלאי!D308,"")</f>
        <v/>
      </c>
      <c r="B305" s="23" t="str">
        <f>IF(מלאי!D308&lt;&gt;"",מלאי!B308&amp;IF(מלאי!C308&lt;&gt;""," ("&amp;מלאי!C308&amp;")",""),"")</f>
        <v/>
      </c>
      <c r="C305" s="23" t="str">
        <f>IF(מלאי!D308&lt;&gt;"",מלאי!A308,"")</f>
        <v/>
      </c>
      <c r="D305" s="23" t="str">
        <f>IF(מלאי!D308&lt;&gt;"",מלאי!H308,"")</f>
        <v/>
      </c>
      <c r="E305" s="23"/>
      <c r="F305" s="23"/>
      <c r="G305" s="23"/>
      <c r="H305" s="23" t="str">
        <f>IF(מלאי!D308&lt;&gt;"",מלאי!I308,"")</f>
        <v/>
      </c>
      <c r="I305" s="23"/>
      <c r="J305" s="23"/>
      <c r="K305" s="23"/>
      <c r="L305" s="23" t="str">
        <f>IF(מלאי!D308&lt;&gt;"",מלאי!#REF!,"")</f>
        <v/>
      </c>
    </row>
    <row r="306" spans="1:12" ht="15" customHeight="1" x14ac:dyDescent="0.25">
      <c r="A306" s="23" t="str">
        <f>IF(מלאי!D309&lt;&gt;"",מלאי!D309,"")</f>
        <v/>
      </c>
      <c r="B306" s="23" t="str">
        <f>IF(מלאי!D309&lt;&gt;"",מלאי!B309&amp;IF(מלאי!C309&lt;&gt;""," ("&amp;מלאי!C309&amp;")",""),"")</f>
        <v/>
      </c>
      <c r="C306" s="23" t="str">
        <f>IF(מלאי!D309&lt;&gt;"",מלאי!A309,"")</f>
        <v/>
      </c>
      <c r="D306" s="23" t="str">
        <f>IF(מלאי!D309&lt;&gt;"",מלאי!H309,"")</f>
        <v/>
      </c>
      <c r="E306" s="23"/>
      <c r="F306" s="23"/>
      <c r="G306" s="23"/>
      <c r="H306" s="23" t="str">
        <f>IF(מלאי!D309&lt;&gt;"",מלאי!I309,"")</f>
        <v/>
      </c>
      <c r="I306" s="23"/>
      <c r="J306" s="23"/>
      <c r="K306" s="23"/>
      <c r="L306" s="23" t="str">
        <f>IF(מלאי!D309&lt;&gt;"",מלאי!#REF!,"")</f>
        <v/>
      </c>
    </row>
    <row r="307" spans="1:12" ht="15" customHeight="1" x14ac:dyDescent="0.25">
      <c r="A307" s="23" t="str">
        <f>IF(מלאי!D310&lt;&gt;"",מלאי!D310,"")</f>
        <v/>
      </c>
      <c r="B307" s="23" t="str">
        <f>IF(מלאי!D310&lt;&gt;"",מלאי!B310&amp;IF(מלאי!C310&lt;&gt;""," ("&amp;מלאי!C310&amp;")",""),"")</f>
        <v/>
      </c>
      <c r="C307" s="23" t="str">
        <f>IF(מלאי!D310&lt;&gt;"",מלאי!A310,"")</f>
        <v/>
      </c>
      <c r="D307" s="23" t="str">
        <f>IF(מלאי!D310&lt;&gt;"",מלאי!H310,"")</f>
        <v/>
      </c>
      <c r="E307" s="23"/>
      <c r="F307" s="23"/>
      <c r="G307" s="23"/>
      <c r="H307" s="23" t="str">
        <f>IF(מלאי!D310&lt;&gt;"",מלאי!I310,"")</f>
        <v/>
      </c>
      <c r="I307" s="23"/>
      <c r="J307" s="23"/>
      <c r="K307" s="23"/>
      <c r="L307" s="23" t="str">
        <f>IF(מלאי!D310&lt;&gt;"",מלאי!#REF!,"")</f>
        <v/>
      </c>
    </row>
    <row r="308" spans="1:12" ht="15" customHeight="1" x14ac:dyDescent="0.25">
      <c r="A308" s="23" t="str">
        <f>IF(מלאי!D311&lt;&gt;"",מלאי!D311,"")</f>
        <v/>
      </c>
      <c r="B308" s="23" t="str">
        <f>IF(מלאי!D311&lt;&gt;"",מלאי!B311&amp;IF(מלאי!C311&lt;&gt;""," ("&amp;מלאי!C311&amp;")",""),"")</f>
        <v/>
      </c>
      <c r="C308" s="23" t="str">
        <f>IF(מלאי!D311&lt;&gt;"",מלאי!A311,"")</f>
        <v/>
      </c>
      <c r="D308" s="23" t="str">
        <f>IF(מלאי!D311&lt;&gt;"",מלאי!H311,"")</f>
        <v/>
      </c>
      <c r="E308" s="23"/>
      <c r="F308" s="23"/>
      <c r="G308" s="23"/>
      <c r="H308" s="23" t="str">
        <f>IF(מלאי!D311&lt;&gt;"",מלאי!I311,"")</f>
        <v/>
      </c>
      <c r="I308" s="23"/>
      <c r="J308" s="23"/>
      <c r="K308" s="23"/>
      <c r="L308" s="23" t="str">
        <f>IF(מלאי!D311&lt;&gt;"",מלאי!#REF!,"")</f>
        <v/>
      </c>
    </row>
    <row r="309" spans="1:12" ht="15" customHeight="1" x14ac:dyDescent="0.25">
      <c r="A309" s="23" t="str">
        <f>IF(מלאי!D312&lt;&gt;"",מלאי!D312,"")</f>
        <v/>
      </c>
      <c r="B309" s="23" t="str">
        <f>IF(מלאי!D312&lt;&gt;"",מלאי!B312&amp;IF(מלאי!C312&lt;&gt;""," ("&amp;מלאי!C312&amp;")",""),"")</f>
        <v/>
      </c>
      <c r="C309" s="23" t="str">
        <f>IF(מלאי!D312&lt;&gt;"",מלאי!A312,"")</f>
        <v/>
      </c>
      <c r="D309" s="23" t="str">
        <f>IF(מלאי!D312&lt;&gt;"",מלאי!H312,"")</f>
        <v/>
      </c>
      <c r="E309" s="23"/>
      <c r="F309" s="23"/>
      <c r="G309" s="23"/>
      <c r="H309" s="23" t="str">
        <f>IF(מלאי!D312&lt;&gt;"",מלאי!I312,"")</f>
        <v/>
      </c>
      <c r="I309" s="23"/>
      <c r="J309" s="23"/>
      <c r="K309" s="23"/>
      <c r="L309" s="23" t="str">
        <f>IF(מלאי!D312&lt;&gt;"",מלאי!#REF!,"")</f>
        <v/>
      </c>
    </row>
    <row r="310" spans="1:12" ht="15" customHeight="1" x14ac:dyDescent="0.25">
      <c r="A310" s="23" t="str">
        <f>IF(מלאי!D313&lt;&gt;"",מלאי!D313,"")</f>
        <v/>
      </c>
      <c r="B310" s="23" t="str">
        <f>IF(מלאי!D313&lt;&gt;"",מלאי!B313&amp;IF(מלאי!C313&lt;&gt;""," ("&amp;מלאי!C313&amp;")",""),"")</f>
        <v/>
      </c>
      <c r="C310" s="23" t="str">
        <f>IF(מלאי!D313&lt;&gt;"",מלאי!A313,"")</f>
        <v/>
      </c>
      <c r="D310" s="23" t="str">
        <f>IF(מלאי!D313&lt;&gt;"",מלאי!H313,"")</f>
        <v/>
      </c>
      <c r="E310" s="23"/>
      <c r="F310" s="23"/>
      <c r="G310" s="23"/>
      <c r="H310" s="23" t="str">
        <f>IF(מלאי!D313&lt;&gt;"",מלאי!I313,"")</f>
        <v/>
      </c>
      <c r="I310" s="23"/>
      <c r="J310" s="23"/>
      <c r="K310" s="23"/>
      <c r="L310" s="23" t="str">
        <f>IF(מלאי!D313&lt;&gt;"",מלאי!#REF!,"")</f>
        <v/>
      </c>
    </row>
    <row r="311" spans="1:12" ht="15" customHeight="1" x14ac:dyDescent="0.25">
      <c r="A311" s="23" t="str">
        <f>IF(מלאי!D314&lt;&gt;"",מלאי!D314,"")</f>
        <v/>
      </c>
      <c r="B311" s="23" t="str">
        <f>IF(מלאי!D314&lt;&gt;"",מלאי!B314&amp;IF(מלאי!C314&lt;&gt;""," ("&amp;מלאי!C314&amp;")",""),"")</f>
        <v/>
      </c>
      <c r="C311" s="23" t="str">
        <f>IF(מלאי!D314&lt;&gt;"",מלאי!A314,"")</f>
        <v/>
      </c>
      <c r="D311" s="23" t="str">
        <f>IF(מלאי!D314&lt;&gt;"",מלאי!H314,"")</f>
        <v/>
      </c>
      <c r="E311" s="23"/>
      <c r="F311" s="23"/>
      <c r="G311" s="23"/>
      <c r="H311" s="23" t="str">
        <f>IF(מלאי!D314&lt;&gt;"",מלאי!I314,"")</f>
        <v/>
      </c>
      <c r="I311" s="23"/>
      <c r="J311" s="23"/>
      <c r="K311" s="23"/>
      <c r="L311" s="23" t="str">
        <f>IF(מלאי!D314&lt;&gt;"",מלאי!#REF!,"")</f>
        <v/>
      </c>
    </row>
    <row r="312" spans="1:12" ht="15" customHeight="1" x14ac:dyDescent="0.25">
      <c r="A312" s="23" t="str">
        <f>IF(מלאי!D315&lt;&gt;"",מלאי!D315,"")</f>
        <v/>
      </c>
      <c r="B312" s="23" t="str">
        <f>IF(מלאי!D315&lt;&gt;"",מלאי!B315&amp;IF(מלאי!C315&lt;&gt;""," ("&amp;מלאי!C315&amp;")",""),"")</f>
        <v/>
      </c>
      <c r="C312" s="23" t="str">
        <f>IF(מלאי!D315&lt;&gt;"",מלאי!A315,"")</f>
        <v/>
      </c>
      <c r="D312" s="23" t="str">
        <f>IF(מלאי!D315&lt;&gt;"",מלאי!H315,"")</f>
        <v/>
      </c>
      <c r="E312" s="23"/>
      <c r="F312" s="23"/>
      <c r="G312" s="23"/>
      <c r="H312" s="23" t="str">
        <f>IF(מלאי!D315&lt;&gt;"",מלאי!I315,"")</f>
        <v/>
      </c>
      <c r="I312" s="23"/>
      <c r="J312" s="23"/>
      <c r="K312" s="23"/>
      <c r="L312" s="23" t="str">
        <f>IF(מלאי!D315&lt;&gt;"",מלאי!#REF!,"")</f>
        <v/>
      </c>
    </row>
    <row r="313" spans="1:12" ht="15" customHeight="1" x14ac:dyDescent="0.25">
      <c r="A313" s="23" t="str">
        <f>IF(מלאי!D316&lt;&gt;"",מלאי!D316,"")</f>
        <v/>
      </c>
      <c r="B313" s="23" t="str">
        <f>IF(מלאי!D316&lt;&gt;"",מלאי!B316&amp;IF(מלאי!C316&lt;&gt;""," ("&amp;מלאי!C316&amp;")",""),"")</f>
        <v/>
      </c>
      <c r="C313" s="23" t="str">
        <f>IF(מלאי!D316&lt;&gt;"",מלאי!A316,"")</f>
        <v/>
      </c>
      <c r="D313" s="23" t="str">
        <f>IF(מלאי!D316&lt;&gt;"",מלאי!H316,"")</f>
        <v/>
      </c>
      <c r="E313" s="23"/>
      <c r="F313" s="23"/>
      <c r="G313" s="23"/>
      <c r="H313" s="23" t="str">
        <f>IF(מלאי!D316&lt;&gt;"",מלאי!I316,"")</f>
        <v/>
      </c>
      <c r="I313" s="23"/>
      <c r="J313" s="23"/>
      <c r="K313" s="23"/>
      <c r="L313" s="23" t="str">
        <f>IF(מלאי!D316&lt;&gt;"",מלאי!#REF!,"")</f>
        <v/>
      </c>
    </row>
    <row r="314" spans="1:12" ht="15" customHeight="1" x14ac:dyDescent="0.25">
      <c r="A314" s="23" t="str">
        <f>IF(מלאי!D317&lt;&gt;"",מלאי!D317,"")</f>
        <v/>
      </c>
      <c r="B314" s="23" t="str">
        <f>IF(מלאי!D317&lt;&gt;"",מלאי!B317&amp;IF(מלאי!C317&lt;&gt;""," ("&amp;מלאי!C317&amp;")",""),"")</f>
        <v/>
      </c>
      <c r="C314" s="23" t="str">
        <f>IF(מלאי!D317&lt;&gt;"",מלאי!A317,"")</f>
        <v/>
      </c>
      <c r="D314" s="23" t="str">
        <f>IF(מלאי!D317&lt;&gt;"",מלאי!H317,"")</f>
        <v/>
      </c>
      <c r="E314" s="23"/>
      <c r="F314" s="23"/>
      <c r="G314" s="23"/>
      <c r="H314" s="23" t="str">
        <f>IF(מלאי!D317&lt;&gt;"",מלאי!I317,"")</f>
        <v/>
      </c>
      <c r="I314" s="23"/>
      <c r="J314" s="23"/>
      <c r="K314" s="23"/>
      <c r="L314" s="23" t="str">
        <f>IF(מלאי!D317&lt;&gt;"",מלאי!#REF!,"")</f>
        <v/>
      </c>
    </row>
    <row r="315" spans="1:12" ht="15" customHeight="1" x14ac:dyDescent="0.25">
      <c r="A315" s="23" t="str">
        <f>IF(מלאי!D318&lt;&gt;"",מלאי!D318,"")</f>
        <v/>
      </c>
      <c r="B315" s="23" t="str">
        <f>IF(מלאי!D318&lt;&gt;"",מלאי!B318&amp;IF(מלאי!C318&lt;&gt;""," ("&amp;מלאי!C318&amp;")",""),"")</f>
        <v/>
      </c>
      <c r="C315" s="23" t="str">
        <f>IF(מלאי!D318&lt;&gt;"",מלאי!A318,"")</f>
        <v/>
      </c>
      <c r="D315" s="23" t="str">
        <f>IF(מלאי!D318&lt;&gt;"",מלאי!H318,"")</f>
        <v/>
      </c>
      <c r="E315" s="23"/>
      <c r="F315" s="23"/>
      <c r="G315" s="23"/>
      <c r="H315" s="23" t="str">
        <f>IF(מלאי!D318&lt;&gt;"",מלאי!I318,"")</f>
        <v/>
      </c>
      <c r="I315" s="23"/>
      <c r="J315" s="23"/>
      <c r="K315" s="23"/>
      <c r="L315" s="23" t="str">
        <f>IF(מלאי!D318&lt;&gt;"",מלאי!#REF!,"")</f>
        <v/>
      </c>
    </row>
    <row r="316" spans="1:12" ht="15" customHeight="1" x14ac:dyDescent="0.25">
      <c r="A316" s="23" t="str">
        <f>IF(מלאי!D319&lt;&gt;"",מלאי!D319,"")</f>
        <v/>
      </c>
      <c r="B316" s="23" t="str">
        <f>IF(מלאי!D319&lt;&gt;"",מלאי!B319&amp;IF(מלאי!C319&lt;&gt;""," ("&amp;מלאי!C319&amp;")",""),"")</f>
        <v/>
      </c>
      <c r="C316" s="23" t="str">
        <f>IF(מלאי!D319&lt;&gt;"",מלאי!A319,"")</f>
        <v/>
      </c>
      <c r="D316" s="23" t="str">
        <f>IF(מלאי!D319&lt;&gt;"",מלאי!H319,"")</f>
        <v/>
      </c>
      <c r="E316" s="23"/>
      <c r="F316" s="23"/>
      <c r="G316" s="23"/>
      <c r="H316" s="23" t="str">
        <f>IF(מלאי!D319&lt;&gt;"",מלאי!I319,"")</f>
        <v/>
      </c>
      <c r="I316" s="23"/>
      <c r="J316" s="23"/>
      <c r="K316" s="23"/>
      <c r="L316" s="23" t="str">
        <f>IF(מלאי!D319&lt;&gt;"",מלאי!#REF!,"")</f>
        <v/>
      </c>
    </row>
    <row r="317" spans="1:12" ht="15" customHeight="1" x14ac:dyDescent="0.25">
      <c r="A317" s="23" t="str">
        <f>IF(מלאי!D320&lt;&gt;"",מלאי!D320,"")</f>
        <v/>
      </c>
      <c r="B317" s="23" t="str">
        <f>IF(מלאי!D320&lt;&gt;"",מלאי!B320&amp;IF(מלאי!C320&lt;&gt;""," ("&amp;מלאי!C320&amp;")",""),"")</f>
        <v/>
      </c>
      <c r="C317" s="23" t="str">
        <f>IF(מלאי!D320&lt;&gt;"",מלאי!A320,"")</f>
        <v/>
      </c>
      <c r="D317" s="23" t="str">
        <f>IF(מלאי!D320&lt;&gt;"",מלאי!H320,"")</f>
        <v/>
      </c>
      <c r="E317" s="23"/>
      <c r="F317" s="23"/>
      <c r="G317" s="23"/>
      <c r="H317" s="23" t="str">
        <f>IF(מלאי!D320&lt;&gt;"",מלאי!I320,"")</f>
        <v/>
      </c>
      <c r="I317" s="23"/>
      <c r="J317" s="23"/>
      <c r="K317" s="23"/>
      <c r="L317" s="23" t="str">
        <f>IF(מלאי!D320&lt;&gt;"",מלאי!#REF!,"")</f>
        <v/>
      </c>
    </row>
    <row r="318" spans="1:12" ht="15" customHeight="1" x14ac:dyDescent="0.25">
      <c r="A318" s="23" t="str">
        <f>IF(מלאי!D321&lt;&gt;"",מלאי!D321,"")</f>
        <v/>
      </c>
      <c r="B318" s="23" t="str">
        <f>IF(מלאי!D321&lt;&gt;"",מלאי!B321&amp;IF(מלאי!C321&lt;&gt;""," ("&amp;מלאי!C321&amp;")",""),"")</f>
        <v/>
      </c>
      <c r="C318" s="23" t="str">
        <f>IF(מלאי!D321&lt;&gt;"",מלאי!A321,"")</f>
        <v/>
      </c>
      <c r="D318" s="23" t="str">
        <f>IF(מלאי!D321&lt;&gt;"",מלאי!H321,"")</f>
        <v/>
      </c>
      <c r="E318" s="23"/>
      <c r="F318" s="23"/>
      <c r="G318" s="23"/>
      <c r="H318" s="23" t="str">
        <f>IF(מלאי!D321&lt;&gt;"",מלאי!I321,"")</f>
        <v/>
      </c>
      <c r="I318" s="23"/>
      <c r="J318" s="23"/>
      <c r="K318" s="23"/>
      <c r="L318" s="23" t="str">
        <f>IF(מלאי!D321&lt;&gt;"",מלאי!#REF!,"")</f>
        <v/>
      </c>
    </row>
    <row r="319" spans="1:12" ht="15" customHeight="1" x14ac:dyDescent="0.25">
      <c r="A319" s="23" t="str">
        <f>IF(מלאי!D322&lt;&gt;"",מלאי!D322,"")</f>
        <v/>
      </c>
      <c r="B319" s="23" t="str">
        <f>IF(מלאי!D322&lt;&gt;"",מלאי!B322&amp;IF(מלאי!C322&lt;&gt;""," ("&amp;מלאי!C322&amp;")",""),"")</f>
        <v/>
      </c>
      <c r="C319" s="23" t="str">
        <f>IF(מלאי!D322&lt;&gt;"",מלאי!A322,"")</f>
        <v/>
      </c>
      <c r="D319" s="23" t="str">
        <f>IF(מלאי!D322&lt;&gt;"",מלאי!H322,"")</f>
        <v/>
      </c>
      <c r="E319" s="23"/>
      <c r="F319" s="23"/>
      <c r="G319" s="23"/>
      <c r="H319" s="23" t="str">
        <f>IF(מלאי!D322&lt;&gt;"",מלאי!I322,"")</f>
        <v/>
      </c>
      <c r="I319" s="23"/>
      <c r="J319" s="23"/>
      <c r="K319" s="23"/>
      <c r="L319" s="23" t="str">
        <f>IF(מלאי!D322&lt;&gt;"",מלאי!#REF!,"")</f>
        <v/>
      </c>
    </row>
    <row r="320" spans="1:12" ht="15" customHeight="1" x14ac:dyDescent="0.25">
      <c r="A320" s="23" t="str">
        <f>IF(מלאי!D323&lt;&gt;"",מלאי!D323,"")</f>
        <v/>
      </c>
      <c r="B320" s="23" t="str">
        <f>IF(מלאי!D323&lt;&gt;"",מלאי!B323&amp;IF(מלאי!C323&lt;&gt;""," ("&amp;מלאי!C323&amp;")",""),"")</f>
        <v/>
      </c>
      <c r="C320" s="23" t="str">
        <f>IF(מלאי!D323&lt;&gt;"",מלאי!A323,"")</f>
        <v/>
      </c>
      <c r="D320" s="23" t="str">
        <f>IF(מלאי!D323&lt;&gt;"",מלאי!H323,"")</f>
        <v/>
      </c>
      <c r="E320" s="23"/>
      <c r="F320" s="23"/>
      <c r="G320" s="23"/>
      <c r="H320" s="23" t="str">
        <f>IF(מלאי!D323&lt;&gt;"",מלאי!I323,"")</f>
        <v/>
      </c>
      <c r="I320" s="23"/>
      <c r="J320" s="23"/>
      <c r="K320" s="23"/>
      <c r="L320" s="23" t="str">
        <f>IF(מלאי!D323&lt;&gt;"",מלאי!#REF!,"")</f>
        <v/>
      </c>
    </row>
    <row r="321" spans="1:12" ht="15" customHeight="1" x14ac:dyDescent="0.25">
      <c r="A321" s="23" t="str">
        <f>IF(מלאי!D324&lt;&gt;"",מלאי!D324,"")</f>
        <v/>
      </c>
      <c r="B321" s="23" t="str">
        <f>IF(מלאי!D324&lt;&gt;"",מלאי!B324&amp;IF(מלאי!C324&lt;&gt;""," ("&amp;מלאי!C324&amp;")",""),"")</f>
        <v/>
      </c>
      <c r="C321" s="23" t="str">
        <f>IF(מלאי!D324&lt;&gt;"",מלאי!A324,"")</f>
        <v/>
      </c>
      <c r="D321" s="23" t="str">
        <f>IF(מלאי!D324&lt;&gt;"",מלאי!H324,"")</f>
        <v/>
      </c>
      <c r="E321" s="23"/>
      <c r="F321" s="23"/>
      <c r="G321" s="23"/>
      <c r="H321" s="23" t="str">
        <f>IF(מלאי!D324&lt;&gt;"",מלאי!I324,"")</f>
        <v/>
      </c>
      <c r="I321" s="23"/>
      <c r="J321" s="23"/>
      <c r="K321" s="23"/>
      <c r="L321" s="23" t="str">
        <f>IF(מלאי!D324&lt;&gt;"",מלאי!#REF!,"")</f>
        <v/>
      </c>
    </row>
    <row r="322" spans="1:12" ht="15" customHeight="1" x14ac:dyDescent="0.25">
      <c r="A322" s="23" t="str">
        <f>IF(מלאי!D325&lt;&gt;"",מלאי!D325,"")</f>
        <v/>
      </c>
      <c r="B322" s="23" t="str">
        <f>IF(מלאי!D325&lt;&gt;"",מלאי!B325&amp;IF(מלאי!C325&lt;&gt;""," ("&amp;מלאי!C325&amp;")",""),"")</f>
        <v/>
      </c>
      <c r="C322" s="23" t="str">
        <f>IF(מלאי!D325&lt;&gt;"",מלאי!A325,"")</f>
        <v/>
      </c>
      <c r="D322" s="23" t="str">
        <f>IF(מלאי!D325&lt;&gt;"",מלאי!H325,"")</f>
        <v/>
      </c>
      <c r="E322" s="23"/>
      <c r="F322" s="23"/>
      <c r="G322" s="23"/>
      <c r="H322" s="23" t="str">
        <f>IF(מלאי!D325&lt;&gt;"",מלאי!I325,"")</f>
        <v/>
      </c>
      <c r="I322" s="23"/>
      <c r="J322" s="23"/>
      <c r="K322" s="23"/>
      <c r="L322" s="23" t="str">
        <f>IF(מלאי!D325&lt;&gt;"",מלאי!#REF!,"")</f>
        <v/>
      </c>
    </row>
    <row r="323" spans="1:12" ht="15" customHeight="1" x14ac:dyDescent="0.25">
      <c r="A323" s="23" t="str">
        <f>IF(מלאי!D326&lt;&gt;"",מלאי!D326,"")</f>
        <v/>
      </c>
      <c r="B323" s="23" t="str">
        <f>IF(מלאי!D326&lt;&gt;"",מלאי!B326&amp;IF(מלאי!C326&lt;&gt;""," ("&amp;מלאי!C326&amp;")",""),"")</f>
        <v/>
      </c>
      <c r="C323" s="23" t="str">
        <f>IF(מלאי!D326&lt;&gt;"",מלאי!A326,"")</f>
        <v/>
      </c>
      <c r="D323" s="23" t="str">
        <f>IF(מלאי!D326&lt;&gt;"",מלאי!H326,"")</f>
        <v/>
      </c>
      <c r="E323" s="23"/>
      <c r="F323" s="23"/>
      <c r="G323" s="23"/>
      <c r="H323" s="23" t="str">
        <f>IF(מלאי!D326&lt;&gt;"",מלאי!I326,"")</f>
        <v/>
      </c>
      <c r="I323" s="23"/>
      <c r="J323" s="23"/>
      <c r="K323" s="23"/>
      <c r="L323" s="23" t="str">
        <f>IF(מלאי!D326&lt;&gt;"",מלאי!#REF!,"")</f>
        <v/>
      </c>
    </row>
    <row r="324" spans="1:12" ht="15" customHeight="1" x14ac:dyDescent="0.25">
      <c r="A324" s="23" t="str">
        <f>IF(מלאי!D327&lt;&gt;"",מלאי!D327,"")</f>
        <v/>
      </c>
      <c r="B324" s="23" t="str">
        <f>IF(מלאי!D327&lt;&gt;"",מלאי!B327&amp;IF(מלאי!C327&lt;&gt;""," ("&amp;מלאי!C327&amp;")",""),"")</f>
        <v/>
      </c>
      <c r="C324" s="23" t="str">
        <f>IF(מלאי!D327&lt;&gt;"",מלאי!A327,"")</f>
        <v/>
      </c>
      <c r="D324" s="23" t="str">
        <f>IF(מלאי!D327&lt;&gt;"",מלאי!H327,"")</f>
        <v/>
      </c>
      <c r="E324" s="23"/>
      <c r="F324" s="23"/>
      <c r="G324" s="23"/>
      <c r="H324" s="23" t="str">
        <f>IF(מלאי!D327&lt;&gt;"",מלאי!I327,"")</f>
        <v/>
      </c>
      <c r="I324" s="23"/>
      <c r="J324" s="23"/>
      <c r="K324" s="23"/>
      <c r="L324" s="23" t="str">
        <f>IF(מלאי!D327&lt;&gt;"",מלאי!#REF!,"")</f>
        <v/>
      </c>
    </row>
    <row r="325" spans="1:12" ht="15" customHeight="1" x14ac:dyDescent="0.25">
      <c r="A325" s="23" t="str">
        <f>IF(מלאי!D328&lt;&gt;"",מלאי!D328,"")</f>
        <v/>
      </c>
      <c r="B325" s="23" t="str">
        <f>IF(מלאי!D328&lt;&gt;"",מלאי!B328&amp;IF(מלאי!C328&lt;&gt;""," ("&amp;מלאי!C328&amp;")",""),"")</f>
        <v/>
      </c>
      <c r="C325" s="23" t="str">
        <f>IF(מלאי!D328&lt;&gt;"",מלאי!A328,"")</f>
        <v/>
      </c>
      <c r="D325" s="23" t="str">
        <f>IF(מלאי!D328&lt;&gt;"",מלאי!H328,"")</f>
        <v/>
      </c>
      <c r="E325" s="23"/>
      <c r="F325" s="23"/>
      <c r="G325" s="23"/>
      <c r="H325" s="23" t="str">
        <f>IF(מלאי!D328&lt;&gt;"",מלאי!I328,"")</f>
        <v/>
      </c>
      <c r="I325" s="23"/>
      <c r="J325" s="23"/>
      <c r="K325" s="23"/>
      <c r="L325" s="23" t="str">
        <f>IF(מלאי!D328&lt;&gt;"",מלאי!#REF!,"")</f>
        <v/>
      </c>
    </row>
    <row r="326" spans="1:12" ht="15" customHeight="1" x14ac:dyDescent="0.25">
      <c r="A326" s="23" t="str">
        <f>IF(מלאי!D329&lt;&gt;"",מלאי!D329,"")</f>
        <v/>
      </c>
      <c r="B326" s="23" t="str">
        <f>IF(מלאי!D329&lt;&gt;"",מלאי!B329&amp;IF(מלאי!C329&lt;&gt;""," ("&amp;מלאי!C329&amp;")",""),"")</f>
        <v/>
      </c>
      <c r="C326" s="23" t="str">
        <f>IF(מלאי!D329&lt;&gt;"",מלאי!A329,"")</f>
        <v/>
      </c>
      <c r="D326" s="23" t="str">
        <f>IF(מלאי!D329&lt;&gt;"",מלאי!H329,"")</f>
        <v/>
      </c>
      <c r="E326" s="23"/>
      <c r="F326" s="23"/>
      <c r="G326" s="23"/>
      <c r="H326" s="23" t="str">
        <f>IF(מלאי!D329&lt;&gt;"",מלאי!I329,"")</f>
        <v/>
      </c>
      <c r="I326" s="23"/>
      <c r="J326" s="23"/>
      <c r="K326" s="23"/>
      <c r="L326" s="23" t="str">
        <f>IF(מלאי!D329&lt;&gt;"",מלאי!#REF!,"")</f>
        <v/>
      </c>
    </row>
    <row r="327" spans="1:12" ht="15" customHeight="1" x14ac:dyDescent="0.25">
      <c r="A327" s="23" t="str">
        <f>IF(מלאי!D330&lt;&gt;"",מלאי!D330,"")</f>
        <v/>
      </c>
      <c r="B327" s="23" t="str">
        <f>IF(מלאי!D330&lt;&gt;"",מלאי!B330&amp;IF(מלאי!C330&lt;&gt;""," ("&amp;מלאי!C330&amp;")",""),"")</f>
        <v/>
      </c>
      <c r="C327" s="23" t="str">
        <f>IF(מלאי!D330&lt;&gt;"",מלאי!A330,"")</f>
        <v/>
      </c>
      <c r="D327" s="23" t="str">
        <f>IF(מלאי!D330&lt;&gt;"",מלאי!H330,"")</f>
        <v/>
      </c>
      <c r="E327" s="23"/>
      <c r="F327" s="23"/>
      <c r="G327" s="23"/>
      <c r="H327" s="23" t="str">
        <f>IF(מלאי!D330&lt;&gt;"",מלאי!I330,"")</f>
        <v/>
      </c>
      <c r="I327" s="23"/>
      <c r="J327" s="23"/>
      <c r="K327" s="23"/>
      <c r="L327" s="23" t="str">
        <f>IF(מלאי!D330&lt;&gt;"",מלאי!#REF!,"")</f>
        <v/>
      </c>
    </row>
    <row r="328" spans="1:12" ht="15" customHeight="1" x14ac:dyDescent="0.25">
      <c r="A328" s="23" t="str">
        <f>IF(מלאי!D331&lt;&gt;"",מלאי!D331,"")</f>
        <v/>
      </c>
      <c r="B328" s="23" t="str">
        <f>IF(מלאי!D331&lt;&gt;"",מלאי!B331&amp;IF(מלאי!C331&lt;&gt;""," ("&amp;מלאי!C331&amp;")",""),"")</f>
        <v/>
      </c>
      <c r="C328" s="23" t="str">
        <f>IF(מלאי!D331&lt;&gt;"",מלאי!A331,"")</f>
        <v/>
      </c>
      <c r="D328" s="23" t="str">
        <f>IF(מלאי!D331&lt;&gt;"",מלאי!H331,"")</f>
        <v/>
      </c>
      <c r="E328" s="23"/>
      <c r="F328" s="23"/>
      <c r="G328" s="23"/>
      <c r="H328" s="23" t="str">
        <f>IF(מלאי!D331&lt;&gt;"",מלאי!I331,"")</f>
        <v/>
      </c>
      <c r="I328" s="23"/>
      <c r="J328" s="23"/>
      <c r="K328" s="23"/>
      <c r="L328" s="23" t="str">
        <f>IF(מלאי!D331&lt;&gt;"",מלאי!#REF!,"")</f>
        <v/>
      </c>
    </row>
    <row r="329" spans="1:12" ht="15" customHeight="1" x14ac:dyDescent="0.25">
      <c r="A329" s="23" t="str">
        <f>IF(מלאי!D332&lt;&gt;"",מלאי!D332,"")</f>
        <v/>
      </c>
      <c r="B329" s="23" t="str">
        <f>IF(מלאי!D332&lt;&gt;"",מלאי!B332&amp;IF(מלאי!C332&lt;&gt;""," ("&amp;מלאי!C332&amp;")",""),"")</f>
        <v/>
      </c>
      <c r="C329" s="23" t="str">
        <f>IF(מלאי!D332&lt;&gt;"",מלאי!A332,"")</f>
        <v/>
      </c>
      <c r="D329" s="23" t="str">
        <f>IF(מלאי!D332&lt;&gt;"",מלאי!H332,"")</f>
        <v/>
      </c>
      <c r="E329" s="23"/>
      <c r="F329" s="23"/>
      <c r="G329" s="23"/>
      <c r="H329" s="23" t="str">
        <f>IF(מלאי!D332&lt;&gt;"",מלאי!I332,"")</f>
        <v/>
      </c>
      <c r="I329" s="23"/>
      <c r="J329" s="23"/>
      <c r="K329" s="23"/>
      <c r="L329" s="23" t="str">
        <f>IF(מלאי!D332&lt;&gt;"",מלאי!#REF!,"")</f>
        <v/>
      </c>
    </row>
    <row r="330" spans="1:12" ht="15" customHeight="1" x14ac:dyDescent="0.25">
      <c r="A330" s="23" t="str">
        <f>IF(מלאי!D333&lt;&gt;"",מלאי!D333,"")</f>
        <v/>
      </c>
      <c r="B330" s="23" t="str">
        <f>IF(מלאי!D333&lt;&gt;"",מלאי!B333&amp;IF(מלאי!C333&lt;&gt;""," ("&amp;מלאי!C333&amp;")",""),"")</f>
        <v/>
      </c>
      <c r="C330" s="23" t="str">
        <f>IF(מלאי!D333&lt;&gt;"",מלאי!A333,"")</f>
        <v/>
      </c>
      <c r="D330" s="23" t="str">
        <f>IF(מלאי!D333&lt;&gt;"",מלאי!H333,"")</f>
        <v/>
      </c>
      <c r="E330" s="23"/>
      <c r="F330" s="23"/>
      <c r="G330" s="23"/>
      <c r="H330" s="23" t="str">
        <f>IF(מלאי!D333&lt;&gt;"",מלאי!I333,"")</f>
        <v/>
      </c>
      <c r="I330" s="23"/>
      <c r="J330" s="23"/>
      <c r="K330" s="23"/>
      <c r="L330" s="23" t="str">
        <f>IF(מלאי!D333&lt;&gt;"",מלאי!#REF!,"")</f>
        <v/>
      </c>
    </row>
    <row r="331" spans="1:12" ht="15" customHeight="1" x14ac:dyDescent="0.25">
      <c r="A331" s="23" t="str">
        <f>IF(מלאי!D334&lt;&gt;"",מלאי!D334,"")</f>
        <v/>
      </c>
      <c r="B331" s="23" t="str">
        <f>IF(מלאי!D334&lt;&gt;"",מלאי!B334&amp;IF(מלאי!C334&lt;&gt;""," ("&amp;מלאי!C334&amp;")",""),"")</f>
        <v/>
      </c>
      <c r="C331" s="23" t="str">
        <f>IF(מלאי!D334&lt;&gt;"",מלאי!A334,"")</f>
        <v/>
      </c>
      <c r="D331" s="23" t="str">
        <f>IF(מלאי!D334&lt;&gt;"",מלאי!H334,"")</f>
        <v/>
      </c>
      <c r="E331" s="23"/>
      <c r="F331" s="23"/>
      <c r="G331" s="23"/>
      <c r="H331" s="23" t="str">
        <f>IF(מלאי!D334&lt;&gt;"",מלאי!I334,"")</f>
        <v/>
      </c>
      <c r="I331" s="23"/>
      <c r="J331" s="23"/>
      <c r="K331" s="23"/>
      <c r="L331" s="23" t="str">
        <f>IF(מלאי!D334&lt;&gt;"",מלאי!#REF!,"")</f>
        <v/>
      </c>
    </row>
    <row r="332" spans="1:12" ht="15" customHeight="1" x14ac:dyDescent="0.25">
      <c r="A332" s="23" t="str">
        <f>IF(מלאי!D335&lt;&gt;"",מלאי!D335,"")</f>
        <v/>
      </c>
      <c r="B332" s="23" t="str">
        <f>IF(מלאי!D335&lt;&gt;"",מלאי!B335&amp;IF(מלאי!C335&lt;&gt;""," ("&amp;מלאי!C335&amp;")",""),"")</f>
        <v/>
      </c>
      <c r="C332" s="23" t="str">
        <f>IF(מלאי!D335&lt;&gt;"",מלאי!A335,"")</f>
        <v/>
      </c>
      <c r="D332" s="23" t="str">
        <f>IF(מלאי!D335&lt;&gt;"",מלאי!H335,"")</f>
        <v/>
      </c>
      <c r="E332" s="23"/>
      <c r="F332" s="23"/>
      <c r="G332" s="23"/>
      <c r="H332" s="23" t="str">
        <f>IF(מלאי!D335&lt;&gt;"",מלאי!I335,"")</f>
        <v/>
      </c>
      <c r="I332" s="23"/>
      <c r="J332" s="23"/>
      <c r="K332" s="23"/>
      <c r="L332" s="23" t="str">
        <f>IF(מלאי!D335&lt;&gt;"",מלאי!#REF!,"")</f>
        <v/>
      </c>
    </row>
    <row r="333" spans="1:12" ht="15" customHeight="1" x14ac:dyDescent="0.25">
      <c r="A333" s="23" t="str">
        <f>IF(מלאי!D336&lt;&gt;"",מלאי!D336,"")</f>
        <v/>
      </c>
      <c r="B333" s="23" t="str">
        <f>IF(מלאי!D336&lt;&gt;"",מלאי!B336&amp;IF(מלאי!C336&lt;&gt;""," ("&amp;מלאי!C336&amp;")",""),"")</f>
        <v/>
      </c>
      <c r="C333" s="23" t="str">
        <f>IF(מלאי!D336&lt;&gt;"",מלאי!A336,"")</f>
        <v/>
      </c>
      <c r="D333" s="23" t="str">
        <f>IF(מלאי!D336&lt;&gt;"",מלאי!H336,"")</f>
        <v/>
      </c>
      <c r="E333" s="23"/>
      <c r="F333" s="23"/>
      <c r="G333" s="23"/>
      <c r="H333" s="23" t="str">
        <f>IF(מלאי!D336&lt;&gt;"",מלאי!I336,"")</f>
        <v/>
      </c>
      <c r="I333" s="23"/>
      <c r="J333" s="23"/>
      <c r="K333" s="23"/>
      <c r="L333" s="23" t="str">
        <f>IF(מלאי!D336&lt;&gt;"",מלאי!#REF!,"")</f>
        <v/>
      </c>
    </row>
    <row r="334" spans="1:12" ht="15" customHeight="1" x14ac:dyDescent="0.25">
      <c r="A334" s="23" t="str">
        <f>IF(מלאי!D337&lt;&gt;"",מלאי!D337,"")</f>
        <v/>
      </c>
      <c r="B334" s="23" t="str">
        <f>IF(מלאי!D337&lt;&gt;"",מלאי!B337&amp;IF(מלאי!C337&lt;&gt;""," ("&amp;מלאי!C337&amp;")",""),"")</f>
        <v/>
      </c>
      <c r="C334" s="23" t="str">
        <f>IF(מלאי!D337&lt;&gt;"",מלאי!A337,"")</f>
        <v/>
      </c>
      <c r="D334" s="23" t="str">
        <f>IF(מלאי!D337&lt;&gt;"",מלאי!H337,"")</f>
        <v/>
      </c>
      <c r="E334" s="23"/>
      <c r="F334" s="23"/>
      <c r="G334" s="23"/>
      <c r="H334" s="23" t="str">
        <f>IF(מלאי!D337&lt;&gt;"",מלאי!I337,"")</f>
        <v/>
      </c>
      <c r="I334" s="23"/>
      <c r="J334" s="23"/>
      <c r="K334" s="23"/>
      <c r="L334" s="23" t="str">
        <f>IF(מלאי!D337&lt;&gt;"",מלאי!#REF!,"")</f>
        <v/>
      </c>
    </row>
    <row r="335" spans="1:12" ht="15" customHeight="1" x14ac:dyDescent="0.25">
      <c r="A335" s="23" t="str">
        <f>IF(מלאי!D338&lt;&gt;"",מלאי!D338,"")</f>
        <v/>
      </c>
      <c r="B335" s="23" t="str">
        <f>IF(מלאי!D338&lt;&gt;"",מלאי!B338&amp;IF(מלאי!C338&lt;&gt;""," ("&amp;מלאי!C338&amp;")",""),"")</f>
        <v/>
      </c>
      <c r="C335" s="23" t="str">
        <f>IF(מלאי!D338&lt;&gt;"",מלאי!A338,"")</f>
        <v/>
      </c>
      <c r="D335" s="23" t="str">
        <f>IF(מלאי!D338&lt;&gt;"",מלאי!H338,"")</f>
        <v/>
      </c>
      <c r="E335" s="23"/>
      <c r="F335" s="23"/>
      <c r="G335" s="23"/>
      <c r="H335" s="23" t="str">
        <f>IF(מלאי!D338&lt;&gt;"",מלאי!I338,"")</f>
        <v/>
      </c>
      <c r="I335" s="23"/>
      <c r="J335" s="23"/>
      <c r="K335" s="23"/>
      <c r="L335" s="23" t="str">
        <f>IF(מלאי!D338&lt;&gt;"",מלאי!#REF!,"")</f>
        <v/>
      </c>
    </row>
    <row r="336" spans="1:12" ht="15" customHeight="1" x14ac:dyDescent="0.25">
      <c r="A336" s="23" t="str">
        <f>IF(מלאי!D339&lt;&gt;"",מלאי!D339,"")</f>
        <v/>
      </c>
      <c r="B336" s="23" t="str">
        <f>IF(מלאי!D339&lt;&gt;"",מלאי!B339&amp;IF(מלאי!C339&lt;&gt;""," ("&amp;מלאי!C339&amp;")",""),"")</f>
        <v/>
      </c>
      <c r="C336" s="23" t="str">
        <f>IF(מלאי!D339&lt;&gt;"",מלאי!A339,"")</f>
        <v/>
      </c>
      <c r="D336" s="23" t="str">
        <f>IF(מלאי!D339&lt;&gt;"",מלאי!H339,"")</f>
        <v/>
      </c>
      <c r="E336" s="23"/>
      <c r="F336" s="23"/>
      <c r="G336" s="23"/>
      <c r="H336" s="23" t="str">
        <f>IF(מלאי!D339&lt;&gt;"",מלאי!I339,"")</f>
        <v/>
      </c>
      <c r="I336" s="23"/>
      <c r="J336" s="23"/>
      <c r="K336" s="23"/>
      <c r="L336" s="23" t="str">
        <f>IF(מלאי!D339&lt;&gt;"",מלאי!#REF!,"")</f>
        <v/>
      </c>
    </row>
    <row r="337" spans="1:12" ht="15" customHeight="1" x14ac:dyDescent="0.25">
      <c r="A337" s="23" t="str">
        <f>IF(מלאי!D340&lt;&gt;"",מלאי!D340,"")</f>
        <v/>
      </c>
      <c r="B337" s="23" t="str">
        <f>IF(מלאי!D340&lt;&gt;"",מלאי!B340&amp;IF(מלאי!C340&lt;&gt;""," ("&amp;מלאי!C340&amp;")",""),"")</f>
        <v/>
      </c>
      <c r="C337" s="23" t="str">
        <f>IF(מלאי!D340&lt;&gt;"",מלאי!A340,"")</f>
        <v/>
      </c>
      <c r="D337" s="23" t="str">
        <f>IF(מלאי!D340&lt;&gt;"",מלאי!H340,"")</f>
        <v/>
      </c>
      <c r="E337" s="23"/>
      <c r="F337" s="23"/>
      <c r="G337" s="23"/>
      <c r="H337" s="23" t="str">
        <f>IF(מלאי!D340&lt;&gt;"",מלאי!I340,"")</f>
        <v/>
      </c>
      <c r="I337" s="23"/>
      <c r="J337" s="23"/>
      <c r="K337" s="23"/>
      <c r="L337" s="23" t="str">
        <f>IF(מלאי!D340&lt;&gt;"",מלאי!#REF!,"")</f>
        <v/>
      </c>
    </row>
    <row r="338" spans="1:12" ht="15" customHeight="1" x14ac:dyDescent="0.25">
      <c r="A338" s="23" t="str">
        <f>IF(מלאי!D341&lt;&gt;"",מלאי!D341,"")</f>
        <v/>
      </c>
      <c r="B338" s="23" t="str">
        <f>IF(מלאי!D341&lt;&gt;"",מלאי!B341&amp;IF(מלאי!C341&lt;&gt;""," ("&amp;מלאי!C341&amp;")",""),"")</f>
        <v/>
      </c>
      <c r="C338" s="23" t="str">
        <f>IF(מלאי!D341&lt;&gt;"",מלאי!A341,"")</f>
        <v/>
      </c>
      <c r="D338" s="23" t="str">
        <f>IF(מלאי!D341&lt;&gt;"",מלאי!H341,"")</f>
        <v/>
      </c>
      <c r="E338" s="23"/>
      <c r="F338" s="23"/>
      <c r="G338" s="23"/>
      <c r="H338" s="23" t="str">
        <f>IF(מלאי!D341&lt;&gt;"",מלאי!I341,"")</f>
        <v/>
      </c>
      <c r="I338" s="23"/>
      <c r="J338" s="23"/>
      <c r="K338" s="23"/>
      <c r="L338" s="23" t="str">
        <f>IF(מלאי!D341&lt;&gt;"",מלאי!#REF!,"")</f>
        <v/>
      </c>
    </row>
    <row r="339" spans="1:12" ht="15" customHeight="1" x14ac:dyDescent="0.25">
      <c r="A339" s="23" t="str">
        <f>IF(מלאי!D342&lt;&gt;"",מלאי!D342,"")</f>
        <v/>
      </c>
      <c r="B339" s="23" t="str">
        <f>IF(מלאי!D342&lt;&gt;"",מלאי!B342&amp;IF(מלאי!C342&lt;&gt;""," ("&amp;מלאי!C342&amp;")",""),"")</f>
        <v/>
      </c>
      <c r="C339" s="23" t="str">
        <f>IF(מלאי!D342&lt;&gt;"",מלאי!A342,"")</f>
        <v/>
      </c>
      <c r="D339" s="23" t="str">
        <f>IF(מלאי!D342&lt;&gt;"",מלאי!H342,"")</f>
        <v/>
      </c>
      <c r="E339" s="23"/>
      <c r="F339" s="23"/>
      <c r="G339" s="23"/>
      <c r="H339" s="23" t="str">
        <f>IF(מלאי!D342&lt;&gt;"",מלאי!I342,"")</f>
        <v/>
      </c>
      <c r="I339" s="23"/>
      <c r="J339" s="23"/>
      <c r="K339" s="23"/>
      <c r="L339" s="23" t="str">
        <f>IF(מלאי!D342&lt;&gt;"",מלאי!#REF!,"")</f>
        <v/>
      </c>
    </row>
    <row r="340" spans="1:12" ht="15" customHeight="1" x14ac:dyDescent="0.25">
      <c r="A340" s="23" t="str">
        <f>IF(מלאי!D343&lt;&gt;"",מלאי!D343,"")</f>
        <v/>
      </c>
      <c r="B340" s="23" t="str">
        <f>IF(מלאי!D343&lt;&gt;"",מלאי!B343&amp;IF(מלאי!C343&lt;&gt;""," ("&amp;מלאי!C343&amp;")",""),"")</f>
        <v/>
      </c>
      <c r="C340" s="23" t="str">
        <f>IF(מלאי!D343&lt;&gt;"",מלאי!A343,"")</f>
        <v/>
      </c>
      <c r="D340" s="23" t="str">
        <f>IF(מלאי!D343&lt;&gt;"",מלאי!H343,"")</f>
        <v/>
      </c>
      <c r="E340" s="23"/>
      <c r="F340" s="23"/>
      <c r="G340" s="23"/>
      <c r="H340" s="23" t="str">
        <f>IF(מלאי!D343&lt;&gt;"",מלאי!I343,"")</f>
        <v/>
      </c>
      <c r="I340" s="23"/>
      <c r="J340" s="23"/>
      <c r="K340" s="23"/>
      <c r="L340" s="23" t="str">
        <f>IF(מלאי!D343&lt;&gt;"",מלאי!#REF!,"")</f>
        <v/>
      </c>
    </row>
    <row r="341" spans="1:12" ht="15" customHeight="1" x14ac:dyDescent="0.25">
      <c r="A341" s="23" t="str">
        <f>IF(מלאי!D344&lt;&gt;"",מלאי!D344,"")</f>
        <v/>
      </c>
      <c r="B341" s="23" t="str">
        <f>IF(מלאי!D344&lt;&gt;"",מלאי!B344&amp;IF(מלאי!C344&lt;&gt;""," ("&amp;מלאי!C344&amp;")",""),"")</f>
        <v/>
      </c>
      <c r="C341" s="23" t="str">
        <f>IF(מלאי!D344&lt;&gt;"",מלאי!A344,"")</f>
        <v/>
      </c>
      <c r="D341" s="23" t="str">
        <f>IF(מלאי!D344&lt;&gt;"",מלאי!H344,"")</f>
        <v/>
      </c>
      <c r="E341" s="23"/>
      <c r="F341" s="23"/>
      <c r="G341" s="23"/>
      <c r="H341" s="23" t="str">
        <f>IF(מלאי!D344&lt;&gt;"",מלאי!I344,"")</f>
        <v/>
      </c>
      <c r="I341" s="23"/>
      <c r="J341" s="23"/>
      <c r="K341" s="23"/>
      <c r="L341" s="23" t="str">
        <f>IF(מלאי!D344&lt;&gt;"",מלאי!#REF!,"")</f>
        <v/>
      </c>
    </row>
    <row r="342" spans="1:12" ht="15" customHeight="1" x14ac:dyDescent="0.25">
      <c r="A342" s="23" t="str">
        <f>IF(מלאי!D345&lt;&gt;"",מלאי!D345,"")</f>
        <v/>
      </c>
      <c r="B342" s="23" t="str">
        <f>IF(מלאי!D345&lt;&gt;"",מלאי!B345&amp;IF(מלאי!C345&lt;&gt;""," ("&amp;מלאי!C345&amp;")",""),"")</f>
        <v/>
      </c>
      <c r="C342" s="23" t="str">
        <f>IF(מלאי!D345&lt;&gt;"",מלאי!A345,"")</f>
        <v/>
      </c>
      <c r="D342" s="23" t="str">
        <f>IF(מלאי!D345&lt;&gt;"",מלאי!H345,"")</f>
        <v/>
      </c>
      <c r="E342" s="23"/>
      <c r="F342" s="23"/>
      <c r="G342" s="23"/>
      <c r="H342" s="23" t="str">
        <f>IF(מלאי!D345&lt;&gt;"",מלאי!I345,"")</f>
        <v/>
      </c>
      <c r="I342" s="23"/>
      <c r="J342" s="23"/>
      <c r="K342" s="23"/>
      <c r="L342" s="23" t="str">
        <f>IF(מלאי!D345&lt;&gt;"",מלאי!#REF!,"")</f>
        <v/>
      </c>
    </row>
    <row r="343" spans="1:12" ht="15" customHeight="1" x14ac:dyDescent="0.25">
      <c r="A343" s="23" t="str">
        <f>IF(מלאי!D346&lt;&gt;"",מלאי!D346,"")</f>
        <v/>
      </c>
      <c r="B343" s="23" t="str">
        <f>IF(מלאי!D346&lt;&gt;"",מלאי!B346&amp;IF(מלאי!C346&lt;&gt;""," ("&amp;מלאי!C346&amp;")",""),"")</f>
        <v/>
      </c>
      <c r="C343" s="23" t="str">
        <f>IF(מלאי!D346&lt;&gt;"",מלאי!A346,"")</f>
        <v/>
      </c>
      <c r="D343" s="23" t="str">
        <f>IF(מלאי!D346&lt;&gt;"",מלאי!H346,"")</f>
        <v/>
      </c>
      <c r="E343" s="23"/>
      <c r="F343" s="23"/>
      <c r="G343" s="23"/>
      <c r="H343" s="23" t="str">
        <f>IF(מלאי!D346&lt;&gt;"",מלאי!I346,"")</f>
        <v/>
      </c>
      <c r="I343" s="23"/>
      <c r="J343" s="23"/>
      <c r="K343" s="23"/>
      <c r="L343" s="23" t="str">
        <f>IF(מלאי!D346&lt;&gt;"",מלאי!#REF!,"")</f>
        <v/>
      </c>
    </row>
    <row r="344" spans="1:12" ht="15" customHeight="1" x14ac:dyDescent="0.25">
      <c r="A344" s="23" t="str">
        <f>IF(מלאי!D347&lt;&gt;"",מלאי!D347,"")</f>
        <v/>
      </c>
      <c r="B344" s="23" t="str">
        <f>IF(מלאי!D347&lt;&gt;"",מלאי!B347&amp;IF(מלאי!C347&lt;&gt;""," ("&amp;מלאי!C347&amp;")",""),"")</f>
        <v/>
      </c>
      <c r="C344" s="23" t="str">
        <f>IF(מלאי!D347&lt;&gt;"",מלאי!A347,"")</f>
        <v/>
      </c>
      <c r="D344" s="23" t="str">
        <f>IF(מלאי!D347&lt;&gt;"",מלאי!H347,"")</f>
        <v/>
      </c>
      <c r="E344" s="23"/>
      <c r="F344" s="23"/>
      <c r="G344" s="23"/>
      <c r="H344" s="23" t="str">
        <f>IF(מלאי!D347&lt;&gt;"",מלאי!I347,"")</f>
        <v/>
      </c>
      <c r="I344" s="23"/>
      <c r="J344" s="23"/>
      <c r="K344" s="23"/>
      <c r="L344" s="23" t="str">
        <f>IF(מלאי!D347&lt;&gt;"",מלאי!#REF!,"")</f>
        <v/>
      </c>
    </row>
    <row r="345" spans="1:12" ht="15" customHeight="1" x14ac:dyDescent="0.25">
      <c r="A345" s="23" t="str">
        <f>IF(מלאי!D348&lt;&gt;"",מלאי!D348,"")</f>
        <v/>
      </c>
      <c r="B345" s="23" t="str">
        <f>IF(מלאי!D348&lt;&gt;"",מלאי!B348&amp;IF(מלאי!C348&lt;&gt;""," ("&amp;מלאי!C348&amp;")",""),"")</f>
        <v/>
      </c>
      <c r="C345" s="23" t="str">
        <f>IF(מלאי!D348&lt;&gt;"",מלאי!A348,"")</f>
        <v/>
      </c>
      <c r="D345" s="23" t="str">
        <f>IF(מלאי!D348&lt;&gt;"",מלאי!H348,"")</f>
        <v/>
      </c>
      <c r="E345" s="23"/>
      <c r="F345" s="23"/>
      <c r="G345" s="23"/>
      <c r="H345" s="23" t="str">
        <f>IF(מלאי!D348&lt;&gt;"",מלאי!I348,"")</f>
        <v/>
      </c>
      <c r="I345" s="23"/>
      <c r="J345" s="23"/>
      <c r="K345" s="23"/>
      <c r="L345" s="23" t="str">
        <f>IF(מלאי!D348&lt;&gt;"",מלאי!#REF!,"")</f>
        <v/>
      </c>
    </row>
    <row r="346" spans="1:12" ht="15" customHeight="1" x14ac:dyDescent="0.25">
      <c r="A346" s="23" t="str">
        <f>IF(מלאי!D349&lt;&gt;"",מלאי!D349,"")</f>
        <v/>
      </c>
      <c r="B346" s="23" t="str">
        <f>IF(מלאי!D349&lt;&gt;"",מלאי!B349&amp;IF(מלאי!C349&lt;&gt;""," ("&amp;מלאי!C349&amp;")",""),"")</f>
        <v/>
      </c>
      <c r="C346" s="23" t="str">
        <f>IF(מלאי!D349&lt;&gt;"",מלאי!A349,"")</f>
        <v/>
      </c>
      <c r="D346" s="23" t="str">
        <f>IF(מלאי!D349&lt;&gt;"",מלאי!H349,"")</f>
        <v/>
      </c>
      <c r="E346" s="23"/>
      <c r="F346" s="23"/>
      <c r="G346" s="23"/>
      <c r="H346" s="23" t="str">
        <f>IF(מלאי!D349&lt;&gt;"",מלאי!I349,"")</f>
        <v/>
      </c>
      <c r="I346" s="23"/>
      <c r="J346" s="23"/>
      <c r="K346" s="23"/>
      <c r="L346" s="23" t="str">
        <f>IF(מלאי!D349&lt;&gt;"",מלאי!#REF!,"")</f>
        <v/>
      </c>
    </row>
    <row r="347" spans="1:12" ht="15" customHeight="1" x14ac:dyDescent="0.25">
      <c r="A347" s="23" t="str">
        <f>IF(מלאי!D350&lt;&gt;"",מלאי!D350,"")</f>
        <v/>
      </c>
      <c r="B347" s="23" t="str">
        <f>IF(מלאי!D350&lt;&gt;"",מלאי!B350&amp;IF(מלאי!C350&lt;&gt;""," ("&amp;מלאי!C350&amp;")",""),"")</f>
        <v/>
      </c>
      <c r="C347" s="23" t="str">
        <f>IF(מלאי!D350&lt;&gt;"",מלאי!A350,"")</f>
        <v/>
      </c>
      <c r="D347" s="23" t="str">
        <f>IF(מלאי!D350&lt;&gt;"",מלאי!H350,"")</f>
        <v/>
      </c>
      <c r="E347" s="23"/>
      <c r="F347" s="23"/>
      <c r="G347" s="23"/>
      <c r="H347" s="23" t="str">
        <f>IF(מלאי!D350&lt;&gt;"",מלאי!I350,"")</f>
        <v/>
      </c>
      <c r="I347" s="23"/>
      <c r="J347" s="23"/>
      <c r="K347" s="23"/>
      <c r="L347" s="23" t="str">
        <f>IF(מלאי!D350&lt;&gt;"",מלאי!#REF!,"")</f>
        <v/>
      </c>
    </row>
    <row r="348" spans="1:12" ht="15" customHeight="1" x14ac:dyDescent="0.25">
      <c r="A348" s="23" t="str">
        <f>IF(מלאי!D351&lt;&gt;"",מלאי!D351,"")</f>
        <v/>
      </c>
      <c r="B348" s="23" t="str">
        <f>IF(מלאי!D351&lt;&gt;"",מלאי!B351&amp;IF(מלאי!C351&lt;&gt;""," ("&amp;מלאי!C351&amp;")",""),"")</f>
        <v/>
      </c>
      <c r="C348" s="23" t="str">
        <f>IF(מלאי!D351&lt;&gt;"",מלאי!A351,"")</f>
        <v/>
      </c>
      <c r="D348" s="23" t="str">
        <f>IF(מלאי!D351&lt;&gt;"",מלאי!H351,"")</f>
        <v/>
      </c>
      <c r="E348" s="23"/>
      <c r="F348" s="23"/>
      <c r="G348" s="23"/>
      <c r="H348" s="23" t="str">
        <f>IF(מלאי!D351&lt;&gt;"",מלאי!I351,"")</f>
        <v/>
      </c>
      <c r="I348" s="23"/>
      <c r="J348" s="23"/>
      <c r="K348" s="23"/>
      <c r="L348" s="23" t="str">
        <f>IF(מלאי!D351&lt;&gt;"",מלאי!#REF!,"")</f>
        <v/>
      </c>
    </row>
    <row r="349" spans="1:12" ht="15" customHeight="1" x14ac:dyDescent="0.25">
      <c r="A349" s="23" t="str">
        <f>IF(מלאי!D352&lt;&gt;"",מלאי!D352,"")</f>
        <v/>
      </c>
      <c r="B349" s="23" t="str">
        <f>IF(מלאי!D352&lt;&gt;"",מלאי!B352&amp;IF(מלאי!C352&lt;&gt;""," ("&amp;מלאי!C352&amp;")",""),"")</f>
        <v/>
      </c>
      <c r="C349" s="23" t="str">
        <f>IF(מלאי!D352&lt;&gt;"",מלאי!A352,"")</f>
        <v/>
      </c>
      <c r="D349" s="23" t="str">
        <f>IF(מלאי!D352&lt;&gt;"",מלאי!H352,"")</f>
        <v/>
      </c>
      <c r="E349" s="23"/>
      <c r="F349" s="23"/>
      <c r="G349" s="23"/>
      <c r="H349" s="23" t="str">
        <f>IF(מלאי!D352&lt;&gt;"",מלאי!I352,"")</f>
        <v/>
      </c>
      <c r="I349" s="23"/>
      <c r="J349" s="23"/>
      <c r="K349" s="23"/>
      <c r="L349" s="23" t="str">
        <f>IF(מלאי!D352&lt;&gt;"",מלאי!#REF!,"")</f>
        <v/>
      </c>
    </row>
    <row r="350" spans="1:12" ht="15" customHeight="1" x14ac:dyDescent="0.25">
      <c r="A350" s="23" t="str">
        <f>IF(מלאי!D353&lt;&gt;"",מלאי!D353,"")</f>
        <v/>
      </c>
      <c r="B350" s="23" t="str">
        <f>IF(מלאי!D353&lt;&gt;"",מלאי!B353&amp;IF(מלאי!C353&lt;&gt;""," ("&amp;מלאי!C353&amp;")",""),"")</f>
        <v/>
      </c>
      <c r="C350" s="23" t="str">
        <f>IF(מלאי!D353&lt;&gt;"",מלאי!A353,"")</f>
        <v/>
      </c>
      <c r="D350" s="23" t="str">
        <f>IF(מלאי!D353&lt;&gt;"",מלאי!H353,"")</f>
        <v/>
      </c>
      <c r="E350" s="23"/>
      <c r="F350" s="23"/>
      <c r="G350" s="23"/>
      <c r="H350" s="23" t="str">
        <f>IF(מלאי!D353&lt;&gt;"",מלאי!I353,"")</f>
        <v/>
      </c>
      <c r="I350" s="23"/>
      <c r="J350" s="23"/>
      <c r="K350" s="23"/>
      <c r="L350" s="23" t="str">
        <f>IF(מלאי!D353&lt;&gt;"",מלאי!#REF!,"")</f>
        <v/>
      </c>
    </row>
    <row r="351" spans="1:12" ht="15" customHeight="1" x14ac:dyDescent="0.25">
      <c r="A351" s="23" t="str">
        <f>IF(מלאי!D354&lt;&gt;"",מלאי!D354,"")</f>
        <v/>
      </c>
      <c r="B351" s="23" t="str">
        <f>IF(מלאי!D354&lt;&gt;"",מלאי!B354&amp;IF(מלאי!C354&lt;&gt;""," ("&amp;מלאי!C354&amp;")",""),"")</f>
        <v/>
      </c>
      <c r="C351" s="23" t="str">
        <f>IF(מלאי!D354&lt;&gt;"",מלאי!A354,"")</f>
        <v/>
      </c>
      <c r="D351" s="23" t="str">
        <f>IF(מלאי!D354&lt;&gt;"",מלאי!H354,"")</f>
        <v/>
      </c>
      <c r="E351" s="23"/>
      <c r="F351" s="23"/>
      <c r="G351" s="23"/>
      <c r="H351" s="23" t="str">
        <f>IF(מלאי!D354&lt;&gt;"",מלאי!I354,"")</f>
        <v/>
      </c>
      <c r="I351" s="23"/>
      <c r="J351" s="23"/>
      <c r="K351" s="23"/>
      <c r="L351" s="23" t="str">
        <f>IF(מלאי!D354&lt;&gt;"",מלאי!#REF!,"")</f>
        <v/>
      </c>
    </row>
    <row r="352" spans="1:12" ht="15" customHeight="1" x14ac:dyDescent="0.25">
      <c r="A352" s="23" t="str">
        <f>IF(מלאי!D355&lt;&gt;"",מלאי!D355,"")</f>
        <v/>
      </c>
      <c r="B352" s="23" t="str">
        <f>IF(מלאי!D355&lt;&gt;"",מלאי!B355&amp;IF(מלאי!C355&lt;&gt;""," ("&amp;מלאי!C355&amp;")",""),"")</f>
        <v/>
      </c>
      <c r="C352" s="23" t="str">
        <f>IF(מלאי!D355&lt;&gt;"",מלאי!A355,"")</f>
        <v/>
      </c>
      <c r="D352" s="23" t="str">
        <f>IF(מלאי!D355&lt;&gt;"",מלאי!H355,"")</f>
        <v/>
      </c>
      <c r="E352" s="23"/>
      <c r="F352" s="23"/>
      <c r="G352" s="23"/>
      <c r="H352" s="23" t="str">
        <f>IF(מלאי!D355&lt;&gt;"",מלאי!I355,"")</f>
        <v/>
      </c>
      <c r="I352" s="23"/>
      <c r="J352" s="23"/>
      <c r="K352" s="23"/>
      <c r="L352" s="23" t="str">
        <f>IF(מלאי!D355&lt;&gt;"",מלאי!#REF!,"")</f>
        <v/>
      </c>
    </row>
    <row r="353" spans="1:12" ht="15" customHeight="1" x14ac:dyDescent="0.25">
      <c r="A353" s="23" t="str">
        <f>IF(מלאי!D356&lt;&gt;"",מלאי!D356,"")</f>
        <v/>
      </c>
      <c r="B353" s="23" t="str">
        <f>IF(מלאי!D356&lt;&gt;"",מלאי!B356&amp;IF(מלאי!C356&lt;&gt;""," ("&amp;מלאי!C356&amp;")",""),"")</f>
        <v/>
      </c>
      <c r="C353" s="23" t="str">
        <f>IF(מלאי!D356&lt;&gt;"",מלאי!A356,"")</f>
        <v/>
      </c>
      <c r="D353" s="23" t="str">
        <f>IF(מלאי!D356&lt;&gt;"",מלאי!H356,"")</f>
        <v/>
      </c>
      <c r="E353" s="23"/>
      <c r="F353" s="23"/>
      <c r="G353" s="23"/>
      <c r="H353" s="23" t="str">
        <f>IF(מלאי!D356&lt;&gt;"",מלאי!I356,"")</f>
        <v/>
      </c>
      <c r="I353" s="23"/>
      <c r="J353" s="23"/>
      <c r="K353" s="23"/>
      <c r="L353" s="23" t="str">
        <f>IF(מלאי!D356&lt;&gt;"",מלאי!#REF!,"")</f>
        <v/>
      </c>
    </row>
    <row r="354" spans="1:12" ht="11.1" customHeight="1" x14ac:dyDescent="0.25">
      <c r="A354" s="23" t="str">
        <f>IF(מלאי!D357&lt;&gt;"",מלאי!D357,"")</f>
        <v/>
      </c>
      <c r="B354" s="23" t="str">
        <f>IF(מלאי!D357&lt;&gt;"",מלאי!B357&amp;IF(מלאי!C357&lt;&gt;""," ("&amp;מלאי!C357&amp;")",""),"")</f>
        <v/>
      </c>
      <c r="C354" s="23" t="str">
        <f>IF(מלאי!D357&lt;&gt;"",מלאי!A357,"")</f>
        <v/>
      </c>
      <c r="D354" s="23" t="str">
        <f>IF(מלאי!D357&lt;&gt;"",מלאי!H357,"")</f>
        <v/>
      </c>
      <c r="E354" s="23"/>
      <c r="F354" s="23"/>
      <c r="G354" s="23"/>
      <c r="H354" s="23" t="str">
        <f>IF(מלאי!D357&lt;&gt;"",מלאי!I357,"")</f>
        <v/>
      </c>
      <c r="I354" s="23"/>
      <c r="J354" s="23"/>
      <c r="K354" s="23"/>
      <c r="L354" s="23" t="str">
        <f>IF(מלאי!D357&lt;&gt;"",מלאי!#REF!,"")</f>
        <v/>
      </c>
    </row>
  </sheetData>
  <autoFilter ref="B1:B354" xr:uid="{00000000-0001-0000-0600-000000000000}"/>
  <mergeCells count="3">
    <mergeCell ref="H3:K3"/>
    <mergeCell ref="A1:L1"/>
    <mergeCell ref="D3:G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54"/>
  <sheetViews>
    <sheetView rightToLeft="1" topLeftCell="A34" zoomScale="70" zoomScaleNormal="70" workbookViewId="0">
      <selection activeCell="H55" sqref="H55"/>
    </sheetView>
  </sheetViews>
  <sheetFormatPr defaultColWidth="8.7109375" defaultRowHeight="15" x14ac:dyDescent="0.25"/>
  <cols>
    <col min="1" max="1" width="18" customWidth="1"/>
    <col min="2" max="3" width="16" customWidth="1"/>
    <col min="4" max="4" width="14" customWidth="1"/>
    <col min="6" max="6" width="20" customWidth="1"/>
    <col min="7" max="7" width="24" customWidth="1"/>
    <col min="8" max="8" width="28" customWidth="1"/>
    <col min="9" max="9" width="14" customWidth="1"/>
    <col min="10" max="10" width="22" customWidth="1"/>
    <col min="12" max="12" width="26" customWidth="1"/>
    <col min="13" max="14" width="18" customWidth="1"/>
    <col min="15" max="16" width="10" customWidth="1"/>
    <col min="18" max="18" width="24" customWidth="1"/>
    <col min="19" max="19" width="40" customWidth="1"/>
  </cols>
  <sheetData>
    <row r="1" spans="1:19" ht="15" customHeight="1" x14ac:dyDescent="0.25">
      <c r="A1" s="16" t="s">
        <v>149</v>
      </c>
      <c r="B1" s="16" t="s">
        <v>150</v>
      </c>
      <c r="C1" s="16" t="s">
        <v>151</v>
      </c>
      <c r="D1" s="16" t="s">
        <v>152</v>
      </c>
      <c r="F1" s="16" t="s">
        <v>153</v>
      </c>
      <c r="G1" s="16" t="s">
        <v>154</v>
      </c>
      <c r="H1" s="16" t="s">
        <v>155</v>
      </c>
      <c r="I1" s="16" t="s">
        <v>156</v>
      </c>
      <c r="J1" s="16" t="s">
        <v>30</v>
      </c>
      <c r="L1" s="16" t="s">
        <v>157</v>
      </c>
      <c r="M1" s="16" t="s">
        <v>42</v>
      </c>
      <c r="N1" s="16" t="s">
        <v>158</v>
      </c>
      <c r="O1" s="16" t="s">
        <v>159</v>
      </c>
      <c r="P1" s="16" t="s">
        <v>160</v>
      </c>
      <c r="R1" s="16" t="s">
        <v>161</v>
      </c>
      <c r="S1" s="16" t="s">
        <v>134</v>
      </c>
    </row>
    <row r="2" spans="1:19" ht="15" customHeight="1" x14ac:dyDescent="0.25">
      <c r="A2" s="23" t="s">
        <v>67</v>
      </c>
      <c r="B2" s="23" t="s">
        <v>162</v>
      </c>
      <c r="C2" s="23"/>
      <c r="D2" s="21" t="s">
        <v>163</v>
      </c>
      <c r="F2" s="23" t="s">
        <v>3</v>
      </c>
      <c r="G2" s="23" t="s">
        <v>3</v>
      </c>
      <c r="H2" s="23" t="s">
        <v>3</v>
      </c>
      <c r="I2" s="23"/>
      <c r="J2" s="23"/>
      <c r="L2" s="23" t="s">
        <v>3</v>
      </c>
      <c r="M2" s="23" t="s">
        <v>67</v>
      </c>
      <c r="N2" s="23" t="s">
        <v>3</v>
      </c>
      <c r="O2" s="23" t="s">
        <v>3</v>
      </c>
      <c r="P2" s="23" t="s">
        <v>3</v>
      </c>
    </row>
    <row r="3" spans="1:19" ht="15" customHeight="1" x14ac:dyDescent="0.25">
      <c r="A3" s="23" t="s">
        <v>96</v>
      </c>
      <c r="B3" s="23" t="s">
        <v>162</v>
      </c>
      <c r="C3" s="23"/>
      <c r="D3" s="21" t="s">
        <v>163</v>
      </c>
      <c r="F3" s="23" t="s">
        <v>162</v>
      </c>
      <c r="G3" s="23" t="s">
        <v>62</v>
      </c>
      <c r="H3" s="23" t="s">
        <v>98</v>
      </c>
      <c r="I3" s="23" t="s">
        <v>164</v>
      </c>
      <c r="J3" s="23" t="s">
        <v>62</v>
      </c>
      <c r="L3" s="23" t="s">
        <v>73</v>
      </c>
      <c r="M3" s="23" t="s">
        <v>96</v>
      </c>
      <c r="N3" s="23" t="s">
        <v>69</v>
      </c>
      <c r="O3" s="23" t="s">
        <v>68</v>
      </c>
      <c r="P3" s="23" t="s">
        <v>165</v>
      </c>
    </row>
    <row r="4" spans="1:19" ht="15" customHeight="1" x14ac:dyDescent="0.25">
      <c r="A4" s="23" t="s">
        <v>77</v>
      </c>
      <c r="B4" s="23" t="s">
        <v>162</v>
      </c>
      <c r="C4" s="23"/>
      <c r="D4" s="21" t="s">
        <v>163</v>
      </c>
      <c r="F4" s="23" t="s">
        <v>166</v>
      </c>
      <c r="G4" s="23" t="s">
        <v>106</v>
      </c>
      <c r="H4" t="s">
        <v>83</v>
      </c>
      <c r="I4" s="23" t="s">
        <v>167</v>
      </c>
      <c r="J4" s="23" t="s">
        <v>62</v>
      </c>
      <c r="L4" s="23" t="s">
        <v>65</v>
      </c>
      <c r="M4" s="23" t="s">
        <v>77</v>
      </c>
      <c r="N4" s="23" t="s">
        <v>70</v>
      </c>
      <c r="O4" s="23" t="s">
        <v>14</v>
      </c>
      <c r="P4" s="23" t="s">
        <v>168</v>
      </c>
    </row>
    <row r="5" spans="1:19" ht="15" customHeight="1" x14ac:dyDescent="0.25">
      <c r="A5" s="23" t="s">
        <v>169</v>
      </c>
      <c r="B5" s="23" t="s">
        <v>162</v>
      </c>
      <c r="C5" s="23"/>
      <c r="D5" s="21" t="s">
        <v>163</v>
      </c>
      <c r="F5" s="23" t="s">
        <v>170</v>
      </c>
      <c r="G5" s="23" t="s">
        <v>171</v>
      </c>
      <c r="H5" t="s">
        <v>103</v>
      </c>
      <c r="I5" s="23" t="s">
        <v>172</v>
      </c>
      <c r="J5" s="23" t="s">
        <v>62</v>
      </c>
      <c r="L5" s="23" t="s">
        <v>79</v>
      </c>
      <c r="M5" s="23" t="s">
        <v>169</v>
      </c>
      <c r="N5" s="23" t="s">
        <v>173</v>
      </c>
      <c r="P5" s="23" t="s">
        <v>174</v>
      </c>
    </row>
    <row r="6" spans="1:19" ht="15" customHeight="1" x14ac:dyDescent="0.25">
      <c r="A6" s="23" t="s">
        <v>66</v>
      </c>
      <c r="B6" s="23" t="s">
        <v>166</v>
      </c>
      <c r="C6" s="23"/>
      <c r="D6" s="21" t="s">
        <v>163</v>
      </c>
      <c r="F6" s="23" t="s">
        <v>175</v>
      </c>
      <c r="G6" s="23" t="s">
        <v>176</v>
      </c>
      <c r="H6" s="23" t="s">
        <v>90</v>
      </c>
      <c r="I6" s="23" t="s">
        <v>177</v>
      </c>
      <c r="J6" s="23" t="s">
        <v>62</v>
      </c>
      <c r="L6" s="23" t="s">
        <v>105</v>
      </c>
      <c r="M6" s="23" t="s">
        <v>66</v>
      </c>
      <c r="N6" s="23" t="s">
        <v>178</v>
      </c>
      <c r="P6" s="23" t="s">
        <v>179</v>
      </c>
    </row>
    <row r="7" spans="1:19" ht="15" customHeight="1" x14ac:dyDescent="0.25">
      <c r="A7" s="23" t="s">
        <v>74</v>
      </c>
      <c r="B7" s="23" t="s">
        <v>166</v>
      </c>
      <c r="C7" s="23"/>
      <c r="D7" s="21" t="s">
        <v>163</v>
      </c>
      <c r="F7" s="23" t="s">
        <v>180</v>
      </c>
      <c r="G7" s="23" t="s">
        <v>114</v>
      </c>
      <c r="H7" s="23" t="s">
        <v>72</v>
      </c>
      <c r="I7" s="23" t="s">
        <v>181</v>
      </c>
      <c r="J7" s="23" t="s">
        <v>62</v>
      </c>
      <c r="L7" s="23" t="s">
        <v>182</v>
      </c>
      <c r="M7" s="23" t="s">
        <v>74</v>
      </c>
      <c r="P7" s="23" t="s">
        <v>183</v>
      </c>
    </row>
    <row r="8" spans="1:19" ht="15" customHeight="1" x14ac:dyDescent="0.25">
      <c r="A8" s="23" t="s">
        <v>100</v>
      </c>
      <c r="B8" s="23" t="s">
        <v>166</v>
      </c>
      <c r="C8" s="23"/>
      <c r="D8" s="21" t="s">
        <v>163</v>
      </c>
      <c r="F8" s="23" t="s">
        <v>184</v>
      </c>
      <c r="G8" s="23" t="s">
        <v>88</v>
      </c>
      <c r="H8" s="23" t="s">
        <v>63</v>
      </c>
      <c r="I8" s="23" t="s">
        <v>185</v>
      </c>
      <c r="J8" s="23" t="s">
        <v>62</v>
      </c>
      <c r="L8" s="23" t="s">
        <v>119</v>
      </c>
      <c r="M8" s="23" t="s">
        <v>100</v>
      </c>
      <c r="P8" s="23" t="s">
        <v>186</v>
      </c>
    </row>
    <row r="9" spans="1:19" ht="15" customHeight="1" x14ac:dyDescent="0.25">
      <c r="A9" s="23" t="s">
        <v>95</v>
      </c>
      <c r="B9" s="23" t="s">
        <v>166</v>
      </c>
      <c r="C9" s="23"/>
      <c r="D9" s="21" t="s">
        <v>163</v>
      </c>
      <c r="G9" s="23" t="s">
        <v>187</v>
      </c>
      <c r="H9" s="23" t="s">
        <v>188</v>
      </c>
      <c r="I9" s="23"/>
      <c r="J9" s="23" t="s">
        <v>62</v>
      </c>
      <c r="L9" s="23" t="s">
        <v>189</v>
      </c>
      <c r="M9" s="23" t="s">
        <v>95</v>
      </c>
      <c r="P9" s="23" t="s">
        <v>190</v>
      </c>
    </row>
    <row r="10" spans="1:19" ht="15" customHeight="1" x14ac:dyDescent="0.25">
      <c r="A10" s="23" t="s">
        <v>111</v>
      </c>
      <c r="B10" s="23" t="s">
        <v>166</v>
      </c>
      <c r="C10" s="23"/>
      <c r="D10" s="21" t="s">
        <v>163</v>
      </c>
      <c r="G10" s="23" t="s">
        <v>191</v>
      </c>
      <c r="H10" s="23" t="s">
        <v>192</v>
      </c>
      <c r="I10" s="23"/>
      <c r="J10" s="23" t="s">
        <v>62</v>
      </c>
      <c r="L10" s="23" t="s">
        <v>109</v>
      </c>
      <c r="M10" s="23" t="s">
        <v>111</v>
      </c>
    </row>
    <row r="11" spans="1:19" ht="15" customHeight="1" x14ac:dyDescent="0.25">
      <c r="A11" s="23" t="s">
        <v>110</v>
      </c>
      <c r="B11" s="23" t="s">
        <v>166</v>
      </c>
      <c r="C11" s="23" t="s">
        <v>180</v>
      </c>
      <c r="D11" s="21" t="s">
        <v>163</v>
      </c>
      <c r="H11" s="23" t="s">
        <v>86</v>
      </c>
      <c r="I11" s="23" t="s">
        <v>193</v>
      </c>
      <c r="J11" s="23" t="s">
        <v>62</v>
      </c>
      <c r="L11" s="23" t="s">
        <v>108</v>
      </c>
      <c r="M11" s="23" t="s">
        <v>110</v>
      </c>
    </row>
    <row r="12" spans="1:19" ht="15" customHeight="1" x14ac:dyDescent="0.25">
      <c r="A12" s="23" t="s">
        <v>194</v>
      </c>
      <c r="B12" s="23" t="s">
        <v>170</v>
      </c>
      <c r="C12" s="23"/>
      <c r="D12" s="21" t="s">
        <v>163</v>
      </c>
      <c r="H12" s="23" t="s">
        <v>78</v>
      </c>
      <c r="I12" s="23" t="s">
        <v>195</v>
      </c>
      <c r="J12" s="23" t="s">
        <v>62</v>
      </c>
      <c r="L12" s="23" t="s">
        <v>196</v>
      </c>
      <c r="M12" s="23" t="s">
        <v>194</v>
      </c>
    </row>
    <row r="13" spans="1:19" ht="15" customHeight="1" x14ac:dyDescent="0.25">
      <c r="A13" s="23" t="s">
        <v>197</v>
      </c>
      <c r="B13" s="23" t="s">
        <v>170</v>
      </c>
      <c r="C13" s="23"/>
      <c r="D13" s="21" t="s">
        <v>163</v>
      </c>
      <c r="H13" s="23" t="s">
        <v>198</v>
      </c>
      <c r="I13" s="23" t="s">
        <v>199</v>
      </c>
      <c r="J13" s="23" t="s">
        <v>62</v>
      </c>
      <c r="L13" s="23" t="s">
        <v>200</v>
      </c>
      <c r="M13" s="23" t="s">
        <v>197</v>
      </c>
    </row>
    <row r="14" spans="1:19" ht="15" customHeight="1" x14ac:dyDescent="0.25">
      <c r="A14" s="23" t="s">
        <v>92</v>
      </c>
      <c r="B14" s="23" t="s">
        <v>175</v>
      </c>
      <c r="C14" s="23"/>
      <c r="D14" s="21" t="s">
        <v>163</v>
      </c>
      <c r="H14" s="23" t="s">
        <v>201</v>
      </c>
      <c r="I14" s="23" t="s">
        <v>202</v>
      </c>
      <c r="J14" s="23" t="s">
        <v>62</v>
      </c>
      <c r="L14" s="23" t="s">
        <v>203</v>
      </c>
      <c r="M14" s="23" t="s">
        <v>92</v>
      </c>
    </row>
    <row r="15" spans="1:19" ht="15" customHeight="1" x14ac:dyDescent="0.25">
      <c r="A15" s="23" t="s">
        <v>88</v>
      </c>
      <c r="B15" s="23" t="s">
        <v>180</v>
      </c>
      <c r="C15" s="23"/>
      <c r="D15" s="21" t="s">
        <v>163</v>
      </c>
      <c r="H15" s="23" t="s">
        <v>204</v>
      </c>
      <c r="I15" s="23"/>
      <c r="J15" s="23" t="s">
        <v>62</v>
      </c>
      <c r="L15" s="23" t="s">
        <v>205</v>
      </c>
      <c r="M15" s="23" t="s">
        <v>88</v>
      </c>
    </row>
    <row r="16" spans="1:19" ht="15" customHeight="1" x14ac:dyDescent="0.25">
      <c r="A16" s="23" t="s">
        <v>102</v>
      </c>
      <c r="B16" s="23" t="s">
        <v>180</v>
      </c>
      <c r="C16" s="23"/>
      <c r="D16" s="21" t="s">
        <v>163</v>
      </c>
      <c r="H16" s="23" t="s">
        <v>206</v>
      </c>
      <c r="I16" s="23"/>
      <c r="J16" s="23" t="s">
        <v>62</v>
      </c>
      <c r="L16" s="49" t="s">
        <v>343</v>
      </c>
      <c r="M16" s="23" t="s">
        <v>102</v>
      </c>
    </row>
    <row r="17" spans="1:13" ht="15" customHeight="1" x14ac:dyDescent="0.25">
      <c r="A17" s="23" t="s">
        <v>80</v>
      </c>
      <c r="B17" s="23" t="s">
        <v>166</v>
      </c>
      <c r="C17" s="23"/>
      <c r="D17" s="21" t="s">
        <v>163</v>
      </c>
      <c r="H17" s="23" t="s">
        <v>207</v>
      </c>
      <c r="I17" s="23"/>
      <c r="J17" s="23" t="s">
        <v>62</v>
      </c>
      <c r="L17" s="32" t="s">
        <v>345</v>
      </c>
      <c r="M17" s="23" t="s">
        <v>80</v>
      </c>
    </row>
    <row r="18" spans="1:13" ht="15" customHeight="1" x14ac:dyDescent="0.25">
      <c r="A18" s="23" t="s">
        <v>264</v>
      </c>
      <c r="B18" s="28" t="s">
        <v>166</v>
      </c>
      <c r="H18" s="23" t="s">
        <v>121</v>
      </c>
      <c r="I18" s="23" t="s">
        <v>208</v>
      </c>
      <c r="J18" s="23" t="s">
        <v>114</v>
      </c>
      <c r="L18" s="48" t="s">
        <v>184</v>
      </c>
      <c r="M18" s="23" t="s">
        <v>264</v>
      </c>
    </row>
    <row r="19" spans="1:13" ht="15" customHeight="1" x14ac:dyDescent="0.25">
      <c r="H19" s="23" t="s">
        <v>117</v>
      </c>
      <c r="I19" s="23" t="s">
        <v>209</v>
      </c>
      <c r="J19" s="23" t="s">
        <v>114</v>
      </c>
    </row>
    <row r="20" spans="1:13" ht="15" customHeight="1" x14ac:dyDescent="0.25">
      <c r="H20" s="23" t="s">
        <v>210</v>
      </c>
      <c r="I20" s="23" t="s">
        <v>211</v>
      </c>
      <c r="J20" s="23" t="s">
        <v>114</v>
      </c>
    </row>
    <row r="21" spans="1:13" ht="15" customHeight="1" x14ac:dyDescent="0.25">
      <c r="H21" s="23" t="s">
        <v>115</v>
      </c>
      <c r="I21" s="23" t="s">
        <v>212</v>
      </c>
      <c r="J21" s="23" t="s">
        <v>114</v>
      </c>
    </row>
    <row r="22" spans="1:13" ht="15" customHeight="1" x14ac:dyDescent="0.25">
      <c r="H22" s="23" t="s">
        <v>213</v>
      </c>
      <c r="I22" s="23" t="s">
        <v>214</v>
      </c>
      <c r="J22" s="23" t="s">
        <v>114</v>
      </c>
    </row>
    <row r="23" spans="1:13" ht="15" customHeight="1" x14ac:dyDescent="0.25">
      <c r="H23" s="23" t="s">
        <v>215</v>
      </c>
      <c r="I23" s="23"/>
      <c r="J23" s="23" t="s">
        <v>114</v>
      </c>
    </row>
    <row r="24" spans="1:13" ht="15" customHeight="1" x14ac:dyDescent="0.25">
      <c r="H24" t="s">
        <v>107</v>
      </c>
      <c r="I24" s="23" t="s">
        <v>216</v>
      </c>
      <c r="J24" s="23" t="s">
        <v>106</v>
      </c>
    </row>
    <row r="25" spans="1:13" ht="15" customHeight="1" x14ac:dyDescent="0.25">
      <c r="H25" t="s">
        <v>217</v>
      </c>
      <c r="I25" t="s">
        <v>218</v>
      </c>
      <c r="J25" s="23" t="s">
        <v>106</v>
      </c>
    </row>
    <row r="26" spans="1:13" ht="15" customHeight="1" x14ac:dyDescent="0.25">
      <c r="H26" s="23" t="s">
        <v>219</v>
      </c>
      <c r="I26" s="23" t="s">
        <v>220</v>
      </c>
      <c r="J26" s="23" t="s">
        <v>106</v>
      </c>
    </row>
    <row r="27" spans="1:13" ht="15" customHeight="1" x14ac:dyDescent="0.25">
      <c r="H27" s="23" t="s">
        <v>221</v>
      </c>
      <c r="I27" s="23"/>
      <c r="J27" s="23" t="s">
        <v>106</v>
      </c>
    </row>
    <row r="28" spans="1:13" ht="15" customHeight="1" x14ac:dyDescent="0.25">
      <c r="H28" s="23" t="s">
        <v>222</v>
      </c>
      <c r="I28" s="23" t="s">
        <v>223</v>
      </c>
      <c r="J28" s="23" t="s">
        <v>88</v>
      </c>
    </row>
    <row r="29" spans="1:13" ht="15" customHeight="1" x14ac:dyDescent="0.25">
      <c r="H29" s="23" t="s">
        <v>224</v>
      </c>
      <c r="I29" s="23" t="s">
        <v>225</v>
      </c>
      <c r="J29" s="23" t="s">
        <v>176</v>
      </c>
    </row>
    <row r="30" spans="1:13" ht="15" customHeight="1" x14ac:dyDescent="0.25">
      <c r="H30" s="23" t="s">
        <v>226</v>
      </c>
      <c r="I30" s="23" t="s">
        <v>227</v>
      </c>
      <c r="J30" s="23" t="s">
        <v>176</v>
      </c>
    </row>
    <row r="31" spans="1:13" ht="15" customHeight="1" x14ac:dyDescent="0.25">
      <c r="H31" s="23" t="s">
        <v>228</v>
      </c>
      <c r="I31" s="23" t="s">
        <v>229</v>
      </c>
      <c r="J31" s="23" t="s">
        <v>176</v>
      </c>
    </row>
    <row r="32" spans="1:13" ht="15" customHeight="1" x14ac:dyDescent="0.25">
      <c r="H32" s="23" t="s">
        <v>230</v>
      </c>
      <c r="I32" s="23" t="s">
        <v>231</v>
      </c>
      <c r="J32" s="23" t="s">
        <v>176</v>
      </c>
    </row>
    <row r="33" spans="8:10" ht="15" customHeight="1" x14ac:dyDescent="0.25">
      <c r="H33" s="23" t="s">
        <v>232</v>
      </c>
      <c r="I33" s="23" t="s">
        <v>233</v>
      </c>
      <c r="J33" s="23" t="s">
        <v>176</v>
      </c>
    </row>
    <row r="34" spans="8:10" ht="15" customHeight="1" x14ac:dyDescent="0.25">
      <c r="H34" s="23" t="s">
        <v>234</v>
      </c>
      <c r="I34" s="23"/>
      <c r="J34" s="23" t="s">
        <v>176</v>
      </c>
    </row>
    <row r="35" spans="8:10" ht="15" customHeight="1" x14ac:dyDescent="0.25">
      <c r="H35" s="23" t="s">
        <v>235</v>
      </c>
      <c r="I35" s="23"/>
      <c r="J35" s="23" t="s">
        <v>176</v>
      </c>
    </row>
    <row r="36" spans="8:10" ht="15" customHeight="1" x14ac:dyDescent="0.25">
      <c r="H36" s="23" t="s">
        <v>236</v>
      </c>
      <c r="I36" s="23" t="s">
        <v>237</v>
      </c>
      <c r="J36" s="23" t="s">
        <v>171</v>
      </c>
    </row>
    <row r="37" spans="8:10" ht="15" customHeight="1" x14ac:dyDescent="0.25">
      <c r="H37" s="23" t="s">
        <v>238</v>
      </c>
      <c r="I37" t="s">
        <v>239</v>
      </c>
      <c r="J37" s="23" t="s">
        <v>171</v>
      </c>
    </row>
    <row r="38" spans="8:10" ht="15" customHeight="1" x14ac:dyDescent="0.25">
      <c r="H38" s="23" t="s">
        <v>240</v>
      </c>
      <c r="I38" s="23" t="s">
        <v>241</v>
      </c>
      <c r="J38" s="23" t="s">
        <v>171</v>
      </c>
    </row>
    <row r="39" spans="8:10" ht="15" customHeight="1" x14ac:dyDescent="0.25">
      <c r="H39" s="23" t="s">
        <v>242</v>
      </c>
      <c r="I39" s="23" t="s">
        <v>243</v>
      </c>
      <c r="J39" s="23" t="s">
        <v>171</v>
      </c>
    </row>
    <row r="40" spans="8:10" ht="15" customHeight="1" x14ac:dyDescent="0.25">
      <c r="H40" s="23" t="s">
        <v>244</v>
      </c>
      <c r="I40" s="23" t="s">
        <v>245</v>
      </c>
      <c r="J40" s="23" t="s">
        <v>171</v>
      </c>
    </row>
    <row r="41" spans="8:10" ht="15" customHeight="1" x14ac:dyDescent="0.25">
      <c r="H41" s="23" t="s">
        <v>246</v>
      </c>
      <c r="I41" s="23" t="s">
        <v>247</v>
      </c>
      <c r="J41" s="23" t="s">
        <v>171</v>
      </c>
    </row>
    <row r="42" spans="8:10" ht="15" customHeight="1" x14ac:dyDescent="0.25">
      <c r="H42" s="23" t="s">
        <v>248</v>
      </c>
      <c r="I42" s="23" t="s">
        <v>249</v>
      </c>
      <c r="J42" s="23" t="s">
        <v>171</v>
      </c>
    </row>
    <row r="43" spans="8:10" ht="15" customHeight="1" x14ac:dyDescent="0.25">
      <c r="H43" s="23" t="s">
        <v>250</v>
      </c>
      <c r="I43" s="23" t="s">
        <v>251</v>
      </c>
      <c r="J43" s="23" t="s">
        <v>191</v>
      </c>
    </row>
    <row r="44" spans="8:10" ht="15" customHeight="1" x14ac:dyDescent="0.25">
      <c r="H44" s="23" t="s">
        <v>252</v>
      </c>
      <c r="I44" s="23" t="s">
        <v>253</v>
      </c>
      <c r="J44" s="23" t="s">
        <v>191</v>
      </c>
    </row>
    <row r="45" spans="8:10" ht="15" customHeight="1" x14ac:dyDescent="0.25">
      <c r="H45" s="23" t="s">
        <v>254</v>
      </c>
      <c r="I45" s="23" t="s">
        <v>255</v>
      </c>
      <c r="J45" s="23" t="s">
        <v>191</v>
      </c>
    </row>
    <row r="46" spans="8:10" ht="15" customHeight="1" x14ac:dyDescent="0.25">
      <c r="H46" s="23" t="s">
        <v>256</v>
      </c>
      <c r="I46" s="23" t="s">
        <v>257</v>
      </c>
      <c r="J46" s="23" t="s">
        <v>191</v>
      </c>
    </row>
    <row r="47" spans="8:10" ht="15" customHeight="1" x14ac:dyDescent="0.25">
      <c r="H47" s="23" t="s">
        <v>258</v>
      </c>
      <c r="I47" s="23"/>
      <c r="J47" s="23" t="s">
        <v>187</v>
      </c>
    </row>
    <row r="48" spans="8:10" x14ac:dyDescent="0.25">
      <c r="H48" s="28" t="s">
        <v>335</v>
      </c>
      <c r="J48" s="23" t="s">
        <v>62</v>
      </c>
    </row>
    <row r="49" spans="8:10" x14ac:dyDescent="0.25">
      <c r="H49" s="23" t="s">
        <v>339</v>
      </c>
      <c r="J49" s="23" t="s">
        <v>62</v>
      </c>
    </row>
    <row r="50" spans="8:10" x14ac:dyDescent="0.25">
      <c r="H50" s="33" t="s">
        <v>366</v>
      </c>
      <c r="J50" s="34" t="s">
        <v>191</v>
      </c>
    </row>
    <row r="51" spans="8:10" x14ac:dyDescent="0.25">
      <c r="H51" s="28" t="s">
        <v>398</v>
      </c>
      <c r="J51" s="34" t="s">
        <v>191</v>
      </c>
    </row>
    <row r="52" spans="8:10" x14ac:dyDescent="0.25">
      <c r="H52" s="28" t="s">
        <v>406</v>
      </c>
      <c r="J52" s="23" t="s">
        <v>171</v>
      </c>
    </row>
    <row r="53" spans="8:10" x14ac:dyDescent="0.25">
      <c r="H53" s="28" t="s">
        <v>409</v>
      </c>
      <c r="J53" s="23" t="s">
        <v>171</v>
      </c>
    </row>
    <row r="54" spans="8:10" x14ac:dyDescent="0.25">
      <c r="H54" s="28" t="s">
        <v>469</v>
      </c>
      <c r="J54" s="2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FA60C-F8DA-D648-A5B7-C885DA1CC59F}">
  <dimension ref="A1:H103"/>
  <sheetViews>
    <sheetView zoomScaleNormal="100" zoomScaleSheetLayoutView="130" workbookViewId="0">
      <pane ySplit="1" topLeftCell="A49" activePane="bottomLeft" state="frozen"/>
      <selection pane="bottomLeft" activeCell="G58" sqref="G58"/>
    </sheetView>
  </sheetViews>
  <sheetFormatPr defaultRowHeight="15" x14ac:dyDescent="0.25"/>
  <cols>
    <col min="1" max="1" width="23.7109375" customWidth="1"/>
    <col min="2" max="2" width="13.28515625" bestFit="1" customWidth="1"/>
    <col min="3" max="3" width="15.140625" bestFit="1" customWidth="1"/>
    <col min="4" max="4" width="10.85546875" bestFit="1" customWidth="1"/>
    <col min="5" max="5" width="12.85546875" bestFit="1" customWidth="1"/>
    <col min="6" max="6" width="13.140625" bestFit="1" customWidth="1"/>
    <col min="7" max="7" width="20.7109375" bestFit="1" customWidth="1"/>
    <col min="8" max="8" width="21.42578125" bestFit="1" customWidth="1"/>
    <col min="9" max="9" width="15.28515625" bestFit="1" customWidth="1"/>
  </cols>
  <sheetData>
    <row r="1" spans="1:8" x14ac:dyDescent="0.25">
      <c r="A1" t="s">
        <v>31</v>
      </c>
      <c r="B1" t="s">
        <v>438</v>
      </c>
      <c r="C1" t="s">
        <v>443</v>
      </c>
      <c r="D1" t="s">
        <v>439</v>
      </c>
      <c r="E1" t="s">
        <v>441</v>
      </c>
      <c r="F1" t="s">
        <v>442</v>
      </c>
      <c r="G1" t="s">
        <v>440</v>
      </c>
      <c r="H1" t="s">
        <v>37</v>
      </c>
    </row>
    <row r="2" spans="1:8" x14ac:dyDescent="0.25">
      <c r="A2" s="23" t="s">
        <v>98</v>
      </c>
      <c r="B2">
        <v>1</v>
      </c>
      <c r="C2">
        <v>2</v>
      </c>
      <c r="D2">
        <v>2</v>
      </c>
      <c r="E2" t="s">
        <v>166</v>
      </c>
      <c r="F2" s="51"/>
    </row>
    <row r="3" spans="1:8" x14ac:dyDescent="0.25">
      <c r="A3" s="50" t="s">
        <v>83</v>
      </c>
      <c r="B3">
        <v>1</v>
      </c>
      <c r="C3">
        <v>2</v>
      </c>
      <c r="D3">
        <v>2</v>
      </c>
      <c r="E3" t="s">
        <v>166</v>
      </c>
      <c r="F3" t="s">
        <v>162</v>
      </c>
    </row>
    <row r="4" spans="1:8" x14ac:dyDescent="0.25">
      <c r="A4" s="50" t="s">
        <v>103</v>
      </c>
      <c r="B4">
        <v>1</v>
      </c>
      <c r="C4">
        <v>2</v>
      </c>
      <c r="D4">
        <v>2</v>
      </c>
      <c r="E4" t="s">
        <v>166</v>
      </c>
      <c r="F4" s="51"/>
    </row>
    <row r="5" spans="1:8" x14ac:dyDescent="0.25">
      <c r="A5" s="23" t="s">
        <v>90</v>
      </c>
      <c r="B5">
        <v>1</v>
      </c>
      <c r="C5">
        <v>1</v>
      </c>
      <c r="D5">
        <v>1</v>
      </c>
      <c r="E5" t="s">
        <v>166</v>
      </c>
      <c r="F5" s="51"/>
    </row>
    <row r="6" spans="1:8" x14ac:dyDescent="0.25">
      <c r="A6" s="23" t="s">
        <v>90</v>
      </c>
      <c r="B6">
        <v>0</v>
      </c>
      <c r="C6">
        <v>1</v>
      </c>
      <c r="D6">
        <v>1</v>
      </c>
      <c r="E6" t="s">
        <v>175</v>
      </c>
      <c r="F6" t="s">
        <v>166</v>
      </c>
      <c r="G6" t="s">
        <v>79</v>
      </c>
    </row>
    <row r="7" spans="1:8" x14ac:dyDescent="0.25">
      <c r="A7" s="23" t="s">
        <v>90</v>
      </c>
      <c r="B7">
        <v>0</v>
      </c>
      <c r="C7">
        <v>2</v>
      </c>
      <c r="D7">
        <v>1</v>
      </c>
      <c r="E7" t="s">
        <v>175</v>
      </c>
      <c r="F7" s="51"/>
    </row>
    <row r="8" spans="1:8" x14ac:dyDescent="0.25">
      <c r="A8" s="23" t="s">
        <v>72</v>
      </c>
      <c r="B8">
        <v>1</v>
      </c>
      <c r="C8">
        <v>2</v>
      </c>
      <c r="D8">
        <v>2</v>
      </c>
      <c r="E8" t="s">
        <v>166</v>
      </c>
      <c r="F8" t="s">
        <v>162</v>
      </c>
      <c r="H8" t="s">
        <v>445</v>
      </c>
    </row>
    <row r="9" spans="1:8" x14ac:dyDescent="0.25">
      <c r="A9" s="23" t="s">
        <v>72</v>
      </c>
      <c r="B9">
        <v>1</v>
      </c>
      <c r="C9">
        <v>2</v>
      </c>
      <c r="D9">
        <v>2</v>
      </c>
      <c r="E9" t="s">
        <v>166</v>
      </c>
      <c r="F9" t="s">
        <v>166</v>
      </c>
      <c r="H9" t="s">
        <v>444</v>
      </c>
    </row>
    <row r="10" spans="1:8" x14ac:dyDescent="0.25">
      <c r="A10" s="23" t="s">
        <v>63</v>
      </c>
      <c r="B10">
        <v>1</v>
      </c>
      <c r="C10">
        <v>2</v>
      </c>
      <c r="D10">
        <v>2</v>
      </c>
      <c r="E10" t="s">
        <v>166</v>
      </c>
      <c r="F10" t="s">
        <v>162</v>
      </c>
      <c r="H10" t="s">
        <v>445</v>
      </c>
    </row>
    <row r="11" spans="1:8" x14ac:dyDescent="0.25">
      <c r="A11" s="23" t="s">
        <v>63</v>
      </c>
      <c r="B11">
        <v>1</v>
      </c>
      <c r="C11">
        <v>2</v>
      </c>
      <c r="D11">
        <v>2</v>
      </c>
      <c r="E11" t="s">
        <v>166</v>
      </c>
      <c r="F11" t="s">
        <v>166</v>
      </c>
      <c r="H11" t="s">
        <v>444</v>
      </c>
    </row>
    <row r="12" spans="1:8" x14ac:dyDescent="0.25">
      <c r="A12" s="23" t="s">
        <v>63</v>
      </c>
      <c r="B12">
        <v>1</v>
      </c>
      <c r="C12">
        <v>2</v>
      </c>
      <c r="D12">
        <v>2</v>
      </c>
      <c r="E12" t="s">
        <v>166</v>
      </c>
      <c r="F12" t="s">
        <v>180</v>
      </c>
      <c r="H12" t="s">
        <v>444</v>
      </c>
    </row>
    <row r="13" spans="1:8" x14ac:dyDescent="0.25">
      <c r="A13" s="23" t="s">
        <v>188</v>
      </c>
      <c r="B13">
        <v>1</v>
      </c>
      <c r="C13">
        <v>1</v>
      </c>
      <c r="D13">
        <v>1</v>
      </c>
      <c r="E13" t="s">
        <v>166</v>
      </c>
      <c r="F13" t="s">
        <v>166</v>
      </c>
    </row>
    <row r="14" spans="1:8" x14ac:dyDescent="0.25">
      <c r="A14" s="23" t="s">
        <v>192</v>
      </c>
      <c r="B14">
        <v>1</v>
      </c>
      <c r="C14">
        <v>1</v>
      </c>
      <c r="D14">
        <v>1</v>
      </c>
      <c r="E14" t="s">
        <v>166</v>
      </c>
      <c r="F14" t="s">
        <v>166</v>
      </c>
    </row>
    <row r="15" spans="1:8" x14ac:dyDescent="0.25">
      <c r="A15" s="23" t="s">
        <v>86</v>
      </c>
      <c r="B15">
        <v>1</v>
      </c>
      <c r="C15">
        <v>2</v>
      </c>
      <c r="D15">
        <v>2</v>
      </c>
      <c r="E15" t="s">
        <v>166</v>
      </c>
      <c r="F15" t="s">
        <v>166</v>
      </c>
    </row>
    <row r="16" spans="1:8" x14ac:dyDescent="0.25">
      <c r="A16" s="23" t="s">
        <v>78</v>
      </c>
      <c r="B16">
        <v>1</v>
      </c>
      <c r="C16">
        <v>2</v>
      </c>
      <c r="D16">
        <v>2</v>
      </c>
      <c r="E16" t="s">
        <v>166</v>
      </c>
      <c r="F16" t="s">
        <v>166</v>
      </c>
      <c r="G16" t="s">
        <v>79</v>
      </c>
    </row>
    <row r="17" spans="1:8" x14ac:dyDescent="0.25">
      <c r="A17" s="23" t="s">
        <v>78</v>
      </c>
      <c r="B17">
        <v>1</v>
      </c>
      <c r="C17">
        <v>2</v>
      </c>
      <c r="D17">
        <v>2</v>
      </c>
      <c r="E17" t="s">
        <v>162</v>
      </c>
      <c r="F17" t="s">
        <v>162</v>
      </c>
      <c r="G17" t="s">
        <v>79</v>
      </c>
    </row>
    <row r="18" spans="1:8" x14ac:dyDescent="0.25">
      <c r="A18" s="23" t="s">
        <v>78</v>
      </c>
      <c r="B18">
        <v>0</v>
      </c>
      <c r="C18">
        <v>2</v>
      </c>
      <c r="D18">
        <v>0</v>
      </c>
      <c r="E18" t="s">
        <v>3</v>
      </c>
      <c r="F18" t="s">
        <v>3</v>
      </c>
      <c r="G18" t="s">
        <v>73</v>
      </c>
      <c r="H18" t="s">
        <v>446</v>
      </c>
    </row>
    <row r="19" spans="1:8" x14ac:dyDescent="0.25">
      <c r="A19" s="23" t="s">
        <v>335</v>
      </c>
      <c r="B19">
        <v>1</v>
      </c>
      <c r="C19">
        <v>1</v>
      </c>
      <c r="D19">
        <v>1</v>
      </c>
      <c r="E19" t="s">
        <v>166</v>
      </c>
      <c r="F19" t="s">
        <v>166</v>
      </c>
      <c r="G19" t="s">
        <v>79</v>
      </c>
    </row>
    <row r="20" spans="1:8" x14ac:dyDescent="0.25">
      <c r="A20" s="23" t="s">
        <v>198</v>
      </c>
      <c r="B20">
        <v>1</v>
      </c>
      <c r="C20">
        <v>2</v>
      </c>
      <c r="D20">
        <v>2</v>
      </c>
      <c r="E20" t="s">
        <v>170</v>
      </c>
      <c r="F20" t="s">
        <v>170</v>
      </c>
      <c r="H20" t="s">
        <v>447</v>
      </c>
    </row>
    <row r="21" spans="1:8" x14ac:dyDescent="0.25">
      <c r="A21" s="23" t="s">
        <v>201</v>
      </c>
      <c r="B21">
        <v>1</v>
      </c>
      <c r="C21">
        <v>2</v>
      </c>
      <c r="D21">
        <v>2</v>
      </c>
      <c r="E21" t="s">
        <v>170</v>
      </c>
      <c r="F21" t="s">
        <v>170</v>
      </c>
      <c r="H21" t="s">
        <v>447</v>
      </c>
    </row>
    <row r="22" spans="1:8" x14ac:dyDescent="0.25">
      <c r="A22" s="23" t="s">
        <v>204</v>
      </c>
      <c r="B22">
        <v>1</v>
      </c>
      <c r="C22">
        <v>2</v>
      </c>
      <c r="D22">
        <v>2</v>
      </c>
      <c r="E22" t="s">
        <v>170</v>
      </c>
      <c r="F22" t="s">
        <v>170</v>
      </c>
      <c r="H22" t="s">
        <v>447</v>
      </c>
    </row>
    <row r="23" spans="1:8" x14ac:dyDescent="0.25">
      <c r="A23" s="23" t="s">
        <v>206</v>
      </c>
      <c r="B23">
        <v>1</v>
      </c>
      <c r="C23">
        <v>2</v>
      </c>
      <c r="D23">
        <v>2</v>
      </c>
      <c r="E23" t="s">
        <v>170</v>
      </c>
      <c r="F23" t="s">
        <v>170</v>
      </c>
      <c r="H23" t="s">
        <v>447</v>
      </c>
    </row>
    <row r="24" spans="1:8" x14ac:dyDescent="0.25">
      <c r="A24" s="23" t="s">
        <v>207</v>
      </c>
      <c r="B24">
        <v>1</v>
      </c>
      <c r="C24">
        <v>2</v>
      </c>
      <c r="D24">
        <v>2</v>
      </c>
      <c r="E24" t="s">
        <v>170</v>
      </c>
      <c r="F24" t="s">
        <v>170</v>
      </c>
      <c r="H24" t="s">
        <v>447</v>
      </c>
    </row>
    <row r="25" spans="1:8" x14ac:dyDescent="0.25">
      <c r="A25" s="23" t="s">
        <v>198</v>
      </c>
      <c r="B25">
        <v>1</v>
      </c>
      <c r="C25">
        <v>2</v>
      </c>
      <c r="D25">
        <v>2</v>
      </c>
      <c r="E25" t="s">
        <v>170</v>
      </c>
      <c r="F25" t="s">
        <v>170</v>
      </c>
      <c r="H25" t="s">
        <v>448</v>
      </c>
    </row>
    <row r="26" spans="1:8" x14ac:dyDescent="0.25">
      <c r="A26" s="23" t="s">
        <v>201</v>
      </c>
      <c r="B26">
        <v>1</v>
      </c>
      <c r="C26">
        <v>2</v>
      </c>
      <c r="D26">
        <v>2</v>
      </c>
      <c r="E26" t="s">
        <v>170</v>
      </c>
      <c r="F26" t="s">
        <v>170</v>
      </c>
      <c r="H26" t="s">
        <v>448</v>
      </c>
    </row>
    <row r="27" spans="1:8" x14ac:dyDescent="0.25">
      <c r="A27" s="23" t="s">
        <v>204</v>
      </c>
      <c r="B27">
        <v>1</v>
      </c>
      <c r="C27">
        <v>2</v>
      </c>
      <c r="D27">
        <v>2</v>
      </c>
      <c r="E27" t="s">
        <v>170</v>
      </c>
      <c r="F27" t="s">
        <v>170</v>
      </c>
      <c r="H27" t="s">
        <v>448</v>
      </c>
    </row>
    <row r="28" spans="1:8" x14ac:dyDescent="0.25">
      <c r="A28" s="23" t="s">
        <v>206</v>
      </c>
      <c r="B28">
        <v>1</v>
      </c>
      <c r="C28">
        <v>2</v>
      </c>
      <c r="D28">
        <v>2</v>
      </c>
      <c r="E28" t="s">
        <v>170</v>
      </c>
      <c r="F28" t="s">
        <v>170</v>
      </c>
      <c r="H28" t="s">
        <v>448</v>
      </c>
    </row>
    <row r="29" spans="1:8" x14ac:dyDescent="0.25">
      <c r="A29" s="23" t="s">
        <v>224</v>
      </c>
      <c r="B29">
        <v>1</v>
      </c>
      <c r="C29">
        <v>2</v>
      </c>
      <c r="D29">
        <v>2</v>
      </c>
      <c r="E29" t="s">
        <v>170</v>
      </c>
      <c r="F29" t="s">
        <v>170</v>
      </c>
      <c r="H29" t="s">
        <v>170</v>
      </c>
    </row>
    <row r="30" spans="1:8" x14ac:dyDescent="0.25">
      <c r="A30" s="23" t="s">
        <v>207</v>
      </c>
      <c r="B30">
        <v>1</v>
      </c>
      <c r="C30">
        <v>2</v>
      </c>
      <c r="D30">
        <v>2</v>
      </c>
      <c r="E30" t="s">
        <v>170</v>
      </c>
      <c r="F30" t="s">
        <v>170</v>
      </c>
      <c r="H30" t="s">
        <v>448</v>
      </c>
    </row>
    <row r="31" spans="1:8" x14ac:dyDescent="0.25">
      <c r="A31" s="23" t="s">
        <v>254</v>
      </c>
      <c r="B31">
        <v>1</v>
      </c>
      <c r="C31">
        <v>2</v>
      </c>
      <c r="D31">
        <v>2</v>
      </c>
      <c r="E31" t="s">
        <v>170</v>
      </c>
      <c r="F31" t="s">
        <v>170</v>
      </c>
    </row>
    <row r="32" spans="1:8" x14ac:dyDescent="0.25">
      <c r="A32" s="23" t="s">
        <v>121</v>
      </c>
      <c r="B32">
        <v>1</v>
      </c>
      <c r="C32">
        <v>2</v>
      </c>
      <c r="D32">
        <v>2</v>
      </c>
      <c r="E32" t="s">
        <v>166</v>
      </c>
      <c r="F32" t="s">
        <v>3</v>
      </c>
    </row>
    <row r="33" spans="1:8" x14ac:dyDescent="0.25">
      <c r="A33" s="23" t="s">
        <v>121</v>
      </c>
      <c r="B33">
        <v>0</v>
      </c>
      <c r="C33">
        <v>2</v>
      </c>
      <c r="D33">
        <v>0</v>
      </c>
      <c r="E33" t="s">
        <v>166</v>
      </c>
      <c r="F33" t="s">
        <v>3</v>
      </c>
      <c r="G33" t="s">
        <v>79</v>
      </c>
    </row>
    <row r="34" spans="1:8" ht="25.5" x14ac:dyDescent="0.25">
      <c r="A34" s="23" t="s">
        <v>117</v>
      </c>
      <c r="B34">
        <v>1</v>
      </c>
      <c r="C34">
        <v>2</v>
      </c>
      <c r="D34">
        <v>2</v>
      </c>
      <c r="E34" t="s">
        <v>166</v>
      </c>
      <c r="F34" s="51"/>
    </row>
    <row r="35" spans="1:8" x14ac:dyDescent="0.25">
      <c r="A35" s="23" t="s">
        <v>210</v>
      </c>
      <c r="B35">
        <v>1</v>
      </c>
      <c r="C35">
        <v>2</v>
      </c>
      <c r="D35">
        <v>2</v>
      </c>
      <c r="E35" t="s">
        <v>166</v>
      </c>
      <c r="F35" t="s">
        <v>166</v>
      </c>
    </row>
    <row r="36" spans="1:8" x14ac:dyDescent="0.25">
      <c r="A36" s="23" t="s">
        <v>115</v>
      </c>
      <c r="B36">
        <v>2</v>
      </c>
      <c r="C36">
        <v>2</v>
      </c>
      <c r="D36">
        <v>2</v>
      </c>
      <c r="E36" t="s">
        <v>166</v>
      </c>
      <c r="F36" t="s">
        <v>166</v>
      </c>
    </row>
    <row r="37" spans="1:8" x14ac:dyDescent="0.25">
      <c r="A37" s="23" t="s">
        <v>213</v>
      </c>
      <c r="B37">
        <v>1</v>
      </c>
      <c r="C37">
        <v>1</v>
      </c>
      <c r="D37">
        <v>2</v>
      </c>
      <c r="E37" t="s">
        <v>166</v>
      </c>
      <c r="F37" t="s">
        <v>166</v>
      </c>
    </row>
    <row r="38" spans="1:8" x14ac:dyDescent="0.25">
      <c r="A38" s="23" t="s">
        <v>215</v>
      </c>
      <c r="B38">
        <v>1</v>
      </c>
      <c r="C38">
        <v>2</v>
      </c>
      <c r="D38">
        <v>0</v>
      </c>
      <c r="E38" t="s">
        <v>166</v>
      </c>
      <c r="F38" t="s">
        <v>3</v>
      </c>
      <c r="G38" s="50"/>
    </row>
    <row r="39" spans="1:8" x14ac:dyDescent="0.25">
      <c r="A39" s="50" t="s">
        <v>107</v>
      </c>
      <c r="B39">
        <v>1</v>
      </c>
      <c r="C39">
        <v>1</v>
      </c>
      <c r="D39">
        <v>1</v>
      </c>
      <c r="E39" t="s">
        <v>166</v>
      </c>
      <c r="F39" t="s">
        <v>162</v>
      </c>
      <c r="G39" s="50" t="s">
        <v>108</v>
      </c>
    </row>
    <row r="40" spans="1:8" x14ac:dyDescent="0.25">
      <c r="A40" s="50" t="s">
        <v>107</v>
      </c>
      <c r="B40">
        <v>0</v>
      </c>
      <c r="C40">
        <v>1</v>
      </c>
      <c r="D40">
        <v>1</v>
      </c>
      <c r="E40" t="s">
        <v>162</v>
      </c>
      <c r="F40" t="s">
        <v>162</v>
      </c>
      <c r="G40" s="50" t="s">
        <v>108</v>
      </c>
    </row>
    <row r="41" spans="1:8" x14ac:dyDescent="0.25">
      <c r="A41" s="50" t="s">
        <v>107</v>
      </c>
      <c r="B41">
        <v>1</v>
      </c>
      <c r="C41">
        <v>1</v>
      </c>
      <c r="D41">
        <v>1</v>
      </c>
      <c r="E41" t="s">
        <v>166</v>
      </c>
      <c r="F41" t="s">
        <v>166</v>
      </c>
      <c r="G41" s="50" t="s">
        <v>108</v>
      </c>
    </row>
    <row r="42" spans="1:8" x14ac:dyDescent="0.25">
      <c r="A42" s="50" t="s">
        <v>107</v>
      </c>
      <c r="B42">
        <v>0</v>
      </c>
      <c r="C42">
        <v>1</v>
      </c>
      <c r="D42">
        <v>1</v>
      </c>
      <c r="E42" t="s">
        <v>166</v>
      </c>
      <c r="F42" t="s">
        <v>180</v>
      </c>
      <c r="G42" s="50" t="s">
        <v>108</v>
      </c>
    </row>
    <row r="43" spans="1:8" x14ac:dyDescent="0.25">
      <c r="A43" s="50" t="s">
        <v>107</v>
      </c>
      <c r="B43">
        <v>1</v>
      </c>
      <c r="C43">
        <v>2</v>
      </c>
      <c r="D43">
        <v>2</v>
      </c>
      <c r="E43" t="s">
        <v>166</v>
      </c>
      <c r="F43" t="s">
        <v>3</v>
      </c>
      <c r="G43" s="50" t="s">
        <v>109</v>
      </c>
    </row>
    <row r="44" spans="1:8" x14ac:dyDescent="0.25">
      <c r="A44" s="50" t="s">
        <v>107</v>
      </c>
      <c r="B44">
        <v>1</v>
      </c>
      <c r="C44">
        <v>2</v>
      </c>
      <c r="D44">
        <v>2</v>
      </c>
      <c r="E44" t="s">
        <v>166</v>
      </c>
      <c r="F44" t="s">
        <v>3</v>
      </c>
      <c r="G44" s="50" t="s">
        <v>189</v>
      </c>
    </row>
    <row r="45" spans="1:8" x14ac:dyDescent="0.25">
      <c r="A45" s="50" t="s">
        <v>107</v>
      </c>
      <c r="B45">
        <v>0</v>
      </c>
      <c r="C45">
        <v>2</v>
      </c>
      <c r="D45">
        <v>2</v>
      </c>
      <c r="E45" t="s">
        <v>166</v>
      </c>
      <c r="F45" t="s">
        <v>3</v>
      </c>
      <c r="G45" s="50" t="s">
        <v>105</v>
      </c>
      <c r="H45" t="s">
        <v>459</v>
      </c>
    </row>
    <row r="46" spans="1:8" x14ac:dyDescent="0.25">
      <c r="A46" t="s">
        <v>217</v>
      </c>
      <c r="B46">
        <v>0</v>
      </c>
      <c r="C46">
        <v>1</v>
      </c>
      <c r="D46">
        <v>2</v>
      </c>
      <c r="E46" t="s">
        <v>166</v>
      </c>
      <c r="F46" t="s">
        <v>166</v>
      </c>
      <c r="G46" s="50" t="s">
        <v>108</v>
      </c>
    </row>
    <row r="47" spans="1:8" x14ac:dyDescent="0.25">
      <c r="A47" s="50" t="s">
        <v>217</v>
      </c>
      <c r="B47">
        <v>0</v>
      </c>
      <c r="C47">
        <v>1</v>
      </c>
      <c r="D47">
        <v>1</v>
      </c>
      <c r="E47" t="s">
        <v>166</v>
      </c>
      <c r="F47" t="s">
        <v>162</v>
      </c>
      <c r="G47" s="50" t="s">
        <v>108</v>
      </c>
    </row>
    <row r="48" spans="1:8" x14ac:dyDescent="0.25">
      <c r="A48" s="50" t="s">
        <v>217</v>
      </c>
      <c r="B48">
        <v>0</v>
      </c>
      <c r="C48">
        <v>1</v>
      </c>
      <c r="D48">
        <v>1</v>
      </c>
      <c r="E48" t="s">
        <v>162</v>
      </c>
      <c r="F48" t="s">
        <v>162</v>
      </c>
      <c r="G48" s="50" t="s">
        <v>108</v>
      </c>
    </row>
    <row r="49" spans="1:8" x14ac:dyDescent="0.25">
      <c r="A49" s="50" t="s">
        <v>217</v>
      </c>
      <c r="B49">
        <v>0</v>
      </c>
      <c r="C49">
        <v>1</v>
      </c>
      <c r="D49">
        <v>1</v>
      </c>
      <c r="E49" t="s">
        <v>166</v>
      </c>
      <c r="F49" t="s">
        <v>180</v>
      </c>
      <c r="G49" s="50" t="s">
        <v>108</v>
      </c>
    </row>
    <row r="50" spans="1:8" x14ac:dyDescent="0.25">
      <c r="A50" s="50" t="s">
        <v>217</v>
      </c>
      <c r="B50">
        <v>0</v>
      </c>
      <c r="C50">
        <v>2</v>
      </c>
      <c r="D50">
        <v>2</v>
      </c>
      <c r="E50" t="s">
        <v>166</v>
      </c>
      <c r="F50" t="s">
        <v>3</v>
      </c>
      <c r="G50" s="50" t="s">
        <v>109</v>
      </c>
    </row>
    <row r="51" spans="1:8" x14ac:dyDescent="0.25">
      <c r="A51" s="50" t="s">
        <v>217</v>
      </c>
      <c r="B51">
        <v>0</v>
      </c>
      <c r="C51">
        <v>2</v>
      </c>
      <c r="D51">
        <v>2</v>
      </c>
      <c r="E51" t="s">
        <v>166</v>
      </c>
      <c r="F51" t="s">
        <v>3</v>
      </c>
      <c r="G51" s="50" t="s">
        <v>189</v>
      </c>
    </row>
    <row r="52" spans="1:8" x14ac:dyDescent="0.25">
      <c r="A52" s="50" t="s">
        <v>217</v>
      </c>
      <c r="B52">
        <v>0</v>
      </c>
      <c r="C52">
        <v>1</v>
      </c>
      <c r="D52">
        <v>1</v>
      </c>
      <c r="E52" t="s">
        <v>166</v>
      </c>
      <c r="F52" t="s">
        <v>3</v>
      </c>
      <c r="G52" s="50" t="s">
        <v>105</v>
      </c>
    </row>
    <row r="53" spans="1:8" x14ac:dyDescent="0.25">
      <c r="A53" s="23" t="s">
        <v>219</v>
      </c>
      <c r="B53">
        <v>0</v>
      </c>
      <c r="C53">
        <v>2</v>
      </c>
      <c r="D53">
        <v>2</v>
      </c>
      <c r="E53" t="s">
        <v>166</v>
      </c>
      <c r="F53" t="s">
        <v>162</v>
      </c>
      <c r="G53" s="50" t="s">
        <v>108</v>
      </c>
    </row>
    <row r="54" spans="1:8" x14ac:dyDescent="0.25">
      <c r="A54" s="23" t="s">
        <v>219</v>
      </c>
      <c r="B54">
        <v>0</v>
      </c>
      <c r="C54">
        <v>2</v>
      </c>
      <c r="D54">
        <v>2</v>
      </c>
      <c r="E54" t="s">
        <v>166</v>
      </c>
      <c r="F54" t="s">
        <v>3</v>
      </c>
      <c r="G54" s="50" t="s">
        <v>109</v>
      </c>
    </row>
    <row r="55" spans="1:8" x14ac:dyDescent="0.25">
      <c r="A55" s="23" t="s">
        <v>219</v>
      </c>
      <c r="B55">
        <v>0</v>
      </c>
      <c r="C55">
        <v>2</v>
      </c>
      <c r="D55">
        <v>2</v>
      </c>
      <c r="E55" t="s">
        <v>166</v>
      </c>
      <c r="F55" t="s">
        <v>3</v>
      </c>
      <c r="G55" s="50" t="s">
        <v>189</v>
      </c>
    </row>
    <row r="56" spans="1:8" x14ac:dyDescent="0.25">
      <c r="A56" s="23" t="s">
        <v>219</v>
      </c>
      <c r="B56">
        <v>0</v>
      </c>
      <c r="C56">
        <v>2</v>
      </c>
      <c r="D56">
        <v>2</v>
      </c>
      <c r="E56" t="s">
        <v>166</v>
      </c>
      <c r="F56" t="s">
        <v>3</v>
      </c>
      <c r="G56" s="50" t="s">
        <v>105</v>
      </c>
      <c r="H56" t="s">
        <v>459</v>
      </c>
    </row>
    <row r="57" spans="1:8" x14ac:dyDescent="0.25">
      <c r="A57" s="23" t="s">
        <v>221</v>
      </c>
      <c r="B57">
        <v>0</v>
      </c>
      <c r="C57">
        <v>0</v>
      </c>
      <c r="D57">
        <v>0</v>
      </c>
    </row>
    <row r="58" spans="1:8" x14ac:dyDescent="0.25">
      <c r="A58" s="23" t="s">
        <v>222</v>
      </c>
      <c r="B58">
        <v>3</v>
      </c>
      <c r="C58">
        <v>2</v>
      </c>
      <c r="D58">
        <v>2</v>
      </c>
      <c r="E58" t="s">
        <v>180</v>
      </c>
      <c r="F58" s="51"/>
    </row>
    <row r="59" spans="1:8" x14ac:dyDescent="0.25">
      <c r="A59" s="52" t="s">
        <v>224</v>
      </c>
      <c r="B59">
        <v>1</v>
      </c>
      <c r="C59">
        <v>2</v>
      </c>
      <c r="D59">
        <v>2</v>
      </c>
      <c r="E59" t="s">
        <v>166</v>
      </c>
      <c r="F59" s="51"/>
    </row>
    <row r="60" spans="1:8" x14ac:dyDescent="0.25">
      <c r="A60" s="52" t="s">
        <v>224</v>
      </c>
      <c r="B60">
        <v>1</v>
      </c>
      <c r="C60">
        <v>2</v>
      </c>
      <c r="D60">
        <v>2</v>
      </c>
      <c r="E60" t="s">
        <v>162</v>
      </c>
      <c r="F60" s="51"/>
    </row>
    <row r="61" spans="1:8" x14ac:dyDescent="0.25">
      <c r="A61" s="23" t="s">
        <v>224</v>
      </c>
      <c r="B61">
        <v>1</v>
      </c>
      <c r="C61">
        <v>1</v>
      </c>
      <c r="D61">
        <v>1</v>
      </c>
      <c r="E61" t="s">
        <v>180</v>
      </c>
      <c r="F61" s="51"/>
    </row>
    <row r="62" spans="1:8" x14ac:dyDescent="0.25">
      <c r="A62" s="52" t="s">
        <v>226</v>
      </c>
      <c r="B62">
        <v>1</v>
      </c>
      <c r="C62">
        <v>2</v>
      </c>
      <c r="D62">
        <v>2</v>
      </c>
      <c r="E62" t="s">
        <v>166</v>
      </c>
      <c r="F62" t="s">
        <v>162</v>
      </c>
      <c r="G62" t="s">
        <v>73</v>
      </c>
    </row>
    <row r="63" spans="1:8" x14ac:dyDescent="0.25">
      <c r="A63" s="23" t="s">
        <v>226</v>
      </c>
      <c r="B63">
        <v>1</v>
      </c>
      <c r="C63">
        <v>2</v>
      </c>
      <c r="D63">
        <v>2</v>
      </c>
      <c r="E63" t="s">
        <v>166</v>
      </c>
      <c r="F63" t="s">
        <v>162</v>
      </c>
      <c r="G63" t="s">
        <v>65</v>
      </c>
    </row>
    <row r="64" spans="1:8" x14ac:dyDescent="0.25">
      <c r="A64" s="52" t="s">
        <v>228</v>
      </c>
      <c r="B64">
        <v>1</v>
      </c>
      <c r="C64">
        <v>2</v>
      </c>
      <c r="D64">
        <v>2</v>
      </c>
      <c r="E64" t="s">
        <v>166</v>
      </c>
      <c r="F64" s="51"/>
    </row>
    <row r="65" spans="1:7" x14ac:dyDescent="0.25">
      <c r="A65" s="52" t="s">
        <v>228</v>
      </c>
      <c r="B65">
        <v>1</v>
      </c>
      <c r="C65">
        <v>2</v>
      </c>
      <c r="D65">
        <v>2</v>
      </c>
      <c r="E65" t="s">
        <v>162</v>
      </c>
      <c r="F65" s="51"/>
    </row>
    <row r="66" spans="1:7" x14ac:dyDescent="0.25">
      <c r="A66" s="23" t="s">
        <v>228</v>
      </c>
      <c r="B66">
        <v>1</v>
      </c>
      <c r="C66">
        <v>1</v>
      </c>
      <c r="D66">
        <v>1</v>
      </c>
      <c r="E66" t="s">
        <v>180</v>
      </c>
      <c r="F66" s="51"/>
    </row>
    <row r="67" spans="1:7" x14ac:dyDescent="0.25">
      <c r="A67" s="23" t="s">
        <v>230</v>
      </c>
      <c r="B67">
        <v>1</v>
      </c>
      <c r="C67">
        <v>0</v>
      </c>
      <c r="D67">
        <v>0</v>
      </c>
      <c r="E67" t="s">
        <v>166</v>
      </c>
      <c r="F67" s="51"/>
    </row>
    <row r="68" spans="1:7" x14ac:dyDescent="0.25">
      <c r="A68" s="52" t="s">
        <v>232</v>
      </c>
      <c r="B68">
        <v>1</v>
      </c>
      <c r="C68">
        <v>2</v>
      </c>
      <c r="D68">
        <v>2</v>
      </c>
      <c r="E68" t="s">
        <v>166</v>
      </c>
      <c r="F68" s="51"/>
    </row>
    <row r="69" spans="1:7" x14ac:dyDescent="0.25">
      <c r="A69" s="52" t="s">
        <v>232</v>
      </c>
      <c r="B69">
        <v>1</v>
      </c>
      <c r="C69">
        <v>2</v>
      </c>
      <c r="D69">
        <v>2</v>
      </c>
      <c r="E69" t="s">
        <v>162</v>
      </c>
      <c r="F69" s="51"/>
    </row>
    <row r="70" spans="1:7" x14ac:dyDescent="0.25">
      <c r="A70" s="23" t="s">
        <v>232</v>
      </c>
      <c r="B70">
        <v>1</v>
      </c>
      <c r="C70">
        <v>1</v>
      </c>
      <c r="D70">
        <v>1</v>
      </c>
      <c r="E70" t="s">
        <v>180</v>
      </c>
      <c r="F70" s="51"/>
    </row>
    <row r="71" spans="1:7" x14ac:dyDescent="0.25">
      <c r="A71" s="23" t="s">
        <v>234</v>
      </c>
      <c r="B71">
        <v>1</v>
      </c>
      <c r="C71">
        <v>2</v>
      </c>
      <c r="D71">
        <v>2</v>
      </c>
      <c r="E71" t="s">
        <v>166</v>
      </c>
      <c r="F71" s="51"/>
      <c r="G71" t="s">
        <v>343</v>
      </c>
    </row>
    <row r="72" spans="1:7" x14ac:dyDescent="0.25">
      <c r="A72" s="23" t="s">
        <v>235</v>
      </c>
      <c r="B72">
        <v>1</v>
      </c>
      <c r="C72">
        <v>2</v>
      </c>
      <c r="D72">
        <v>2</v>
      </c>
      <c r="E72" t="s">
        <v>166</v>
      </c>
      <c r="F72" s="51"/>
      <c r="G72" t="s">
        <v>343</v>
      </c>
    </row>
    <row r="73" spans="1:7" x14ac:dyDescent="0.25">
      <c r="A73" s="52" t="s">
        <v>234</v>
      </c>
      <c r="B73">
        <v>1</v>
      </c>
      <c r="C73">
        <v>2</v>
      </c>
      <c r="D73">
        <v>2</v>
      </c>
      <c r="E73" t="s">
        <v>166</v>
      </c>
      <c r="F73" s="51"/>
      <c r="G73" t="s">
        <v>345</v>
      </c>
    </row>
    <row r="74" spans="1:7" x14ac:dyDescent="0.25">
      <c r="A74" s="52" t="s">
        <v>235</v>
      </c>
      <c r="B74">
        <v>1</v>
      </c>
      <c r="C74">
        <v>2</v>
      </c>
      <c r="D74">
        <v>2</v>
      </c>
      <c r="E74" t="s">
        <v>166</v>
      </c>
      <c r="F74" s="51"/>
      <c r="G74" t="s">
        <v>345</v>
      </c>
    </row>
    <row r="75" spans="1:7" x14ac:dyDescent="0.25">
      <c r="A75" s="52" t="s">
        <v>234</v>
      </c>
      <c r="B75">
        <v>1</v>
      </c>
      <c r="C75">
        <v>1</v>
      </c>
      <c r="D75">
        <v>1</v>
      </c>
      <c r="E75" t="s">
        <v>3</v>
      </c>
      <c r="F75" s="51"/>
      <c r="G75" t="s">
        <v>200</v>
      </c>
    </row>
    <row r="76" spans="1:7" x14ac:dyDescent="0.25">
      <c r="A76" s="52" t="s">
        <v>235</v>
      </c>
      <c r="B76">
        <v>1</v>
      </c>
      <c r="C76">
        <v>1</v>
      </c>
      <c r="D76">
        <v>1</v>
      </c>
      <c r="E76" t="s">
        <v>3</v>
      </c>
      <c r="F76" s="51"/>
      <c r="G76" t="s">
        <v>200</v>
      </c>
    </row>
    <row r="77" spans="1:7" x14ac:dyDescent="0.25">
      <c r="A77" s="52" t="s">
        <v>228</v>
      </c>
      <c r="B77">
        <v>1</v>
      </c>
      <c r="C77">
        <v>1</v>
      </c>
      <c r="D77">
        <v>1</v>
      </c>
      <c r="E77" t="s">
        <v>3</v>
      </c>
      <c r="F77" s="51"/>
      <c r="G77" t="s">
        <v>200</v>
      </c>
    </row>
    <row r="78" spans="1:7" x14ac:dyDescent="0.25">
      <c r="A78" s="52" t="s">
        <v>234</v>
      </c>
      <c r="B78">
        <v>1</v>
      </c>
      <c r="C78">
        <v>1</v>
      </c>
      <c r="D78">
        <v>1</v>
      </c>
      <c r="E78" t="s">
        <v>166</v>
      </c>
      <c r="F78" s="51"/>
      <c r="G78" t="s">
        <v>203</v>
      </c>
    </row>
    <row r="79" spans="1:7" x14ac:dyDescent="0.25">
      <c r="A79" s="52" t="s">
        <v>235</v>
      </c>
      <c r="B79">
        <v>1</v>
      </c>
      <c r="C79">
        <v>1</v>
      </c>
      <c r="D79">
        <v>1</v>
      </c>
      <c r="E79" t="s">
        <v>166</v>
      </c>
      <c r="F79" s="51"/>
      <c r="G79" t="s">
        <v>203</v>
      </c>
    </row>
    <row r="80" spans="1:7" x14ac:dyDescent="0.25">
      <c r="A80" s="52" t="s">
        <v>228</v>
      </c>
      <c r="B80">
        <v>1</v>
      </c>
      <c r="C80">
        <v>1</v>
      </c>
      <c r="D80">
        <v>1</v>
      </c>
      <c r="E80" t="s">
        <v>3</v>
      </c>
      <c r="F80" s="51"/>
      <c r="G80" t="s">
        <v>203</v>
      </c>
    </row>
    <row r="81" spans="1:8" x14ac:dyDescent="0.25">
      <c r="A81" s="23" t="s">
        <v>234</v>
      </c>
      <c r="B81">
        <v>1</v>
      </c>
      <c r="C81">
        <v>2</v>
      </c>
      <c r="D81">
        <v>2</v>
      </c>
      <c r="E81" t="s">
        <v>166</v>
      </c>
      <c r="F81" s="51"/>
      <c r="G81" t="s">
        <v>205</v>
      </c>
    </row>
    <row r="82" spans="1:8" x14ac:dyDescent="0.25">
      <c r="A82" s="23" t="s">
        <v>235</v>
      </c>
      <c r="B82">
        <v>1</v>
      </c>
      <c r="C82">
        <v>2</v>
      </c>
      <c r="D82">
        <v>2</v>
      </c>
      <c r="E82" t="s">
        <v>166</v>
      </c>
      <c r="F82" s="51"/>
      <c r="G82" t="s">
        <v>205</v>
      </c>
    </row>
    <row r="83" spans="1:8" x14ac:dyDescent="0.25">
      <c r="A83" s="23" t="s">
        <v>236</v>
      </c>
      <c r="B83">
        <v>1</v>
      </c>
      <c r="C83">
        <v>2</v>
      </c>
      <c r="D83">
        <v>2</v>
      </c>
      <c r="E83" t="s">
        <v>166</v>
      </c>
      <c r="F83" t="s">
        <v>3</v>
      </c>
    </row>
    <row r="84" spans="1:8" x14ac:dyDescent="0.25">
      <c r="A84" t="s">
        <v>238</v>
      </c>
      <c r="B84">
        <v>0</v>
      </c>
      <c r="C84">
        <v>1</v>
      </c>
      <c r="D84">
        <v>2</v>
      </c>
      <c r="E84" t="s">
        <v>166</v>
      </c>
      <c r="F84" t="s">
        <v>166</v>
      </c>
      <c r="G84" s="50" t="s">
        <v>108</v>
      </c>
    </row>
    <row r="85" spans="1:8" x14ac:dyDescent="0.25">
      <c r="A85" t="s">
        <v>238</v>
      </c>
      <c r="B85">
        <v>0</v>
      </c>
      <c r="C85">
        <v>1</v>
      </c>
      <c r="D85">
        <v>1</v>
      </c>
      <c r="E85" t="s">
        <v>166</v>
      </c>
      <c r="F85" t="s">
        <v>162</v>
      </c>
      <c r="G85" s="50" t="s">
        <v>108</v>
      </c>
    </row>
    <row r="86" spans="1:8" x14ac:dyDescent="0.25">
      <c r="A86" t="s">
        <v>238</v>
      </c>
      <c r="B86">
        <v>0</v>
      </c>
      <c r="C86">
        <v>1</v>
      </c>
      <c r="D86">
        <v>1</v>
      </c>
      <c r="E86" t="s">
        <v>162</v>
      </c>
      <c r="F86" t="s">
        <v>162</v>
      </c>
      <c r="G86" s="50" t="s">
        <v>108</v>
      </c>
    </row>
    <row r="87" spans="1:8" x14ac:dyDescent="0.25">
      <c r="A87" t="s">
        <v>238</v>
      </c>
      <c r="B87">
        <v>0</v>
      </c>
      <c r="C87">
        <v>1</v>
      </c>
      <c r="D87">
        <v>1</v>
      </c>
      <c r="E87" t="s">
        <v>166</v>
      </c>
      <c r="F87" t="s">
        <v>180</v>
      </c>
      <c r="G87" s="50" t="s">
        <v>108</v>
      </c>
    </row>
    <row r="88" spans="1:8" x14ac:dyDescent="0.25">
      <c r="A88" t="s">
        <v>238</v>
      </c>
      <c r="B88">
        <v>0</v>
      </c>
      <c r="C88">
        <v>2</v>
      </c>
      <c r="D88">
        <v>2</v>
      </c>
      <c r="E88" t="s">
        <v>166</v>
      </c>
      <c r="F88" t="s">
        <v>3</v>
      </c>
      <c r="G88" s="50" t="s">
        <v>109</v>
      </c>
    </row>
    <row r="89" spans="1:8" x14ac:dyDescent="0.25">
      <c r="A89" t="s">
        <v>238</v>
      </c>
      <c r="B89">
        <v>0</v>
      </c>
      <c r="C89">
        <v>2</v>
      </c>
      <c r="D89">
        <v>2</v>
      </c>
      <c r="E89" t="s">
        <v>166</v>
      </c>
      <c r="F89" t="s">
        <v>3</v>
      </c>
      <c r="G89" s="50" t="s">
        <v>189</v>
      </c>
    </row>
    <row r="90" spans="1:8" x14ac:dyDescent="0.25">
      <c r="A90" s="23" t="s">
        <v>242</v>
      </c>
      <c r="B90">
        <v>0</v>
      </c>
      <c r="C90">
        <v>2</v>
      </c>
      <c r="D90">
        <v>2</v>
      </c>
      <c r="E90" t="s">
        <v>166</v>
      </c>
      <c r="F90" t="s">
        <v>3</v>
      </c>
    </row>
    <row r="91" spans="1:8" x14ac:dyDescent="0.25">
      <c r="A91" s="23" t="s">
        <v>244</v>
      </c>
      <c r="B91">
        <v>0</v>
      </c>
      <c r="C91">
        <v>2</v>
      </c>
      <c r="D91">
        <v>2</v>
      </c>
      <c r="E91" t="s">
        <v>166</v>
      </c>
      <c r="F91" t="s">
        <v>3</v>
      </c>
    </row>
    <row r="92" spans="1:8" x14ac:dyDescent="0.25">
      <c r="A92" s="23" t="s">
        <v>246</v>
      </c>
      <c r="B92">
        <v>0</v>
      </c>
      <c r="C92">
        <v>2</v>
      </c>
      <c r="D92">
        <v>2</v>
      </c>
      <c r="E92" t="s">
        <v>175</v>
      </c>
      <c r="F92" s="51"/>
    </row>
    <row r="93" spans="1:8" x14ac:dyDescent="0.25">
      <c r="A93" s="23" t="s">
        <v>248</v>
      </c>
      <c r="B93">
        <v>0</v>
      </c>
      <c r="C93">
        <v>2</v>
      </c>
      <c r="D93">
        <v>2</v>
      </c>
      <c r="E93" t="s">
        <v>166</v>
      </c>
      <c r="F93" t="s">
        <v>166</v>
      </c>
    </row>
    <row r="94" spans="1:8" x14ac:dyDescent="0.25">
      <c r="A94" s="23" t="s">
        <v>250</v>
      </c>
      <c r="B94">
        <v>1</v>
      </c>
      <c r="C94">
        <v>2</v>
      </c>
      <c r="D94">
        <v>2</v>
      </c>
      <c r="F94" s="51"/>
    </row>
    <row r="95" spans="1:8" x14ac:dyDescent="0.25">
      <c r="A95" s="23" t="s">
        <v>252</v>
      </c>
      <c r="B95">
        <v>1</v>
      </c>
      <c r="C95">
        <v>2</v>
      </c>
      <c r="D95">
        <v>2</v>
      </c>
      <c r="H95" t="s">
        <v>457</v>
      </c>
    </row>
    <row r="96" spans="1:8" x14ac:dyDescent="0.25">
      <c r="A96" s="23" t="s">
        <v>252</v>
      </c>
      <c r="B96">
        <v>1</v>
      </c>
      <c r="C96">
        <v>2</v>
      </c>
      <c r="D96">
        <v>2</v>
      </c>
      <c r="H96" t="s">
        <v>456</v>
      </c>
    </row>
    <row r="97" spans="1:8" x14ac:dyDescent="0.25">
      <c r="A97" s="23" t="s">
        <v>254</v>
      </c>
      <c r="B97">
        <v>1</v>
      </c>
      <c r="C97">
        <v>2</v>
      </c>
      <c r="D97">
        <v>2</v>
      </c>
      <c r="E97" t="s">
        <v>166</v>
      </c>
      <c r="F97" t="s">
        <v>166</v>
      </c>
    </row>
    <row r="98" spans="1:8" x14ac:dyDescent="0.25">
      <c r="A98" s="23" t="s">
        <v>256</v>
      </c>
      <c r="B98">
        <v>10</v>
      </c>
      <c r="C98">
        <v>10</v>
      </c>
      <c r="D98">
        <v>2</v>
      </c>
      <c r="E98" t="s">
        <v>166</v>
      </c>
      <c r="F98" s="51"/>
    </row>
    <row r="99" spans="1:8" x14ac:dyDescent="0.25">
      <c r="A99" s="23" t="s">
        <v>258</v>
      </c>
      <c r="B99">
        <v>1</v>
      </c>
      <c r="C99">
        <v>2</v>
      </c>
      <c r="D99">
        <v>2</v>
      </c>
      <c r="E99" t="s">
        <v>166</v>
      </c>
      <c r="F99" s="51"/>
      <c r="H99" t="s">
        <v>458</v>
      </c>
    </row>
    <row r="100" spans="1:8" x14ac:dyDescent="0.25">
      <c r="A100" s="28" t="s">
        <v>335</v>
      </c>
      <c r="B100">
        <v>0</v>
      </c>
      <c r="C100">
        <v>1</v>
      </c>
      <c r="D100">
        <v>1</v>
      </c>
      <c r="E100" t="s">
        <v>166</v>
      </c>
      <c r="F100" t="s">
        <v>166</v>
      </c>
    </row>
    <row r="101" spans="1:8" x14ac:dyDescent="0.25">
      <c r="A101" s="33" t="s">
        <v>366</v>
      </c>
      <c r="B101">
        <v>1</v>
      </c>
      <c r="C101">
        <v>1</v>
      </c>
      <c r="D101">
        <v>1</v>
      </c>
      <c r="E101" t="s">
        <v>166</v>
      </c>
      <c r="F101" t="s">
        <v>166</v>
      </c>
    </row>
    <row r="102" spans="1:8" x14ac:dyDescent="0.25">
      <c r="A102" s="28" t="s">
        <v>398</v>
      </c>
      <c r="B102">
        <v>1</v>
      </c>
      <c r="C102">
        <v>2</v>
      </c>
      <c r="D102">
        <v>2</v>
      </c>
      <c r="E102" t="s">
        <v>166</v>
      </c>
      <c r="F102" t="s">
        <v>166</v>
      </c>
    </row>
    <row r="103" spans="1:8" x14ac:dyDescent="0.25">
      <c r="A103" s="28" t="s">
        <v>409</v>
      </c>
      <c r="B103">
        <v>0</v>
      </c>
      <c r="C103">
        <v>1</v>
      </c>
      <c r="D103">
        <v>1</v>
      </c>
      <c r="E103" t="s">
        <v>166</v>
      </c>
      <c r="F103" t="s">
        <v>3</v>
      </c>
    </row>
  </sheetData>
  <phoneticPr fontId="24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51115A88-7F35-4358-8336-9152CE9CFD32}">
          <x14:formula1>
            <xm:f>הגדרות!$H$3:$H$70</xm:f>
          </x14:formula1>
          <xm:sqref>A2:A151</xm:sqref>
        </x14:dataValidation>
        <x14:dataValidation type="list" allowBlank="1" showInputMessage="1" showErrorMessage="1" xr:uid="{87CCE622-0EFA-400D-8059-8AB349C4C867}">
          <x14:formula1>
            <xm:f>הגדרות!$F$2:$F$8</xm:f>
          </x14:formula1>
          <xm:sqref>E2:F103</xm:sqref>
        </x14:dataValidation>
        <x14:dataValidation type="list" allowBlank="1" showInputMessage="1" showErrorMessage="1" xr:uid="{B5951700-084C-4D16-B3C6-603A7FDBF178}">
          <x14:formula1>
            <xm:f>הגדרות!$L$2:$L$19</xm:f>
          </x14:formula1>
          <xm:sqref>G2:G150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8</vt:i4>
      </vt:variant>
    </vt:vector>
  </HeadingPairs>
  <TitlesOfParts>
    <vt:vector size="8" baseType="lpstr">
      <vt:lpstr>לוח בקרה</vt:lpstr>
      <vt:lpstr>מלאי</vt:lpstr>
      <vt:lpstr>השאלות</vt:lpstr>
      <vt:lpstr>תכולה</vt:lpstr>
      <vt:lpstr>לוח בקרה טכנו-מבצעי</vt:lpstr>
      <vt:lpstr>ערכים טכנולוגיים</vt:lpstr>
      <vt:lpstr>הגדרות</vt:lpstr>
      <vt:lpstr>מלאי רצוי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Yotam Efron</cp:lastModifiedBy>
  <cp:revision>0</cp:revision>
  <dcterms:created xsi:type="dcterms:W3CDTF">2026-03-15T13:31:15Z</dcterms:created>
  <dcterms:modified xsi:type="dcterms:W3CDTF">2026-03-29T10:47:01Z</dcterms:modified>
  <dc:language>en-US</dc:language>
</cp:coreProperties>
</file>
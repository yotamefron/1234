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metrineisrael-my.sharepoint.com/personal/idan_g_ametrine-tech_com/Documents/קבצים מצורפים/צוות מסחרי/עבודה שוטפת/"/>
    </mc:Choice>
  </mc:AlternateContent>
  <xr:revisionPtr revIDLastSave="3" documentId="8_{8543C5B7-7075-4F00-9AC2-F91FB2BEB492}" xr6:coauthVersionLast="47" xr6:coauthVersionMax="47" xr10:uidLastSave="{35C76AE4-B5BE-409F-9018-14C63CA3DE75}"/>
  <bookViews>
    <workbookView xWindow="-110" yWindow="-110" windowWidth="19420" windowHeight="10300" tabRatio="500" activeTab="5" xr2:uid="{00000000-000D-0000-FFFF-FFFF00000000}"/>
  </bookViews>
  <sheets>
    <sheet name="מלאי" sheetId="3" r:id="rId1"/>
    <sheet name="השאלות" sheetId="4" r:id="rId2"/>
    <sheet name="תכולה" sheetId="5" state="hidden" r:id="rId3"/>
    <sheet name="ערכים טכנולוגיים" sheetId="7" r:id="rId4"/>
    <sheet name="הגדרות" sheetId="8" r:id="rId5"/>
    <sheet name="מלאי רצוי" sheetId="9" r:id="rId6"/>
  </sheets>
  <externalReferences>
    <externalReference r:id="rId7"/>
  </externalReferences>
  <definedNames>
    <definedName name="_xlnm._FilterDatabase" localSheetId="1" hidden="1">השאלות!$A$4:$M$54</definedName>
    <definedName name="_xlnm._FilterDatabase" localSheetId="0" hidden="1">מלאי!$A$2:$AG$354</definedName>
    <definedName name="_xlnm._FilterDatabase" localSheetId="3" hidden="1">'ערכים טכנולוגיים'!$B$1:$B$354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20" i="3" l="1"/>
  <c r="AB220" i="3"/>
  <c r="AA220" i="3"/>
  <c r="Z220" i="3"/>
  <c r="E220" i="3"/>
  <c r="E219" i="3"/>
  <c r="AC218" i="3"/>
  <c r="AB218" i="3"/>
  <c r="AA218" i="3"/>
  <c r="Z218" i="3"/>
  <c r="E218" i="3"/>
  <c r="AC217" i="3"/>
  <c r="AB217" i="3"/>
  <c r="AA217" i="3"/>
  <c r="Z217" i="3"/>
  <c r="AE217" i="3" s="1"/>
  <c r="AG217" i="3" s="1"/>
  <c r="E217" i="3"/>
  <c r="AC216" i="3"/>
  <c r="AB216" i="3"/>
  <c r="AA216" i="3"/>
  <c r="Z216" i="3"/>
  <c r="AE216" i="3" s="1"/>
  <c r="AG216" i="3" s="1"/>
  <c r="E216" i="3"/>
  <c r="AC215" i="3"/>
  <c r="AB215" i="3"/>
  <c r="AA215" i="3"/>
  <c r="Z215" i="3"/>
  <c r="AE215" i="3" s="1"/>
  <c r="AG215" i="3" s="1"/>
  <c r="E215" i="3"/>
  <c r="AC214" i="3"/>
  <c r="AB214" i="3"/>
  <c r="AA214" i="3"/>
  <c r="Z214" i="3"/>
  <c r="E214" i="3"/>
  <c r="AC213" i="3"/>
  <c r="AB213" i="3"/>
  <c r="AA213" i="3"/>
  <c r="Z213" i="3"/>
  <c r="E213" i="3"/>
  <c r="AC212" i="3"/>
  <c r="AB212" i="3"/>
  <c r="AA212" i="3"/>
  <c r="Z212" i="3"/>
  <c r="E212" i="3"/>
  <c r="AC210" i="3"/>
  <c r="AB210" i="3"/>
  <c r="AA210" i="3"/>
  <c r="Z210" i="3"/>
  <c r="E210" i="3"/>
  <c r="AE218" i="3" l="1"/>
  <c r="AG218" i="3" s="1"/>
  <c r="AD214" i="3"/>
  <c r="AF214" i="3" s="1"/>
  <c r="AE213" i="3"/>
  <c r="AG213" i="3" s="1"/>
  <c r="AD217" i="3"/>
  <c r="AF217" i="3" s="1"/>
  <c r="AD212" i="3"/>
  <c r="AF212" i="3" s="1"/>
  <c r="AE212" i="3"/>
  <c r="AG212" i="3" s="1"/>
  <c r="AD218" i="3"/>
  <c r="AF218" i="3" s="1"/>
  <c r="AD216" i="3"/>
  <c r="AF216" i="3" s="1"/>
  <c r="AD215" i="3"/>
  <c r="AF215" i="3" s="1"/>
  <c r="AE214" i="3"/>
  <c r="AG214" i="3" s="1"/>
  <c r="AD213" i="3"/>
  <c r="AF213" i="3" s="1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8" i="4"/>
  <c r="A7" i="4"/>
  <c r="A6" i="4"/>
  <c r="AD206" i="3"/>
  <c r="AE206" i="3"/>
  <c r="Z204" i="3"/>
  <c r="AA204" i="3"/>
  <c r="D204" i="7"/>
  <c r="AC182" i="3"/>
  <c r="AB182" i="3"/>
  <c r="AA182" i="3"/>
  <c r="Z182" i="3"/>
  <c r="E182" i="3"/>
  <c r="AC140" i="3"/>
  <c r="AB140" i="3"/>
  <c r="AA140" i="3"/>
  <c r="Z140" i="3"/>
  <c r="E140" i="3"/>
  <c r="AC34" i="3"/>
  <c r="AB34" i="3"/>
  <c r="AA34" i="3"/>
  <c r="Z34" i="3"/>
  <c r="E34" i="3"/>
  <c r="AC100" i="3"/>
  <c r="AB100" i="3"/>
  <c r="AA100" i="3"/>
  <c r="Z100" i="3"/>
  <c r="E100" i="3"/>
  <c r="AC58" i="3"/>
  <c r="AB58" i="3"/>
  <c r="AA58" i="3"/>
  <c r="Z58" i="3"/>
  <c r="E58" i="3"/>
  <c r="AC57" i="3"/>
  <c r="AB57" i="3"/>
  <c r="AA57" i="3"/>
  <c r="Z57" i="3"/>
  <c r="E57" i="3"/>
  <c r="AC30" i="3"/>
  <c r="AB30" i="3"/>
  <c r="AA30" i="3"/>
  <c r="Z30" i="3"/>
  <c r="E30" i="3"/>
  <c r="AC29" i="3"/>
  <c r="AB29" i="3"/>
  <c r="AA29" i="3"/>
  <c r="Z29" i="3"/>
  <c r="E29" i="3"/>
  <c r="AC28" i="3"/>
  <c r="AB28" i="3"/>
  <c r="AA28" i="3"/>
  <c r="Z28" i="3"/>
  <c r="E28" i="3"/>
  <c r="AC33" i="3"/>
  <c r="AB33" i="3"/>
  <c r="AA33" i="3"/>
  <c r="Z33" i="3"/>
  <c r="E33" i="3"/>
  <c r="AC181" i="3"/>
  <c r="AB181" i="3"/>
  <c r="AA181" i="3"/>
  <c r="Z181" i="3"/>
  <c r="E181" i="3"/>
  <c r="AC180" i="3"/>
  <c r="AB180" i="3"/>
  <c r="AA180" i="3"/>
  <c r="Z180" i="3"/>
  <c r="E180" i="3"/>
  <c r="AC179" i="3"/>
  <c r="AB179" i="3"/>
  <c r="AA179" i="3"/>
  <c r="Z179" i="3"/>
  <c r="E179" i="3"/>
  <c r="AC178" i="3"/>
  <c r="AB178" i="3"/>
  <c r="AA178" i="3"/>
  <c r="Z178" i="3"/>
  <c r="E178" i="3"/>
  <c r="AC177" i="3"/>
  <c r="AB177" i="3"/>
  <c r="AA177" i="3"/>
  <c r="Z177" i="3"/>
  <c r="E177" i="3"/>
  <c r="AC176" i="3"/>
  <c r="AB176" i="3"/>
  <c r="AA176" i="3"/>
  <c r="Z176" i="3"/>
  <c r="E176" i="3"/>
  <c r="AC56" i="3"/>
  <c r="AB56" i="3"/>
  <c r="AA56" i="3"/>
  <c r="Z56" i="3"/>
  <c r="E56" i="3"/>
  <c r="AC55" i="3"/>
  <c r="AB55" i="3"/>
  <c r="AA55" i="3"/>
  <c r="Z55" i="3"/>
  <c r="E55" i="3"/>
  <c r="AC37" i="3"/>
  <c r="AB37" i="3"/>
  <c r="AA37" i="3"/>
  <c r="Z37" i="3"/>
  <c r="E37" i="3"/>
  <c r="AC36" i="3"/>
  <c r="AB36" i="3"/>
  <c r="AA36" i="3"/>
  <c r="Z36" i="3"/>
  <c r="E36" i="3"/>
  <c r="AC35" i="3"/>
  <c r="AB35" i="3"/>
  <c r="AA35" i="3"/>
  <c r="Z35" i="3"/>
  <c r="E35" i="3"/>
  <c r="AC54" i="3"/>
  <c r="AB54" i="3"/>
  <c r="AA54" i="3"/>
  <c r="Z54" i="3"/>
  <c r="E54" i="3"/>
  <c r="AC53" i="3"/>
  <c r="AB53" i="3"/>
  <c r="AA53" i="3"/>
  <c r="Z53" i="3"/>
  <c r="E53" i="3"/>
  <c r="AC52" i="3"/>
  <c r="AB52" i="3"/>
  <c r="AA52" i="3"/>
  <c r="Z52" i="3"/>
  <c r="E52" i="3"/>
  <c r="AC48" i="3"/>
  <c r="AB48" i="3"/>
  <c r="AA48" i="3"/>
  <c r="Z48" i="3"/>
  <c r="E48" i="3"/>
  <c r="AC91" i="3"/>
  <c r="AB91" i="3"/>
  <c r="AA91" i="3"/>
  <c r="Z91" i="3"/>
  <c r="E91" i="3"/>
  <c r="AC92" i="3"/>
  <c r="AB92" i="3"/>
  <c r="AA92" i="3"/>
  <c r="Z92" i="3"/>
  <c r="E92" i="3"/>
  <c r="AC51" i="3"/>
  <c r="AB51" i="3"/>
  <c r="AA51" i="3"/>
  <c r="Z51" i="3"/>
  <c r="E51" i="3"/>
  <c r="AC139" i="3"/>
  <c r="AB139" i="3"/>
  <c r="AA139" i="3"/>
  <c r="Z139" i="3"/>
  <c r="E139" i="3"/>
  <c r="AC99" i="3"/>
  <c r="AB99" i="3"/>
  <c r="AA99" i="3"/>
  <c r="Z99" i="3"/>
  <c r="E99" i="3"/>
  <c r="AC98" i="3"/>
  <c r="AB98" i="3"/>
  <c r="AA98" i="3"/>
  <c r="Z98" i="3"/>
  <c r="E98" i="3"/>
  <c r="AC97" i="3"/>
  <c r="AB97" i="3"/>
  <c r="AA97" i="3"/>
  <c r="Z97" i="3"/>
  <c r="E97" i="3"/>
  <c r="AE178" i="3" l="1"/>
  <c r="AG178" i="3" s="1"/>
  <c r="AE179" i="3"/>
  <c r="AG179" i="3" s="1"/>
  <c r="AE180" i="3"/>
  <c r="AG180" i="3" s="1"/>
  <c r="AE33" i="3"/>
  <c r="AG33" i="3" s="1"/>
  <c r="AD33" i="3"/>
  <c r="AF33" i="3" s="1"/>
  <c r="AE181" i="3"/>
  <c r="AG181" i="3" s="1"/>
  <c r="AD181" i="3"/>
  <c r="AF181" i="3" s="1"/>
  <c r="AD180" i="3"/>
  <c r="AF180" i="3" s="1"/>
  <c r="AD179" i="3"/>
  <c r="AF179" i="3" s="1"/>
  <c r="AD178" i="3"/>
  <c r="AF178" i="3" s="1"/>
  <c r="Z160" i="3"/>
  <c r="AA160" i="3"/>
  <c r="AB160" i="3"/>
  <c r="AC160" i="3"/>
  <c r="E160" i="3"/>
  <c r="E87" i="3"/>
  <c r="Z87" i="3"/>
  <c r="AA87" i="3"/>
  <c r="AB87" i="3"/>
  <c r="AC87" i="3"/>
  <c r="E13" i="3"/>
  <c r="Z13" i="3"/>
  <c r="AA13" i="3"/>
  <c r="AB13" i="3"/>
  <c r="AC13" i="3"/>
  <c r="E18" i="3"/>
  <c r="Z18" i="3"/>
  <c r="AA18" i="3"/>
  <c r="AB18" i="3"/>
  <c r="AC18" i="3"/>
  <c r="E25" i="3"/>
  <c r="Z25" i="3"/>
  <c r="AA25" i="3"/>
  <c r="AB25" i="3"/>
  <c r="AC25" i="3"/>
  <c r="E41" i="3"/>
  <c r="Z41" i="3"/>
  <c r="AA41" i="3"/>
  <c r="AB41" i="3"/>
  <c r="AC41" i="3"/>
  <c r="Z40" i="3"/>
  <c r="AA40" i="3"/>
  <c r="AB40" i="3"/>
  <c r="AC40" i="3"/>
  <c r="E40" i="3"/>
  <c r="Z24" i="3"/>
  <c r="AA24" i="3"/>
  <c r="AB24" i="3"/>
  <c r="AC24" i="3"/>
  <c r="E24" i="3"/>
  <c r="E12" i="3"/>
  <c r="Z12" i="3"/>
  <c r="AA12" i="3"/>
  <c r="AB12" i="3"/>
  <c r="AC12" i="3"/>
  <c r="E17" i="3"/>
  <c r="Z17" i="3"/>
  <c r="AA17" i="3"/>
  <c r="AB17" i="3"/>
  <c r="AC17" i="3"/>
  <c r="Z86" i="3"/>
  <c r="AA86" i="3"/>
  <c r="AB86" i="3"/>
  <c r="AC86" i="3"/>
  <c r="E86" i="3"/>
  <c r="AC189" i="3"/>
  <c r="AB189" i="3"/>
  <c r="AA189" i="3"/>
  <c r="Z189" i="3"/>
  <c r="E189" i="3"/>
  <c r="AC67" i="3"/>
  <c r="AB67" i="3"/>
  <c r="AA67" i="3"/>
  <c r="Z67" i="3"/>
  <c r="E67" i="3"/>
  <c r="AC93" i="3"/>
  <c r="AB93" i="3"/>
  <c r="AA93" i="3"/>
  <c r="Z93" i="3"/>
  <c r="E93" i="3"/>
  <c r="AA174" i="3"/>
  <c r="AC6" i="3"/>
  <c r="AB6" i="3"/>
  <c r="AA6" i="3"/>
  <c r="Z6" i="3"/>
  <c r="E6" i="3"/>
  <c r="AD110" i="3"/>
  <c r="AC109" i="3"/>
  <c r="AB109" i="3"/>
  <c r="AA109" i="3"/>
  <c r="Z109" i="3"/>
  <c r="E109" i="3"/>
  <c r="AC47" i="3"/>
  <c r="AB47" i="3"/>
  <c r="AA47" i="3"/>
  <c r="Z47" i="3"/>
  <c r="E47" i="3"/>
  <c r="AC119" i="3"/>
  <c r="AB119" i="3"/>
  <c r="AA119" i="3"/>
  <c r="Z119" i="3"/>
  <c r="E119" i="3"/>
  <c r="AC175" i="3"/>
  <c r="AB175" i="3"/>
  <c r="AA175" i="3"/>
  <c r="Z175" i="3"/>
  <c r="E175" i="3"/>
  <c r="AC174" i="3"/>
  <c r="AB174" i="3"/>
  <c r="Z174" i="3"/>
  <c r="E174" i="3"/>
  <c r="AC171" i="3"/>
  <c r="AB171" i="3"/>
  <c r="AA171" i="3"/>
  <c r="Z171" i="3"/>
  <c r="AE37" i="3" s="1"/>
  <c r="AG37" i="3" s="1"/>
  <c r="E171" i="3"/>
  <c r="AC170" i="3"/>
  <c r="AB170" i="3"/>
  <c r="AA170" i="3"/>
  <c r="Z170" i="3"/>
  <c r="E170" i="3"/>
  <c r="AC169" i="3"/>
  <c r="AB169" i="3"/>
  <c r="AA169" i="3"/>
  <c r="Z169" i="3"/>
  <c r="E169" i="3"/>
  <c r="AC69" i="3"/>
  <c r="AB69" i="3"/>
  <c r="AA69" i="3"/>
  <c r="Z69" i="3"/>
  <c r="E69" i="3"/>
  <c r="AC63" i="3"/>
  <c r="AB63" i="3"/>
  <c r="AA63" i="3"/>
  <c r="Z63" i="3"/>
  <c r="E63" i="3"/>
  <c r="AC23" i="3"/>
  <c r="AB23" i="3"/>
  <c r="AA23" i="3"/>
  <c r="Z23" i="3"/>
  <c r="E23" i="3"/>
  <c r="AC16" i="3"/>
  <c r="AB16" i="3"/>
  <c r="AA16" i="3"/>
  <c r="Z16" i="3"/>
  <c r="E16" i="3"/>
  <c r="Z137" i="3"/>
  <c r="AA137" i="3"/>
  <c r="AB137" i="3"/>
  <c r="AC137" i="3"/>
  <c r="E137" i="3"/>
  <c r="AC8" i="3"/>
  <c r="AB8" i="3"/>
  <c r="AA8" i="3"/>
  <c r="Z8" i="3"/>
  <c r="E8" i="3"/>
  <c r="E106" i="3"/>
  <c r="A79" i="7"/>
  <c r="D11" i="7"/>
  <c r="AC46" i="3"/>
  <c r="AB46" i="3"/>
  <c r="AA46" i="3"/>
  <c r="Z46" i="3"/>
  <c r="E46" i="3"/>
  <c r="AC132" i="3"/>
  <c r="AB132" i="3"/>
  <c r="AA132" i="3"/>
  <c r="Z132" i="3"/>
  <c r="E132" i="3"/>
  <c r="AC45" i="3"/>
  <c r="AB45" i="3"/>
  <c r="AA45" i="3"/>
  <c r="Z45" i="3"/>
  <c r="E45" i="3"/>
  <c r="AC136" i="3"/>
  <c r="AB136" i="3"/>
  <c r="AA136" i="3"/>
  <c r="Z136" i="3"/>
  <c r="E136" i="3"/>
  <c r="AC166" i="3"/>
  <c r="AB166" i="3"/>
  <c r="AA166" i="3"/>
  <c r="Z166" i="3"/>
  <c r="E166" i="3"/>
  <c r="AC165" i="3"/>
  <c r="AB165" i="3"/>
  <c r="AA165" i="3"/>
  <c r="Z165" i="3"/>
  <c r="E165" i="3"/>
  <c r="AC164" i="3"/>
  <c r="AB164" i="3"/>
  <c r="AA164" i="3"/>
  <c r="Z164" i="3"/>
  <c r="E164" i="3"/>
  <c r="AC163" i="3"/>
  <c r="AB163" i="3"/>
  <c r="AA163" i="3"/>
  <c r="Z163" i="3"/>
  <c r="E163" i="3"/>
  <c r="E162" i="3"/>
  <c r="Z162" i="3"/>
  <c r="AA162" i="3"/>
  <c r="AB162" i="3"/>
  <c r="AC162" i="3"/>
  <c r="AC161" i="3"/>
  <c r="AB161" i="3"/>
  <c r="AA161" i="3"/>
  <c r="Z161" i="3"/>
  <c r="E161" i="3"/>
  <c r="AC159" i="3"/>
  <c r="AB159" i="3"/>
  <c r="AA159" i="3"/>
  <c r="Z159" i="3"/>
  <c r="E159" i="3"/>
  <c r="AC158" i="3"/>
  <c r="AB158" i="3"/>
  <c r="AA158" i="3"/>
  <c r="Z158" i="3"/>
  <c r="E158" i="3"/>
  <c r="AC157" i="3"/>
  <c r="AB157" i="3"/>
  <c r="AA157" i="3"/>
  <c r="Z157" i="3"/>
  <c r="E157" i="3"/>
  <c r="AC156" i="3"/>
  <c r="AB156" i="3"/>
  <c r="AA156" i="3"/>
  <c r="Z156" i="3"/>
  <c r="E156" i="3"/>
  <c r="AC155" i="3"/>
  <c r="AB155" i="3"/>
  <c r="AA155" i="3"/>
  <c r="Z155" i="3"/>
  <c r="E155" i="3"/>
  <c r="AC154" i="3"/>
  <c r="AB154" i="3"/>
  <c r="AA154" i="3"/>
  <c r="Z154" i="3"/>
  <c r="E154" i="3"/>
  <c r="AC153" i="3"/>
  <c r="AB153" i="3"/>
  <c r="AA153" i="3"/>
  <c r="Z153" i="3"/>
  <c r="E153" i="3"/>
  <c r="AC152" i="3"/>
  <c r="AB152" i="3"/>
  <c r="AA152" i="3"/>
  <c r="Z152" i="3"/>
  <c r="E152" i="3"/>
  <c r="AC151" i="3"/>
  <c r="AB151" i="3"/>
  <c r="AA151" i="3"/>
  <c r="Z151" i="3"/>
  <c r="E151" i="3"/>
  <c r="AC150" i="3"/>
  <c r="AB150" i="3"/>
  <c r="AA150" i="3"/>
  <c r="Z150" i="3"/>
  <c r="E150" i="3"/>
  <c r="AC123" i="3"/>
  <c r="AB123" i="3"/>
  <c r="AA123" i="3"/>
  <c r="Z123" i="3"/>
  <c r="E123" i="3"/>
  <c r="E149" i="3"/>
  <c r="Z149" i="3"/>
  <c r="AA149" i="3"/>
  <c r="AB149" i="3"/>
  <c r="AC149" i="3"/>
  <c r="AC148" i="3"/>
  <c r="AB148" i="3"/>
  <c r="AA148" i="3"/>
  <c r="Z148" i="3"/>
  <c r="E148" i="3"/>
  <c r="AC130" i="3"/>
  <c r="AB130" i="3"/>
  <c r="AA130" i="3"/>
  <c r="Z130" i="3"/>
  <c r="E130" i="3"/>
  <c r="AC147" i="3"/>
  <c r="AB147" i="3"/>
  <c r="AA147" i="3"/>
  <c r="Z147" i="3"/>
  <c r="E147" i="3"/>
  <c r="AC120" i="3"/>
  <c r="AB120" i="3"/>
  <c r="AA120" i="3"/>
  <c r="Z120" i="3"/>
  <c r="E120" i="3"/>
  <c r="AC81" i="3"/>
  <c r="AB81" i="3"/>
  <c r="AA81" i="3"/>
  <c r="Z81" i="3"/>
  <c r="E81" i="3"/>
  <c r="AC131" i="3"/>
  <c r="AB131" i="3"/>
  <c r="AA131" i="3"/>
  <c r="Z131" i="3"/>
  <c r="E131" i="3"/>
  <c r="AC122" i="3"/>
  <c r="AB122" i="3"/>
  <c r="AA122" i="3"/>
  <c r="Z122" i="3"/>
  <c r="E122" i="3"/>
  <c r="AC124" i="3"/>
  <c r="AB124" i="3"/>
  <c r="AA124" i="3"/>
  <c r="Z124" i="3"/>
  <c r="E124" i="3"/>
  <c r="AC141" i="3"/>
  <c r="AB141" i="3"/>
  <c r="AA141" i="3"/>
  <c r="Z141" i="3"/>
  <c r="E141" i="3"/>
  <c r="H354" i="7"/>
  <c r="D354" i="7"/>
  <c r="C354" i="7"/>
  <c r="B354" i="7"/>
  <c r="A354" i="7"/>
  <c r="H353" i="7"/>
  <c r="D353" i="7"/>
  <c r="C353" i="7"/>
  <c r="B353" i="7"/>
  <c r="A353" i="7"/>
  <c r="H352" i="7"/>
  <c r="D352" i="7"/>
  <c r="C352" i="7"/>
  <c r="B352" i="7"/>
  <c r="A352" i="7"/>
  <c r="H351" i="7"/>
  <c r="D351" i="7"/>
  <c r="C351" i="7"/>
  <c r="B351" i="7"/>
  <c r="A351" i="7"/>
  <c r="H350" i="7"/>
  <c r="D350" i="7"/>
  <c r="C350" i="7"/>
  <c r="B350" i="7"/>
  <c r="A350" i="7"/>
  <c r="H349" i="7"/>
  <c r="D349" i="7"/>
  <c r="C349" i="7"/>
  <c r="B349" i="7"/>
  <c r="A349" i="7"/>
  <c r="H348" i="7"/>
  <c r="D348" i="7"/>
  <c r="C348" i="7"/>
  <c r="B348" i="7"/>
  <c r="A348" i="7"/>
  <c r="H347" i="7"/>
  <c r="D347" i="7"/>
  <c r="C347" i="7"/>
  <c r="B347" i="7"/>
  <c r="A347" i="7"/>
  <c r="H346" i="7"/>
  <c r="D346" i="7"/>
  <c r="C346" i="7"/>
  <c r="B346" i="7"/>
  <c r="A346" i="7"/>
  <c r="H345" i="7"/>
  <c r="D345" i="7"/>
  <c r="C345" i="7"/>
  <c r="B345" i="7"/>
  <c r="A345" i="7"/>
  <c r="H344" i="7"/>
  <c r="D344" i="7"/>
  <c r="C344" i="7"/>
  <c r="B344" i="7"/>
  <c r="A344" i="7"/>
  <c r="H343" i="7"/>
  <c r="D343" i="7"/>
  <c r="C343" i="7"/>
  <c r="B343" i="7"/>
  <c r="A343" i="7"/>
  <c r="H342" i="7"/>
  <c r="D342" i="7"/>
  <c r="C342" i="7"/>
  <c r="B342" i="7"/>
  <c r="A342" i="7"/>
  <c r="H341" i="7"/>
  <c r="D341" i="7"/>
  <c r="C341" i="7"/>
  <c r="B341" i="7"/>
  <c r="A341" i="7"/>
  <c r="H340" i="7"/>
  <c r="D340" i="7"/>
  <c r="C340" i="7"/>
  <c r="B340" i="7"/>
  <c r="A340" i="7"/>
  <c r="H339" i="7"/>
  <c r="D339" i="7"/>
  <c r="C339" i="7"/>
  <c r="B339" i="7"/>
  <c r="A339" i="7"/>
  <c r="H338" i="7"/>
  <c r="D338" i="7"/>
  <c r="C338" i="7"/>
  <c r="B338" i="7"/>
  <c r="A338" i="7"/>
  <c r="H337" i="7"/>
  <c r="D337" i="7"/>
  <c r="C337" i="7"/>
  <c r="B337" i="7"/>
  <c r="A337" i="7"/>
  <c r="H336" i="7"/>
  <c r="D336" i="7"/>
  <c r="C336" i="7"/>
  <c r="B336" i="7"/>
  <c r="A336" i="7"/>
  <c r="H335" i="7"/>
  <c r="D335" i="7"/>
  <c r="C335" i="7"/>
  <c r="B335" i="7"/>
  <c r="A335" i="7"/>
  <c r="H334" i="7"/>
  <c r="D334" i="7"/>
  <c r="C334" i="7"/>
  <c r="B334" i="7"/>
  <c r="A334" i="7"/>
  <c r="H333" i="7"/>
  <c r="D333" i="7"/>
  <c r="C333" i="7"/>
  <c r="B333" i="7"/>
  <c r="A333" i="7"/>
  <c r="H332" i="7"/>
  <c r="D332" i="7"/>
  <c r="C332" i="7"/>
  <c r="B332" i="7"/>
  <c r="A332" i="7"/>
  <c r="H331" i="7"/>
  <c r="D331" i="7"/>
  <c r="C331" i="7"/>
  <c r="B331" i="7"/>
  <c r="A331" i="7"/>
  <c r="H330" i="7"/>
  <c r="D330" i="7"/>
  <c r="C330" i="7"/>
  <c r="B330" i="7"/>
  <c r="A330" i="7"/>
  <c r="H329" i="7"/>
  <c r="D329" i="7"/>
  <c r="C329" i="7"/>
  <c r="B329" i="7"/>
  <c r="A329" i="7"/>
  <c r="H328" i="7"/>
  <c r="D328" i="7"/>
  <c r="C328" i="7"/>
  <c r="B328" i="7"/>
  <c r="A328" i="7"/>
  <c r="H327" i="7"/>
  <c r="D327" i="7"/>
  <c r="C327" i="7"/>
  <c r="B327" i="7"/>
  <c r="A327" i="7"/>
  <c r="H326" i="7"/>
  <c r="D326" i="7"/>
  <c r="C326" i="7"/>
  <c r="B326" i="7"/>
  <c r="A326" i="7"/>
  <c r="H325" i="7"/>
  <c r="D325" i="7"/>
  <c r="C325" i="7"/>
  <c r="B325" i="7"/>
  <c r="A325" i="7"/>
  <c r="H324" i="7"/>
  <c r="D324" i="7"/>
  <c r="C324" i="7"/>
  <c r="B324" i="7"/>
  <c r="A324" i="7"/>
  <c r="H323" i="7"/>
  <c r="D323" i="7"/>
  <c r="C323" i="7"/>
  <c r="B323" i="7"/>
  <c r="A323" i="7"/>
  <c r="H322" i="7"/>
  <c r="D322" i="7"/>
  <c r="C322" i="7"/>
  <c r="B322" i="7"/>
  <c r="A322" i="7"/>
  <c r="H321" i="7"/>
  <c r="D321" i="7"/>
  <c r="C321" i="7"/>
  <c r="B321" i="7"/>
  <c r="A321" i="7"/>
  <c r="H320" i="7"/>
  <c r="D320" i="7"/>
  <c r="C320" i="7"/>
  <c r="B320" i="7"/>
  <c r="A320" i="7"/>
  <c r="H319" i="7"/>
  <c r="D319" i="7"/>
  <c r="C319" i="7"/>
  <c r="B319" i="7"/>
  <c r="A319" i="7"/>
  <c r="H318" i="7"/>
  <c r="D318" i="7"/>
  <c r="C318" i="7"/>
  <c r="B318" i="7"/>
  <c r="A318" i="7"/>
  <c r="H317" i="7"/>
  <c r="D317" i="7"/>
  <c r="C317" i="7"/>
  <c r="B317" i="7"/>
  <c r="A317" i="7"/>
  <c r="H316" i="7"/>
  <c r="D316" i="7"/>
  <c r="C316" i="7"/>
  <c r="B316" i="7"/>
  <c r="A316" i="7"/>
  <c r="H315" i="7"/>
  <c r="D315" i="7"/>
  <c r="C315" i="7"/>
  <c r="B315" i="7"/>
  <c r="A315" i="7"/>
  <c r="H314" i="7"/>
  <c r="D314" i="7"/>
  <c r="C314" i="7"/>
  <c r="B314" i="7"/>
  <c r="A314" i="7"/>
  <c r="H313" i="7"/>
  <c r="D313" i="7"/>
  <c r="C313" i="7"/>
  <c r="B313" i="7"/>
  <c r="A313" i="7"/>
  <c r="H312" i="7"/>
  <c r="D312" i="7"/>
  <c r="C312" i="7"/>
  <c r="B312" i="7"/>
  <c r="A312" i="7"/>
  <c r="H311" i="7"/>
  <c r="D311" i="7"/>
  <c r="C311" i="7"/>
  <c r="B311" i="7"/>
  <c r="A311" i="7"/>
  <c r="H310" i="7"/>
  <c r="D310" i="7"/>
  <c r="C310" i="7"/>
  <c r="B310" i="7"/>
  <c r="A310" i="7"/>
  <c r="H309" i="7"/>
  <c r="D309" i="7"/>
  <c r="C309" i="7"/>
  <c r="B309" i="7"/>
  <c r="A309" i="7"/>
  <c r="H308" i="7"/>
  <c r="D308" i="7"/>
  <c r="C308" i="7"/>
  <c r="B308" i="7"/>
  <c r="A308" i="7"/>
  <c r="H307" i="7"/>
  <c r="D307" i="7"/>
  <c r="C307" i="7"/>
  <c r="B307" i="7"/>
  <c r="A307" i="7"/>
  <c r="H306" i="7"/>
  <c r="D306" i="7"/>
  <c r="C306" i="7"/>
  <c r="B306" i="7"/>
  <c r="A306" i="7"/>
  <c r="H305" i="7"/>
  <c r="D305" i="7"/>
  <c r="C305" i="7"/>
  <c r="B305" i="7"/>
  <c r="A305" i="7"/>
  <c r="H304" i="7"/>
  <c r="D304" i="7"/>
  <c r="C304" i="7"/>
  <c r="B304" i="7"/>
  <c r="A304" i="7"/>
  <c r="H303" i="7"/>
  <c r="D303" i="7"/>
  <c r="C303" i="7"/>
  <c r="B303" i="7"/>
  <c r="A303" i="7"/>
  <c r="H302" i="7"/>
  <c r="D302" i="7"/>
  <c r="C302" i="7"/>
  <c r="B302" i="7"/>
  <c r="A302" i="7"/>
  <c r="H301" i="7"/>
  <c r="D301" i="7"/>
  <c r="C301" i="7"/>
  <c r="B301" i="7"/>
  <c r="A301" i="7"/>
  <c r="H300" i="7"/>
  <c r="D300" i="7"/>
  <c r="C300" i="7"/>
  <c r="B300" i="7"/>
  <c r="A300" i="7"/>
  <c r="H299" i="7"/>
  <c r="D299" i="7"/>
  <c r="C299" i="7"/>
  <c r="B299" i="7"/>
  <c r="A299" i="7"/>
  <c r="H298" i="7"/>
  <c r="D298" i="7"/>
  <c r="C298" i="7"/>
  <c r="B298" i="7"/>
  <c r="A298" i="7"/>
  <c r="H297" i="7"/>
  <c r="D297" i="7"/>
  <c r="C297" i="7"/>
  <c r="B297" i="7"/>
  <c r="A297" i="7"/>
  <c r="H296" i="7"/>
  <c r="D296" i="7"/>
  <c r="C296" i="7"/>
  <c r="B296" i="7"/>
  <c r="A296" i="7"/>
  <c r="H295" i="7"/>
  <c r="D295" i="7"/>
  <c r="C295" i="7"/>
  <c r="B295" i="7"/>
  <c r="A295" i="7"/>
  <c r="H294" i="7"/>
  <c r="D294" i="7"/>
  <c r="C294" i="7"/>
  <c r="B294" i="7"/>
  <c r="A294" i="7"/>
  <c r="H293" i="7"/>
  <c r="D293" i="7"/>
  <c r="C293" i="7"/>
  <c r="B293" i="7"/>
  <c r="A293" i="7"/>
  <c r="H292" i="7"/>
  <c r="D292" i="7"/>
  <c r="C292" i="7"/>
  <c r="B292" i="7"/>
  <c r="A292" i="7"/>
  <c r="H291" i="7"/>
  <c r="D291" i="7"/>
  <c r="C291" i="7"/>
  <c r="B291" i="7"/>
  <c r="A291" i="7"/>
  <c r="H290" i="7"/>
  <c r="D290" i="7"/>
  <c r="C290" i="7"/>
  <c r="B290" i="7"/>
  <c r="A290" i="7"/>
  <c r="H289" i="7"/>
  <c r="D289" i="7"/>
  <c r="C289" i="7"/>
  <c r="B289" i="7"/>
  <c r="A289" i="7"/>
  <c r="H288" i="7"/>
  <c r="D288" i="7"/>
  <c r="C288" i="7"/>
  <c r="B288" i="7"/>
  <c r="A288" i="7"/>
  <c r="H287" i="7"/>
  <c r="D287" i="7"/>
  <c r="C287" i="7"/>
  <c r="B287" i="7"/>
  <c r="A287" i="7"/>
  <c r="H286" i="7"/>
  <c r="D286" i="7"/>
  <c r="C286" i="7"/>
  <c r="B286" i="7"/>
  <c r="A286" i="7"/>
  <c r="H285" i="7"/>
  <c r="D285" i="7"/>
  <c r="C285" i="7"/>
  <c r="B285" i="7"/>
  <c r="A285" i="7"/>
  <c r="H284" i="7"/>
  <c r="D284" i="7"/>
  <c r="C284" i="7"/>
  <c r="B284" i="7"/>
  <c r="A284" i="7"/>
  <c r="H283" i="7"/>
  <c r="D283" i="7"/>
  <c r="C283" i="7"/>
  <c r="B283" i="7"/>
  <c r="A283" i="7"/>
  <c r="H282" i="7"/>
  <c r="D282" i="7"/>
  <c r="C282" i="7"/>
  <c r="B282" i="7"/>
  <c r="A282" i="7"/>
  <c r="H281" i="7"/>
  <c r="D281" i="7"/>
  <c r="C281" i="7"/>
  <c r="B281" i="7"/>
  <c r="A281" i="7"/>
  <c r="H280" i="7"/>
  <c r="D280" i="7"/>
  <c r="C280" i="7"/>
  <c r="B280" i="7"/>
  <c r="A280" i="7"/>
  <c r="H279" i="7"/>
  <c r="D279" i="7"/>
  <c r="C279" i="7"/>
  <c r="B279" i="7"/>
  <c r="A279" i="7"/>
  <c r="H278" i="7"/>
  <c r="D278" i="7"/>
  <c r="C278" i="7"/>
  <c r="B278" i="7"/>
  <c r="A278" i="7"/>
  <c r="H277" i="7"/>
  <c r="D277" i="7"/>
  <c r="C277" i="7"/>
  <c r="B277" i="7"/>
  <c r="A277" i="7"/>
  <c r="H276" i="7"/>
  <c r="D276" i="7"/>
  <c r="C276" i="7"/>
  <c r="B276" i="7"/>
  <c r="A276" i="7"/>
  <c r="H275" i="7"/>
  <c r="D275" i="7"/>
  <c r="C275" i="7"/>
  <c r="B275" i="7"/>
  <c r="A275" i="7"/>
  <c r="H274" i="7"/>
  <c r="D274" i="7"/>
  <c r="C274" i="7"/>
  <c r="B274" i="7"/>
  <c r="A274" i="7"/>
  <c r="H273" i="7"/>
  <c r="D273" i="7"/>
  <c r="C273" i="7"/>
  <c r="B273" i="7"/>
  <c r="A273" i="7"/>
  <c r="H272" i="7"/>
  <c r="D272" i="7"/>
  <c r="C272" i="7"/>
  <c r="B272" i="7"/>
  <c r="A272" i="7"/>
  <c r="H271" i="7"/>
  <c r="D271" i="7"/>
  <c r="C271" i="7"/>
  <c r="B271" i="7"/>
  <c r="A271" i="7"/>
  <c r="H270" i="7"/>
  <c r="D270" i="7"/>
  <c r="C270" i="7"/>
  <c r="B270" i="7"/>
  <c r="A270" i="7"/>
  <c r="H269" i="7"/>
  <c r="D269" i="7"/>
  <c r="C269" i="7"/>
  <c r="B269" i="7"/>
  <c r="A269" i="7"/>
  <c r="H268" i="7"/>
  <c r="D268" i="7"/>
  <c r="C268" i="7"/>
  <c r="B268" i="7"/>
  <c r="A268" i="7"/>
  <c r="H267" i="7"/>
  <c r="D267" i="7"/>
  <c r="C267" i="7"/>
  <c r="B267" i="7"/>
  <c r="A267" i="7"/>
  <c r="H266" i="7"/>
  <c r="D266" i="7"/>
  <c r="C266" i="7"/>
  <c r="B266" i="7"/>
  <c r="A266" i="7"/>
  <c r="H265" i="7"/>
  <c r="D265" i="7"/>
  <c r="C265" i="7"/>
  <c r="B265" i="7"/>
  <c r="A265" i="7"/>
  <c r="H264" i="7"/>
  <c r="D264" i="7"/>
  <c r="C264" i="7"/>
  <c r="B264" i="7"/>
  <c r="A264" i="7"/>
  <c r="H263" i="7"/>
  <c r="D263" i="7"/>
  <c r="C263" i="7"/>
  <c r="B263" i="7"/>
  <c r="A263" i="7"/>
  <c r="H262" i="7"/>
  <c r="D262" i="7"/>
  <c r="C262" i="7"/>
  <c r="B262" i="7"/>
  <c r="A262" i="7"/>
  <c r="H261" i="7"/>
  <c r="D261" i="7"/>
  <c r="C261" i="7"/>
  <c r="B261" i="7"/>
  <c r="A261" i="7"/>
  <c r="H260" i="7"/>
  <c r="D260" i="7"/>
  <c r="C260" i="7"/>
  <c r="B260" i="7"/>
  <c r="A260" i="7"/>
  <c r="H259" i="7"/>
  <c r="D259" i="7"/>
  <c r="C259" i="7"/>
  <c r="B259" i="7"/>
  <c r="A259" i="7"/>
  <c r="H258" i="7"/>
  <c r="D258" i="7"/>
  <c r="C258" i="7"/>
  <c r="B258" i="7"/>
  <c r="A258" i="7"/>
  <c r="H257" i="7"/>
  <c r="D257" i="7"/>
  <c r="C257" i="7"/>
  <c r="B257" i="7"/>
  <c r="A257" i="7"/>
  <c r="H256" i="7"/>
  <c r="D256" i="7"/>
  <c r="C256" i="7"/>
  <c r="B256" i="7"/>
  <c r="A256" i="7"/>
  <c r="H255" i="7"/>
  <c r="D255" i="7"/>
  <c r="C255" i="7"/>
  <c r="B255" i="7"/>
  <c r="A255" i="7"/>
  <c r="H254" i="7"/>
  <c r="D254" i="7"/>
  <c r="C254" i="7"/>
  <c r="B254" i="7"/>
  <c r="A254" i="7"/>
  <c r="H253" i="7"/>
  <c r="D253" i="7"/>
  <c r="C253" i="7"/>
  <c r="B253" i="7"/>
  <c r="A253" i="7"/>
  <c r="H252" i="7"/>
  <c r="D252" i="7"/>
  <c r="C252" i="7"/>
  <c r="B252" i="7"/>
  <c r="A252" i="7"/>
  <c r="H251" i="7"/>
  <c r="D251" i="7"/>
  <c r="C251" i="7"/>
  <c r="B251" i="7"/>
  <c r="A251" i="7"/>
  <c r="H250" i="7"/>
  <c r="D250" i="7"/>
  <c r="C250" i="7"/>
  <c r="B250" i="7"/>
  <c r="A250" i="7"/>
  <c r="H249" i="7"/>
  <c r="D249" i="7"/>
  <c r="C249" i="7"/>
  <c r="B249" i="7"/>
  <c r="A249" i="7"/>
  <c r="H248" i="7"/>
  <c r="D248" i="7"/>
  <c r="C248" i="7"/>
  <c r="B248" i="7"/>
  <c r="A248" i="7"/>
  <c r="H247" i="7"/>
  <c r="D247" i="7"/>
  <c r="C247" i="7"/>
  <c r="B247" i="7"/>
  <c r="A247" i="7"/>
  <c r="H246" i="7"/>
  <c r="D246" i="7"/>
  <c r="C246" i="7"/>
  <c r="B246" i="7"/>
  <c r="A246" i="7"/>
  <c r="H245" i="7"/>
  <c r="D245" i="7"/>
  <c r="C245" i="7"/>
  <c r="B245" i="7"/>
  <c r="A245" i="7"/>
  <c r="H244" i="7"/>
  <c r="D244" i="7"/>
  <c r="C244" i="7"/>
  <c r="B244" i="7"/>
  <c r="A244" i="7"/>
  <c r="H243" i="7"/>
  <c r="D243" i="7"/>
  <c r="C243" i="7"/>
  <c r="B243" i="7"/>
  <c r="A243" i="7"/>
  <c r="D242" i="7"/>
  <c r="C242" i="7"/>
  <c r="B242" i="7"/>
  <c r="A242" i="7"/>
  <c r="D241" i="7"/>
  <c r="C241" i="7"/>
  <c r="B241" i="7"/>
  <c r="A241" i="7"/>
  <c r="D240" i="7"/>
  <c r="C240" i="7"/>
  <c r="B240" i="7"/>
  <c r="A240" i="7"/>
  <c r="D239" i="7"/>
  <c r="C239" i="7"/>
  <c r="B239" i="7"/>
  <c r="A239" i="7"/>
  <c r="D238" i="7"/>
  <c r="C238" i="7"/>
  <c r="B238" i="7"/>
  <c r="A238" i="7"/>
  <c r="D237" i="7"/>
  <c r="C237" i="7"/>
  <c r="B237" i="7"/>
  <c r="A237" i="7"/>
  <c r="D236" i="7"/>
  <c r="C236" i="7"/>
  <c r="B236" i="7"/>
  <c r="A236" i="7"/>
  <c r="D235" i="7"/>
  <c r="C235" i="7"/>
  <c r="B235" i="7"/>
  <c r="A235" i="7"/>
  <c r="D234" i="7"/>
  <c r="C234" i="7"/>
  <c r="B234" i="7"/>
  <c r="A234" i="7"/>
  <c r="D233" i="7"/>
  <c r="C233" i="7"/>
  <c r="B233" i="7"/>
  <c r="A233" i="7"/>
  <c r="D232" i="7"/>
  <c r="C232" i="7"/>
  <c r="B232" i="7"/>
  <c r="A232" i="7"/>
  <c r="D231" i="7"/>
  <c r="C231" i="7"/>
  <c r="B231" i="7"/>
  <c r="A231" i="7"/>
  <c r="D230" i="7"/>
  <c r="C230" i="7"/>
  <c r="B230" i="7"/>
  <c r="A230" i="7"/>
  <c r="D229" i="7"/>
  <c r="C229" i="7"/>
  <c r="B229" i="7"/>
  <c r="A229" i="7"/>
  <c r="D228" i="7"/>
  <c r="C228" i="7"/>
  <c r="B228" i="7"/>
  <c r="A228" i="7"/>
  <c r="D227" i="7"/>
  <c r="C227" i="7"/>
  <c r="B227" i="7"/>
  <c r="A227" i="7"/>
  <c r="D226" i="7"/>
  <c r="C226" i="7"/>
  <c r="B226" i="7"/>
  <c r="A226" i="7"/>
  <c r="D225" i="7"/>
  <c r="C225" i="7"/>
  <c r="B225" i="7"/>
  <c r="A225" i="7"/>
  <c r="D224" i="7"/>
  <c r="C224" i="7"/>
  <c r="B224" i="7"/>
  <c r="A224" i="7"/>
  <c r="D223" i="7"/>
  <c r="C223" i="7"/>
  <c r="B223" i="7"/>
  <c r="A223" i="7"/>
  <c r="D222" i="7"/>
  <c r="C222" i="7"/>
  <c r="B222" i="7"/>
  <c r="A222" i="7"/>
  <c r="D221" i="7"/>
  <c r="C221" i="7"/>
  <c r="B221" i="7"/>
  <c r="A221" i="7"/>
  <c r="D220" i="7"/>
  <c r="C220" i="7"/>
  <c r="B220" i="7"/>
  <c r="A220" i="7"/>
  <c r="D219" i="7"/>
  <c r="C219" i="7"/>
  <c r="B219" i="7"/>
  <c r="A219" i="7"/>
  <c r="D218" i="7"/>
  <c r="C218" i="7"/>
  <c r="B218" i="7"/>
  <c r="A218" i="7"/>
  <c r="D217" i="7"/>
  <c r="C217" i="7"/>
  <c r="B217" i="7"/>
  <c r="A217" i="7"/>
  <c r="D216" i="7"/>
  <c r="C216" i="7"/>
  <c r="B216" i="7"/>
  <c r="A216" i="7"/>
  <c r="D215" i="7"/>
  <c r="C215" i="7"/>
  <c r="B215" i="7"/>
  <c r="A215" i="7"/>
  <c r="D214" i="7"/>
  <c r="C214" i="7"/>
  <c r="B214" i="7"/>
  <c r="A214" i="7"/>
  <c r="D213" i="7"/>
  <c r="C213" i="7"/>
  <c r="B213" i="7"/>
  <c r="A213" i="7"/>
  <c r="D212" i="7"/>
  <c r="C212" i="7"/>
  <c r="B212" i="7"/>
  <c r="A212" i="7"/>
  <c r="D211" i="7"/>
  <c r="C211" i="7"/>
  <c r="B211" i="7"/>
  <c r="A211" i="7"/>
  <c r="D210" i="7"/>
  <c r="C210" i="7"/>
  <c r="B210" i="7"/>
  <c r="A210" i="7"/>
  <c r="D209" i="7"/>
  <c r="C209" i="7"/>
  <c r="B209" i="7"/>
  <c r="A209" i="7"/>
  <c r="D208" i="7"/>
  <c r="C208" i="7"/>
  <c r="B208" i="7"/>
  <c r="A208" i="7"/>
  <c r="D207" i="7"/>
  <c r="C207" i="7"/>
  <c r="B207" i="7"/>
  <c r="A207" i="7"/>
  <c r="D206" i="7"/>
  <c r="C206" i="7"/>
  <c r="B206" i="7"/>
  <c r="A206" i="7"/>
  <c r="D205" i="7"/>
  <c r="C205" i="7"/>
  <c r="B205" i="7"/>
  <c r="A205" i="7"/>
  <c r="C204" i="7"/>
  <c r="B204" i="7"/>
  <c r="A204" i="7"/>
  <c r="D203" i="7"/>
  <c r="C203" i="7"/>
  <c r="B203" i="7"/>
  <c r="A203" i="7"/>
  <c r="D202" i="7"/>
  <c r="C202" i="7"/>
  <c r="B202" i="7"/>
  <c r="A202" i="7"/>
  <c r="D201" i="7"/>
  <c r="C201" i="7"/>
  <c r="B201" i="7"/>
  <c r="A201" i="7"/>
  <c r="D200" i="7"/>
  <c r="C200" i="7"/>
  <c r="B200" i="7"/>
  <c r="A200" i="7"/>
  <c r="D199" i="7"/>
  <c r="C199" i="7"/>
  <c r="B199" i="7"/>
  <c r="A199" i="7"/>
  <c r="D198" i="7"/>
  <c r="C198" i="7"/>
  <c r="B198" i="7"/>
  <c r="A198" i="7"/>
  <c r="D197" i="7"/>
  <c r="C197" i="7"/>
  <c r="B197" i="7"/>
  <c r="A197" i="7"/>
  <c r="D196" i="7"/>
  <c r="C196" i="7"/>
  <c r="B196" i="7"/>
  <c r="A196" i="7"/>
  <c r="D195" i="7"/>
  <c r="C195" i="7"/>
  <c r="B195" i="7"/>
  <c r="A195" i="7"/>
  <c r="D194" i="7"/>
  <c r="C194" i="7"/>
  <c r="B194" i="7"/>
  <c r="A194" i="7"/>
  <c r="D193" i="7"/>
  <c r="C193" i="7"/>
  <c r="B193" i="7"/>
  <c r="A193" i="7"/>
  <c r="D192" i="7"/>
  <c r="C192" i="7"/>
  <c r="B192" i="7"/>
  <c r="A192" i="7"/>
  <c r="D191" i="7"/>
  <c r="C191" i="7"/>
  <c r="B191" i="7"/>
  <c r="A191" i="7"/>
  <c r="D190" i="7"/>
  <c r="C190" i="7"/>
  <c r="B190" i="7"/>
  <c r="A190" i="7"/>
  <c r="D189" i="7"/>
  <c r="C189" i="7"/>
  <c r="B189" i="7"/>
  <c r="A189" i="7"/>
  <c r="D188" i="7"/>
  <c r="C188" i="7"/>
  <c r="B188" i="7"/>
  <c r="A188" i="7"/>
  <c r="D187" i="7"/>
  <c r="C187" i="7"/>
  <c r="B187" i="7"/>
  <c r="A187" i="7"/>
  <c r="D186" i="7"/>
  <c r="C186" i="7"/>
  <c r="B186" i="7"/>
  <c r="A186" i="7"/>
  <c r="D185" i="7"/>
  <c r="C185" i="7"/>
  <c r="B185" i="7"/>
  <c r="A185" i="7"/>
  <c r="D184" i="7"/>
  <c r="C184" i="7"/>
  <c r="B184" i="7"/>
  <c r="A184" i="7"/>
  <c r="D183" i="7"/>
  <c r="C183" i="7"/>
  <c r="B183" i="7"/>
  <c r="A183" i="7"/>
  <c r="D182" i="7"/>
  <c r="C182" i="7"/>
  <c r="B182" i="7"/>
  <c r="A182" i="7"/>
  <c r="D181" i="7"/>
  <c r="C181" i="7"/>
  <c r="B181" i="7"/>
  <c r="A181" i="7"/>
  <c r="D180" i="7"/>
  <c r="C180" i="7"/>
  <c r="B180" i="7"/>
  <c r="A180" i="7"/>
  <c r="D179" i="7"/>
  <c r="C179" i="7"/>
  <c r="B179" i="7"/>
  <c r="A179" i="7"/>
  <c r="D178" i="7"/>
  <c r="C178" i="7"/>
  <c r="B178" i="7"/>
  <c r="A178" i="7"/>
  <c r="D177" i="7"/>
  <c r="C177" i="7"/>
  <c r="B177" i="7"/>
  <c r="A177" i="7"/>
  <c r="D176" i="7"/>
  <c r="C176" i="7"/>
  <c r="B176" i="7"/>
  <c r="A176" i="7"/>
  <c r="D175" i="7"/>
  <c r="C175" i="7"/>
  <c r="B175" i="7"/>
  <c r="A175" i="7"/>
  <c r="D174" i="7"/>
  <c r="C174" i="7"/>
  <c r="B174" i="7"/>
  <c r="A174" i="7"/>
  <c r="D173" i="7"/>
  <c r="C173" i="7"/>
  <c r="B173" i="7"/>
  <c r="A173" i="7"/>
  <c r="D172" i="7"/>
  <c r="C172" i="7"/>
  <c r="B172" i="7"/>
  <c r="A172" i="7"/>
  <c r="D171" i="7"/>
  <c r="C171" i="7"/>
  <c r="B171" i="7"/>
  <c r="A171" i="7"/>
  <c r="D170" i="7"/>
  <c r="C170" i="7"/>
  <c r="B170" i="7"/>
  <c r="A170" i="7"/>
  <c r="D169" i="7"/>
  <c r="C169" i="7"/>
  <c r="B169" i="7"/>
  <c r="A169" i="7"/>
  <c r="D168" i="7"/>
  <c r="C168" i="7"/>
  <c r="B168" i="7"/>
  <c r="A168" i="7"/>
  <c r="D167" i="7"/>
  <c r="C167" i="7"/>
  <c r="B167" i="7"/>
  <c r="A167" i="7"/>
  <c r="D166" i="7"/>
  <c r="C166" i="7"/>
  <c r="B166" i="7"/>
  <c r="A166" i="7"/>
  <c r="D165" i="7"/>
  <c r="C165" i="7"/>
  <c r="B165" i="7"/>
  <c r="A165" i="7"/>
  <c r="D164" i="7"/>
  <c r="C164" i="7"/>
  <c r="B164" i="7"/>
  <c r="A164" i="7"/>
  <c r="D163" i="7"/>
  <c r="C163" i="7"/>
  <c r="B163" i="7"/>
  <c r="A163" i="7"/>
  <c r="D162" i="7"/>
  <c r="C162" i="7"/>
  <c r="B162" i="7"/>
  <c r="A162" i="7"/>
  <c r="D161" i="7"/>
  <c r="C161" i="7"/>
  <c r="B161" i="7"/>
  <c r="A161" i="7"/>
  <c r="D160" i="7"/>
  <c r="C160" i="7"/>
  <c r="B160" i="7"/>
  <c r="A160" i="7"/>
  <c r="D159" i="7"/>
  <c r="C159" i="7"/>
  <c r="B159" i="7"/>
  <c r="A159" i="7"/>
  <c r="D158" i="7"/>
  <c r="C158" i="7"/>
  <c r="B158" i="7"/>
  <c r="A158" i="7"/>
  <c r="D157" i="7"/>
  <c r="C157" i="7"/>
  <c r="B157" i="7"/>
  <c r="A157" i="7"/>
  <c r="D156" i="7"/>
  <c r="C156" i="7"/>
  <c r="B156" i="7"/>
  <c r="A156" i="7"/>
  <c r="D155" i="7"/>
  <c r="C155" i="7"/>
  <c r="B155" i="7"/>
  <c r="A155" i="7"/>
  <c r="D154" i="7"/>
  <c r="C154" i="7"/>
  <c r="B154" i="7"/>
  <c r="A154" i="7"/>
  <c r="D153" i="7"/>
  <c r="C153" i="7"/>
  <c r="B153" i="7"/>
  <c r="A153" i="7"/>
  <c r="D152" i="7"/>
  <c r="C152" i="7"/>
  <c r="B152" i="7"/>
  <c r="A152" i="7"/>
  <c r="D151" i="7"/>
  <c r="C151" i="7"/>
  <c r="B151" i="7"/>
  <c r="A151" i="7"/>
  <c r="D150" i="7"/>
  <c r="C150" i="7"/>
  <c r="B150" i="7"/>
  <c r="A150" i="7"/>
  <c r="D149" i="7"/>
  <c r="C149" i="7"/>
  <c r="B149" i="7"/>
  <c r="A149" i="7"/>
  <c r="D148" i="7"/>
  <c r="C148" i="7"/>
  <c r="B148" i="7"/>
  <c r="A148" i="7"/>
  <c r="D147" i="7"/>
  <c r="C147" i="7"/>
  <c r="B147" i="7"/>
  <c r="A147" i="7"/>
  <c r="D146" i="7"/>
  <c r="C146" i="7"/>
  <c r="B146" i="7"/>
  <c r="A146" i="7"/>
  <c r="D145" i="7"/>
  <c r="C145" i="7"/>
  <c r="B145" i="7"/>
  <c r="A145" i="7"/>
  <c r="D144" i="7"/>
  <c r="C144" i="7"/>
  <c r="B144" i="7"/>
  <c r="A144" i="7"/>
  <c r="D143" i="7"/>
  <c r="C143" i="7"/>
  <c r="B143" i="7"/>
  <c r="A143" i="7"/>
  <c r="D142" i="7"/>
  <c r="C142" i="7"/>
  <c r="B142" i="7"/>
  <c r="A142" i="7"/>
  <c r="D141" i="7"/>
  <c r="C141" i="7"/>
  <c r="B141" i="7"/>
  <c r="A141" i="7"/>
  <c r="D140" i="7"/>
  <c r="C140" i="7"/>
  <c r="B140" i="7"/>
  <c r="A140" i="7"/>
  <c r="D139" i="7"/>
  <c r="C139" i="7"/>
  <c r="B139" i="7"/>
  <c r="A139" i="7"/>
  <c r="D138" i="7"/>
  <c r="C138" i="7"/>
  <c r="B138" i="7"/>
  <c r="A138" i="7"/>
  <c r="D137" i="7"/>
  <c r="C137" i="7"/>
  <c r="B137" i="7"/>
  <c r="A137" i="7"/>
  <c r="D136" i="7"/>
  <c r="C136" i="7"/>
  <c r="B136" i="7"/>
  <c r="A136" i="7"/>
  <c r="D135" i="7"/>
  <c r="C135" i="7"/>
  <c r="B135" i="7"/>
  <c r="A135" i="7"/>
  <c r="D134" i="7"/>
  <c r="C134" i="7"/>
  <c r="B134" i="7"/>
  <c r="A134" i="7"/>
  <c r="D133" i="7"/>
  <c r="C133" i="7"/>
  <c r="B133" i="7"/>
  <c r="A133" i="7"/>
  <c r="D132" i="7"/>
  <c r="C132" i="7"/>
  <c r="B132" i="7"/>
  <c r="A132" i="7"/>
  <c r="D131" i="7"/>
  <c r="C131" i="7"/>
  <c r="B131" i="7"/>
  <c r="A131" i="7"/>
  <c r="D130" i="7"/>
  <c r="C130" i="7"/>
  <c r="B130" i="7"/>
  <c r="A130" i="7"/>
  <c r="D129" i="7"/>
  <c r="C129" i="7"/>
  <c r="B129" i="7"/>
  <c r="A129" i="7"/>
  <c r="D128" i="7"/>
  <c r="C128" i="7"/>
  <c r="B128" i="7"/>
  <c r="A128" i="7"/>
  <c r="D127" i="7"/>
  <c r="C127" i="7"/>
  <c r="B127" i="7"/>
  <c r="A127" i="7"/>
  <c r="D126" i="7"/>
  <c r="C126" i="7"/>
  <c r="B126" i="7"/>
  <c r="A126" i="7"/>
  <c r="D125" i="7"/>
  <c r="C125" i="7"/>
  <c r="B125" i="7"/>
  <c r="A125" i="7"/>
  <c r="D124" i="7"/>
  <c r="C124" i="7"/>
  <c r="B124" i="7"/>
  <c r="A124" i="7"/>
  <c r="D123" i="7"/>
  <c r="C123" i="7"/>
  <c r="B123" i="7"/>
  <c r="A123" i="7"/>
  <c r="D122" i="7"/>
  <c r="C122" i="7"/>
  <c r="B122" i="7"/>
  <c r="A122" i="7"/>
  <c r="D121" i="7"/>
  <c r="C121" i="7"/>
  <c r="B121" i="7"/>
  <c r="A121" i="7"/>
  <c r="D120" i="7"/>
  <c r="C120" i="7"/>
  <c r="B120" i="7"/>
  <c r="A120" i="7"/>
  <c r="D119" i="7"/>
  <c r="C119" i="7"/>
  <c r="B119" i="7"/>
  <c r="A119" i="7"/>
  <c r="D118" i="7"/>
  <c r="C118" i="7"/>
  <c r="B118" i="7"/>
  <c r="A118" i="7"/>
  <c r="D117" i="7"/>
  <c r="C117" i="7"/>
  <c r="B117" i="7"/>
  <c r="A117" i="7"/>
  <c r="D116" i="7"/>
  <c r="C116" i="7"/>
  <c r="B116" i="7"/>
  <c r="A116" i="7"/>
  <c r="D115" i="7"/>
  <c r="C115" i="7"/>
  <c r="B115" i="7"/>
  <c r="A115" i="7"/>
  <c r="D114" i="7"/>
  <c r="C114" i="7"/>
  <c r="B114" i="7"/>
  <c r="A114" i="7"/>
  <c r="D113" i="7"/>
  <c r="C113" i="7"/>
  <c r="B113" i="7"/>
  <c r="A113" i="7"/>
  <c r="D112" i="7"/>
  <c r="C112" i="7"/>
  <c r="B112" i="7"/>
  <c r="A112" i="7"/>
  <c r="D111" i="7"/>
  <c r="C111" i="7"/>
  <c r="B111" i="7"/>
  <c r="A111" i="7"/>
  <c r="D110" i="7"/>
  <c r="C110" i="7"/>
  <c r="B110" i="7"/>
  <c r="A110" i="7"/>
  <c r="D109" i="7"/>
  <c r="C109" i="7"/>
  <c r="B109" i="7"/>
  <c r="A109" i="7"/>
  <c r="D108" i="7"/>
  <c r="C108" i="7"/>
  <c r="B108" i="7"/>
  <c r="A108" i="7"/>
  <c r="D107" i="7"/>
  <c r="C107" i="7"/>
  <c r="B107" i="7"/>
  <c r="A107" i="7"/>
  <c r="D106" i="7"/>
  <c r="C106" i="7"/>
  <c r="B106" i="7"/>
  <c r="A106" i="7"/>
  <c r="D105" i="7"/>
  <c r="C105" i="7"/>
  <c r="B105" i="7"/>
  <c r="A105" i="7"/>
  <c r="D104" i="7"/>
  <c r="C104" i="7"/>
  <c r="B104" i="7"/>
  <c r="A104" i="7"/>
  <c r="D103" i="7"/>
  <c r="C103" i="7"/>
  <c r="B103" i="7"/>
  <c r="A103" i="7"/>
  <c r="D102" i="7"/>
  <c r="C102" i="7"/>
  <c r="B102" i="7"/>
  <c r="A102" i="7"/>
  <c r="D101" i="7"/>
  <c r="C101" i="7"/>
  <c r="B101" i="7"/>
  <c r="A101" i="7"/>
  <c r="D100" i="7"/>
  <c r="C100" i="7"/>
  <c r="B100" i="7"/>
  <c r="A100" i="7"/>
  <c r="D99" i="7"/>
  <c r="C99" i="7"/>
  <c r="B99" i="7"/>
  <c r="A99" i="7"/>
  <c r="D98" i="7"/>
  <c r="C98" i="7"/>
  <c r="B98" i="7"/>
  <c r="A98" i="7"/>
  <c r="D97" i="7"/>
  <c r="C97" i="7"/>
  <c r="B97" i="7"/>
  <c r="A97" i="7"/>
  <c r="D96" i="7"/>
  <c r="C96" i="7"/>
  <c r="B96" i="7"/>
  <c r="A96" i="7"/>
  <c r="D95" i="7"/>
  <c r="C95" i="7"/>
  <c r="B95" i="7"/>
  <c r="A95" i="7"/>
  <c r="D94" i="7"/>
  <c r="C94" i="7"/>
  <c r="B94" i="7"/>
  <c r="A94" i="7"/>
  <c r="D93" i="7"/>
  <c r="C93" i="7"/>
  <c r="B93" i="7"/>
  <c r="A93" i="7"/>
  <c r="D92" i="7"/>
  <c r="C92" i="7"/>
  <c r="B92" i="7"/>
  <c r="A92" i="7"/>
  <c r="D91" i="7"/>
  <c r="C91" i="7"/>
  <c r="B91" i="7"/>
  <c r="A91" i="7"/>
  <c r="D90" i="7"/>
  <c r="C90" i="7"/>
  <c r="B90" i="7"/>
  <c r="A90" i="7"/>
  <c r="D89" i="7"/>
  <c r="C89" i="7"/>
  <c r="B89" i="7"/>
  <c r="A89" i="7"/>
  <c r="D88" i="7"/>
  <c r="C88" i="7"/>
  <c r="B88" i="7"/>
  <c r="A88" i="7"/>
  <c r="D87" i="7"/>
  <c r="C87" i="7"/>
  <c r="B87" i="7"/>
  <c r="A87" i="7"/>
  <c r="D86" i="7"/>
  <c r="C86" i="7"/>
  <c r="B86" i="7"/>
  <c r="A86" i="7"/>
  <c r="D85" i="7"/>
  <c r="C85" i="7"/>
  <c r="B85" i="7"/>
  <c r="A85" i="7"/>
  <c r="D84" i="7"/>
  <c r="C84" i="7"/>
  <c r="B84" i="7"/>
  <c r="A84" i="7"/>
  <c r="D83" i="7"/>
  <c r="C83" i="7"/>
  <c r="B83" i="7"/>
  <c r="A83" i="7"/>
  <c r="D82" i="7"/>
  <c r="C82" i="7"/>
  <c r="B82" i="7"/>
  <c r="A82" i="7"/>
  <c r="D81" i="7"/>
  <c r="C81" i="7"/>
  <c r="B81" i="7"/>
  <c r="A81" i="7"/>
  <c r="D80" i="7"/>
  <c r="C80" i="7"/>
  <c r="B80" i="7"/>
  <c r="A80" i="7"/>
  <c r="D79" i="7"/>
  <c r="C79" i="7"/>
  <c r="B79" i="7"/>
  <c r="D78" i="7"/>
  <c r="C78" i="7"/>
  <c r="B78" i="7"/>
  <c r="A78" i="7"/>
  <c r="D77" i="7"/>
  <c r="C77" i="7"/>
  <c r="B77" i="7"/>
  <c r="A77" i="7"/>
  <c r="D76" i="7"/>
  <c r="C76" i="7"/>
  <c r="B76" i="7"/>
  <c r="A76" i="7"/>
  <c r="D75" i="7"/>
  <c r="C75" i="7"/>
  <c r="B75" i="7"/>
  <c r="A75" i="7"/>
  <c r="D74" i="7"/>
  <c r="C74" i="7"/>
  <c r="B74" i="7"/>
  <c r="A74" i="7"/>
  <c r="D73" i="7"/>
  <c r="C73" i="7"/>
  <c r="B73" i="7"/>
  <c r="A73" i="7"/>
  <c r="D72" i="7"/>
  <c r="C72" i="7"/>
  <c r="B72" i="7"/>
  <c r="A72" i="7"/>
  <c r="D71" i="7"/>
  <c r="C71" i="7"/>
  <c r="B71" i="7"/>
  <c r="A71" i="7"/>
  <c r="D70" i="7"/>
  <c r="C70" i="7"/>
  <c r="B70" i="7"/>
  <c r="A70" i="7"/>
  <c r="D69" i="7"/>
  <c r="C69" i="7"/>
  <c r="B69" i="7"/>
  <c r="A69" i="7"/>
  <c r="D68" i="7"/>
  <c r="C68" i="7"/>
  <c r="B68" i="7"/>
  <c r="A68" i="7"/>
  <c r="D67" i="7"/>
  <c r="C67" i="7"/>
  <c r="B67" i="7"/>
  <c r="A67" i="7"/>
  <c r="D66" i="7"/>
  <c r="C66" i="7"/>
  <c r="B66" i="7"/>
  <c r="A66" i="7"/>
  <c r="D65" i="7"/>
  <c r="C65" i="7"/>
  <c r="B65" i="7"/>
  <c r="A65" i="7"/>
  <c r="D64" i="7"/>
  <c r="C64" i="7"/>
  <c r="B64" i="7"/>
  <c r="A64" i="7"/>
  <c r="D63" i="7"/>
  <c r="C63" i="7"/>
  <c r="B63" i="7"/>
  <c r="A63" i="7"/>
  <c r="D62" i="7"/>
  <c r="C62" i="7"/>
  <c r="B62" i="7"/>
  <c r="A62" i="7"/>
  <c r="D61" i="7"/>
  <c r="C61" i="7"/>
  <c r="B61" i="7"/>
  <c r="A61" i="7"/>
  <c r="D60" i="7"/>
  <c r="C60" i="7"/>
  <c r="B60" i="7"/>
  <c r="A60" i="7"/>
  <c r="D59" i="7"/>
  <c r="C59" i="7"/>
  <c r="B59" i="7"/>
  <c r="A59" i="7"/>
  <c r="D58" i="7"/>
  <c r="C58" i="7"/>
  <c r="B58" i="7"/>
  <c r="A58" i="7"/>
  <c r="D57" i="7"/>
  <c r="C57" i="7"/>
  <c r="B57" i="7"/>
  <c r="A57" i="7"/>
  <c r="D56" i="7"/>
  <c r="C56" i="7"/>
  <c r="B56" i="7"/>
  <c r="A56" i="7"/>
  <c r="D55" i="7"/>
  <c r="C55" i="7"/>
  <c r="B55" i="7"/>
  <c r="A55" i="7"/>
  <c r="D54" i="7"/>
  <c r="C54" i="7"/>
  <c r="B54" i="7"/>
  <c r="A54" i="7"/>
  <c r="D53" i="7"/>
  <c r="C53" i="7"/>
  <c r="B53" i="7"/>
  <c r="A53" i="7"/>
  <c r="D52" i="7"/>
  <c r="C52" i="7"/>
  <c r="B52" i="7"/>
  <c r="A52" i="7"/>
  <c r="D51" i="7"/>
  <c r="C51" i="7"/>
  <c r="B51" i="7"/>
  <c r="A51" i="7"/>
  <c r="D50" i="7"/>
  <c r="C50" i="7"/>
  <c r="B50" i="7"/>
  <c r="A50" i="7"/>
  <c r="D49" i="7"/>
  <c r="C49" i="7"/>
  <c r="B49" i="7"/>
  <c r="A49" i="7"/>
  <c r="D48" i="7"/>
  <c r="C48" i="7"/>
  <c r="B48" i="7"/>
  <c r="A48" i="7"/>
  <c r="D47" i="7"/>
  <c r="C47" i="7"/>
  <c r="B47" i="7"/>
  <c r="A47" i="7"/>
  <c r="D46" i="7"/>
  <c r="C46" i="7"/>
  <c r="B46" i="7"/>
  <c r="A46" i="7"/>
  <c r="D45" i="7"/>
  <c r="C45" i="7"/>
  <c r="B45" i="7"/>
  <c r="A45" i="7"/>
  <c r="D44" i="7"/>
  <c r="C44" i="7"/>
  <c r="B44" i="7"/>
  <c r="A44" i="7"/>
  <c r="D43" i="7"/>
  <c r="C43" i="7"/>
  <c r="B43" i="7"/>
  <c r="A43" i="7"/>
  <c r="D42" i="7"/>
  <c r="C42" i="7"/>
  <c r="B42" i="7"/>
  <c r="A42" i="7"/>
  <c r="D41" i="7"/>
  <c r="C41" i="7"/>
  <c r="B41" i="7"/>
  <c r="A41" i="7"/>
  <c r="D40" i="7"/>
  <c r="C40" i="7"/>
  <c r="B40" i="7"/>
  <c r="A40" i="7"/>
  <c r="D39" i="7"/>
  <c r="C39" i="7"/>
  <c r="B39" i="7"/>
  <c r="A39" i="7"/>
  <c r="D38" i="7"/>
  <c r="C38" i="7"/>
  <c r="B38" i="7"/>
  <c r="A38" i="7"/>
  <c r="D37" i="7"/>
  <c r="C37" i="7"/>
  <c r="B37" i="7"/>
  <c r="A37" i="7"/>
  <c r="D36" i="7"/>
  <c r="C36" i="7"/>
  <c r="B36" i="7"/>
  <c r="A36" i="7"/>
  <c r="D35" i="7"/>
  <c r="C35" i="7"/>
  <c r="B35" i="7"/>
  <c r="A35" i="7"/>
  <c r="D34" i="7"/>
  <c r="C34" i="7"/>
  <c r="B34" i="7"/>
  <c r="A34" i="7"/>
  <c r="D33" i="7"/>
  <c r="C33" i="7"/>
  <c r="B33" i="7"/>
  <c r="A33" i="7"/>
  <c r="D32" i="7"/>
  <c r="C32" i="7"/>
  <c r="B32" i="7"/>
  <c r="A32" i="7"/>
  <c r="D31" i="7"/>
  <c r="C31" i="7"/>
  <c r="B31" i="7"/>
  <c r="A31" i="7"/>
  <c r="D30" i="7"/>
  <c r="C30" i="7"/>
  <c r="B30" i="7"/>
  <c r="A30" i="7"/>
  <c r="D29" i="7"/>
  <c r="C29" i="7"/>
  <c r="B29" i="7"/>
  <c r="A29" i="7"/>
  <c r="D28" i="7"/>
  <c r="C28" i="7"/>
  <c r="B28" i="7"/>
  <c r="A28" i="7"/>
  <c r="D27" i="7"/>
  <c r="C27" i="7"/>
  <c r="B27" i="7"/>
  <c r="A27" i="7"/>
  <c r="D26" i="7"/>
  <c r="C26" i="7"/>
  <c r="B26" i="7"/>
  <c r="A26" i="7"/>
  <c r="D25" i="7"/>
  <c r="C25" i="7"/>
  <c r="B25" i="7"/>
  <c r="A25" i="7"/>
  <c r="D24" i="7"/>
  <c r="C24" i="7"/>
  <c r="B24" i="7"/>
  <c r="A24" i="7"/>
  <c r="D23" i="7"/>
  <c r="C23" i="7"/>
  <c r="B23" i="7"/>
  <c r="A23" i="7"/>
  <c r="D22" i="7"/>
  <c r="C22" i="7"/>
  <c r="B22" i="7"/>
  <c r="A22" i="7"/>
  <c r="D21" i="7"/>
  <c r="C21" i="7"/>
  <c r="B21" i="7"/>
  <c r="A21" i="7"/>
  <c r="D20" i="7"/>
  <c r="C20" i="7"/>
  <c r="B20" i="7"/>
  <c r="A20" i="7"/>
  <c r="D19" i="7"/>
  <c r="C19" i="7"/>
  <c r="B19" i="7"/>
  <c r="A19" i="7"/>
  <c r="D18" i="7"/>
  <c r="C18" i="7"/>
  <c r="B18" i="7"/>
  <c r="A18" i="7"/>
  <c r="D17" i="7"/>
  <c r="C17" i="7"/>
  <c r="B17" i="7"/>
  <c r="A17" i="7"/>
  <c r="D16" i="7"/>
  <c r="C16" i="7"/>
  <c r="B16" i="7"/>
  <c r="A16" i="7"/>
  <c r="D15" i="7"/>
  <c r="C15" i="7"/>
  <c r="B15" i="7"/>
  <c r="A15" i="7"/>
  <c r="D14" i="7"/>
  <c r="C14" i="7"/>
  <c r="B14" i="7"/>
  <c r="A14" i="7"/>
  <c r="D13" i="7"/>
  <c r="C13" i="7"/>
  <c r="B13" i="7"/>
  <c r="A13" i="7"/>
  <c r="D12" i="7"/>
  <c r="C12" i="7"/>
  <c r="B12" i="7"/>
  <c r="A12" i="7"/>
  <c r="C11" i="7"/>
  <c r="B11" i="7"/>
  <c r="A11" i="7"/>
  <c r="D10" i="7"/>
  <c r="C10" i="7"/>
  <c r="B10" i="7"/>
  <c r="A10" i="7"/>
  <c r="D9" i="7"/>
  <c r="C9" i="7"/>
  <c r="B9" i="7"/>
  <c r="A9" i="7"/>
  <c r="D8" i="7"/>
  <c r="C8" i="7"/>
  <c r="B8" i="7"/>
  <c r="A8" i="7"/>
  <c r="D7" i="7"/>
  <c r="C7" i="7"/>
  <c r="B7" i="7"/>
  <c r="A7" i="7"/>
  <c r="D6" i="7"/>
  <c r="C6" i="7"/>
  <c r="B6" i="7"/>
  <c r="A6" i="7"/>
  <c r="D5" i="7"/>
  <c r="C5" i="7"/>
  <c r="B5" i="7"/>
  <c r="A5" i="7"/>
  <c r="C354" i="5"/>
  <c r="B354" i="5"/>
  <c r="A354" i="5"/>
  <c r="C353" i="5"/>
  <c r="B353" i="5"/>
  <c r="A353" i="5"/>
  <c r="C352" i="5"/>
  <c r="B352" i="5"/>
  <c r="A352" i="5"/>
  <c r="C351" i="5"/>
  <c r="B351" i="5"/>
  <c r="A351" i="5"/>
  <c r="C350" i="5"/>
  <c r="B350" i="5"/>
  <c r="A350" i="5"/>
  <c r="C349" i="5"/>
  <c r="B349" i="5"/>
  <c r="A349" i="5"/>
  <c r="C348" i="5"/>
  <c r="B348" i="5"/>
  <c r="A348" i="5"/>
  <c r="C347" i="5"/>
  <c r="B347" i="5"/>
  <c r="A347" i="5"/>
  <c r="C346" i="5"/>
  <c r="B346" i="5"/>
  <c r="A346" i="5"/>
  <c r="C345" i="5"/>
  <c r="B345" i="5"/>
  <c r="A345" i="5"/>
  <c r="C344" i="5"/>
  <c r="B344" i="5"/>
  <c r="A344" i="5"/>
  <c r="C343" i="5"/>
  <c r="B343" i="5"/>
  <c r="A343" i="5"/>
  <c r="C342" i="5"/>
  <c r="B342" i="5"/>
  <c r="A342" i="5"/>
  <c r="C341" i="5"/>
  <c r="B341" i="5"/>
  <c r="A341" i="5"/>
  <c r="C340" i="5"/>
  <c r="B340" i="5"/>
  <c r="A340" i="5"/>
  <c r="C339" i="5"/>
  <c r="B339" i="5"/>
  <c r="A339" i="5"/>
  <c r="C338" i="5"/>
  <c r="B338" i="5"/>
  <c r="A338" i="5"/>
  <c r="C337" i="5"/>
  <c r="B337" i="5"/>
  <c r="A337" i="5"/>
  <c r="C336" i="5"/>
  <c r="B336" i="5"/>
  <c r="A336" i="5"/>
  <c r="C335" i="5"/>
  <c r="B335" i="5"/>
  <c r="A335" i="5"/>
  <c r="C334" i="5"/>
  <c r="B334" i="5"/>
  <c r="A334" i="5"/>
  <c r="C333" i="5"/>
  <c r="B333" i="5"/>
  <c r="A333" i="5"/>
  <c r="C332" i="5"/>
  <c r="B332" i="5"/>
  <c r="A332" i="5"/>
  <c r="C331" i="5"/>
  <c r="B331" i="5"/>
  <c r="A331" i="5"/>
  <c r="C330" i="5"/>
  <c r="B330" i="5"/>
  <c r="A330" i="5"/>
  <c r="C329" i="5"/>
  <c r="B329" i="5"/>
  <c r="A329" i="5"/>
  <c r="C328" i="5"/>
  <c r="B328" i="5"/>
  <c r="A328" i="5"/>
  <c r="C327" i="5"/>
  <c r="B327" i="5"/>
  <c r="A327" i="5"/>
  <c r="C326" i="5"/>
  <c r="B326" i="5"/>
  <c r="A326" i="5"/>
  <c r="C325" i="5"/>
  <c r="B325" i="5"/>
  <c r="A325" i="5"/>
  <c r="C324" i="5"/>
  <c r="B324" i="5"/>
  <c r="A324" i="5"/>
  <c r="C323" i="5"/>
  <c r="B323" i="5"/>
  <c r="A323" i="5"/>
  <c r="C322" i="5"/>
  <c r="B322" i="5"/>
  <c r="A322" i="5"/>
  <c r="C321" i="5"/>
  <c r="B321" i="5"/>
  <c r="A321" i="5"/>
  <c r="C320" i="5"/>
  <c r="B320" i="5"/>
  <c r="A320" i="5"/>
  <c r="C319" i="5"/>
  <c r="B319" i="5"/>
  <c r="A319" i="5"/>
  <c r="C318" i="5"/>
  <c r="B318" i="5"/>
  <c r="A318" i="5"/>
  <c r="C317" i="5"/>
  <c r="B317" i="5"/>
  <c r="A317" i="5"/>
  <c r="C316" i="5"/>
  <c r="B316" i="5"/>
  <c r="A316" i="5"/>
  <c r="C315" i="5"/>
  <c r="B315" i="5"/>
  <c r="A315" i="5"/>
  <c r="C314" i="5"/>
  <c r="B314" i="5"/>
  <c r="A314" i="5"/>
  <c r="C313" i="5"/>
  <c r="B313" i="5"/>
  <c r="A313" i="5"/>
  <c r="C312" i="5"/>
  <c r="B312" i="5"/>
  <c r="A312" i="5"/>
  <c r="C311" i="5"/>
  <c r="B311" i="5"/>
  <c r="A311" i="5"/>
  <c r="C310" i="5"/>
  <c r="B310" i="5"/>
  <c r="A310" i="5"/>
  <c r="C309" i="5"/>
  <c r="B309" i="5"/>
  <c r="A309" i="5"/>
  <c r="C308" i="5"/>
  <c r="B308" i="5"/>
  <c r="A308" i="5"/>
  <c r="C307" i="5"/>
  <c r="B307" i="5"/>
  <c r="A307" i="5"/>
  <c r="C306" i="5"/>
  <c r="B306" i="5"/>
  <c r="A306" i="5"/>
  <c r="C305" i="5"/>
  <c r="B305" i="5"/>
  <c r="A305" i="5"/>
  <c r="C304" i="5"/>
  <c r="B304" i="5"/>
  <c r="A304" i="5"/>
  <c r="C303" i="5"/>
  <c r="B303" i="5"/>
  <c r="A303" i="5"/>
  <c r="C302" i="5"/>
  <c r="B302" i="5"/>
  <c r="A302" i="5"/>
  <c r="C301" i="5"/>
  <c r="B301" i="5"/>
  <c r="A301" i="5"/>
  <c r="C300" i="5"/>
  <c r="B300" i="5"/>
  <c r="A300" i="5"/>
  <c r="C299" i="5"/>
  <c r="B299" i="5"/>
  <c r="A299" i="5"/>
  <c r="C298" i="5"/>
  <c r="B298" i="5"/>
  <c r="A298" i="5"/>
  <c r="C297" i="5"/>
  <c r="B297" i="5"/>
  <c r="A297" i="5"/>
  <c r="C296" i="5"/>
  <c r="B296" i="5"/>
  <c r="A296" i="5"/>
  <c r="C295" i="5"/>
  <c r="B295" i="5"/>
  <c r="A295" i="5"/>
  <c r="C294" i="5"/>
  <c r="B294" i="5"/>
  <c r="A294" i="5"/>
  <c r="C293" i="5"/>
  <c r="B293" i="5"/>
  <c r="A293" i="5"/>
  <c r="C292" i="5"/>
  <c r="B292" i="5"/>
  <c r="A292" i="5"/>
  <c r="C291" i="5"/>
  <c r="B291" i="5"/>
  <c r="A291" i="5"/>
  <c r="C290" i="5"/>
  <c r="B290" i="5"/>
  <c r="A290" i="5"/>
  <c r="C289" i="5"/>
  <c r="B289" i="5"/>
  <c r="A289" i="5"/>
  <c r="C288" i="5"/>
  <c r="B288" i="5"/>
  <c r="A288" i="5"/>
  <c r="C287" i="5"/>
  <c r="B287" i="5"/>
  <c r="A287" i="5"/>
  <c r="C286" i="5"/>
  <c r="B286" i="5"/>
  <c r="A286" i="5"/>
  <c r="C285" i="5"/>
  <c r="B285" i="5"/>
  <c r="A285" i="5"/>
  <c r="C284" i="5"/>
  <c r="B284" i="5"/>
  <c r="A284" i="5"/>
  <c r="C283" i="5"/>
  <c r="B283" i="5"/>
  <c r="A283" i="5"/>
  <c r="C282" i="5"/>
  <c r="B282" i="5"/>
  <c r="A282" i="5"/>
  <c r="C281" i="5"/>
  <c r="B281" i="5"/>
  <c r="A281" i="5"/>
  <c r="C280" i="5"/>
  <c r="B280" i="5"/>
  <c r="A280" i="5"/>
  <c r="C279" i="5"/>
  <c r="B279" i="5"/>
  <c r="A279" i="5"/>
  <c r="C278" i="5"/>
  <c r="B278" i="5"/>
  <c r="A278" i="5"/>
  <c r="C277" i="5"/>
  <c r="B277" i="5"/>
  <c r="A277" i="5"/>
  <c r="C276" i="5"/>
  <c r="B276" i="5"/>
  <c r="A276" i="5"/>
  <c r="C275" i="5"/>
  <c r="B275" i="5"/>
  <c r="A275" i="5"/>
  <c r="C274" i="5"/>
  <c r="B274" i="5"/>
  <c r="A274" i="5"/>
  <c r="C273" i="5"/>
  <c r="B273" i="5"/>
  <c r="A273" i="5"/>
  <c r="C272" i="5"/>
  <c r="B272" i="5"/>
  <c r="A272" i="5"/>
  <c r="C271" i="5"/>
  <c r="B271" i="5"/>
  <c r="A271" i="5"/>
  <c r="C270" i="5"/>
  <c r="B270" i="5"/>
  <c r="A270" i="5"/>
  <c r="C269" i="5"/>
  <c r="B269" i="5"/>
  <c r="A269" i="5"/>
  <c r="C268" i="5"/>
  <c r="B268" i="5"/>
  <c r="A268" i="5"/>
  <c r="C267" i="5"/>
  <c r="B267" i="5"/>
  <c r="A267" i="5"/>
  <c r="C266" i="5"/>
  <c r="B266" i="5"/>
  <c r="A266" i="5"/>
  <c r="C265" i="5"/>
  <c r="B265" i="5"/>
  <c r="A265" i="5"/>
  <c r="C264" i="5"/>
  <c r="B264" i="5"/>
  <c r="A264" i="5"/>
  <c r="C263" i="5"/>
  <c r="B263" i="5"/>
  <c r="A263" i="5"/>
  <c r="C262" i="5"/>
  <c r="B262" i="5"/>
  <c r="A262" i="5"/>
  <c r="C261" i="5"/>
  <c r="B261" i="5"/>
  <c r="A261" i="5"/>
  <c r="C260" i="5"/>
  <c r="B260" i="5"/>
  <c r="A260" i="5"/>
  <c r="C259" i="5"/>
  <c r="B259" i="5"/>
  <c r="A259" i="5"/>
  <c r="C258" i="5"/>
  <c r="B258" i="5"/>
  <c r="A258" i="5"/>
  <c r="C257" i="5"/>
  <c r="B257" i="5"/>
  <c r="A257" i="5"/>
  <c r="C256" i="5"/>
  <c r="B256" i="5"/>
  <c r="A256" i="5"/>
  <c r="C255" i="5"/>
  <c r="B255" i="5"/>
  <c r="A255" i="5"/>
  <c r="C254" i="5"/>
  <c r="B254" i="5"/>
  <c r="A254" i="5"/>
  <c r="C253" i="5"/>
  <c r="B253" i="5"/>
  <c r="A253" i="5"/>
  <c r="C252" i="5"/>
  <c r="B252" i="5"/>
  <c r="A252" i="5"/>
  <c r="C251" i="5"/>
  <c r="B251" i="5"/>
  <c r="A251" i="5"/>
  <c r="C250" i="5"/>
  <c r="B250" i="5"/>
  <c r="A250" i="5"/>
  <c r="C249" i="5"/>
  <c r="B249" i="5"/>
  <c r="A249" i="5"/>
  <c r="C248" i="5"/>
  <c r="B248" i="5"/>
  <c r="A248" i="5"/>
  <c r="C247" i="5"/>
  <c r="B247" i="5"/>
  <c r="A247" i="5"/>
  <c r="C246" i="5"/>
  <c r="B246" i="5"/>
  <c r="A246" i="5"/>
  <c r="C245" i="5"/>
  <c r="B245" i="5"/>
  <c r="A245" i="5"/>
  <c r="C244" i="5"/>
  <c r="B244" i="5"/>
  <c r="A244" i="5"/>
  <c r="C243" i="5"/>
  <c r="B243" i="5"/>
  <c r="A243" i="5"/>
  <c r="C242" i="5"/>
  <c r="B242" i="5"/>
  <c r="A242" i="5"/>
  <c r="C241" i="5"/>
  <c r="B241" i="5"/>
  <c r="A241" i="5"/>
  <c r="C240" i="5"/>
  <c r="B240" i="5"/>
  <c r="A240" i="5"/>
  <c r="C239" i="5"/>
  <c r="B239" i="5"/>
  <c r="A239" i="5"/>
  <c r="C238" i="5"/>
  <c r="B238" i="5"/>
  <c r="A238" i="5"/>
  <c r="C237" i="5"/>
  <c r="B237" i="5"/>
  <c r="A237" i="5"/>
  <c r="C236" i="5"/>
  <c r="B236" i="5"/>
  <c r="A236" i="5"/>
  <c r="C235" i="5"/>
  <c r="B235" i="5"/>
  <c r="A235" i="5"/>
  <c r="C234" i="5"/>
  <c r="B234" i="5"/>
  <c r="A234" i="5"/>
  <c r="C233" i="5"/>
  <c r="B233" i="5"/>
  <c r="A233" i="5"/>
  <c r="C232" i="5"/>
  <c r="B232" i="5"/>
  <c r="A232" i="5"/>
  <c r="C231" i="5"/>
  <c r="B231" i="5"/>
  <c r="A231" i="5"/>
  <c r="C230" i="5"/>
  <c r="B230" i="5"/>
  <c r="A230" i="5"/>
  <c r="C229" i="5"/>
  <c r="B229" i="5"/>
  <c r="A229" i="5"/>
  <c r="C228" i="5"/>
  <c r="B228" i="5"/>
  <c r="A228" i="5"/>
  <c r="C227" i="5"/>
  <c r="B227" i="5"/>
  <c r="A227" i="5"/>
  <c r="C226" i="5"/>
  <c r="B226" i="5"/>
  <c r="A226" i="5"/>
  <c r="C225" i="5"/>
  <c r="B225" i="5"/>
  <c r="A225" i="5"/>
  <c r="C224" i="5"/>
  <c r="B224" i="5"/>
  <c r="A224" i="5"/>
  <c r="C223" i="5"/>
  <c r="B223" i="5"/>
  <c r="A223" i="5"/>
  <c r="C222" i="5"/>
  <c r="B222" i="5"/>
  <c r="A222" i="5"/>
  <c r="C221" i="5"/>
  <c r="B221" i="5"/>
  <c r="A221" i="5"/>
  <c r="C220" i="5"/>
  <c r="B220" i="5"/>
  <c r="A220" i="5"/>
  <c r="C219" i="5"/>
  <c r="B219" i="5"/>
  <c r="A219" i="5"/>
  <c r="C218" i="5"/>
  <c r="B218" i="5"/>
  <c r="A218" i="5"/>
  <c r="C217" i="5"/>
  <c r="B217" i="5"/>
  <c r="A217" i="5"/>
  <c r="C216" i="5"/>
  <c r="B216" i="5"/>
  <c r="A216" i="5"/>
  <c r="C215" i="5"/>
  <c r="B215" i="5"/>
  <c r="A215" i="5"/>
  <c r="C214" i="5"/>
  <c r="B214" i="5"/>
  <c r="A214" i="5"/>
  <c r="C213" i="5"/>
  <c r="B213" i="5"/>
  <c r="A213" i="5"/>
  <c r="C212" i="5"/>
  <c r="B212" i="5"/>
  <c r="A212" i="5"/>
  <c r="C211" i="5"/>
  <c r="B211" i="5"/>
  <c r="A211" i="5"/>
  <c r="C210" i="5"/>
  <c r="B210" i="5"/>
  <c r="A210" i="5"/>
  <c r="C209" i="5"/>
  <c r="B209" i="5"/>
  <c r="A209" i="5"/>
  <c r="C208" i="5"/>
  <c r="B208" i="5"/>
  <c r="A208" i="5"/>
  <c r="C207" i="5"/>
  <c r="B207" i="5"/>
  <c r="A207" i="5"/>
  <c r="C206" i="5"/>
  <c r="B206" i="5"/>
  <c r="A206" i="5"/>
  <c r="C205" i="5"/>
  <c r="B205" i="5"/>
  <c r="A205" i="5"/>
  <c r="C204" i="5"/>
  <c r="B204" i="5"/>
  <c r="A204" i="5"/>
  <c r="C203" i="5"/>
  <c r="B203" i="5"/>
  <c r="A203" i="5"/>
  <c r="C202" i="5"/>
  <c r="B202" i="5"/>
  <c r="A202" i="5"/>
  <c r="C201" i="5"/>
  <c r="B201" i="5"/>
  <c r="A201" i="5"/>
  <c r="C200" i="5"/>
  <c r="B200" i="5"/>
  <c r="A200" i="5"/>
  <c r="C199" i="5"/>
  <c r="B199" i="5"/>
  <c r="A199" i="5"/>
  <c r="C198" i="5"/>
  <c r="B198" i="5"/>
  <c r="A198" i="5"/>
  <c r="C197" i="5"/>
  <c r="B197" i="5"/>
  <c r="A197" i="5"/>
  <c r="C196" i="5"/>
  <c r="B196" i="5"/>
  <c r="A196" i="5"/>
  <c r="C195" i="5"/>
  <c r="B195" i="5"/>
  <c r="A195" i="5"/>
  <c r="C194" i="5"/>
  <c r="B194" i="5"/>
  <c r="A194" i="5"/>
  <c r="C193" i="5"/>
  <c r="B193" i="5"/>
  <c r="A193" i="5"/>
  <c r="C192" i="5"/>
  <c r="B192" i="5"/>
  <c r="A192" i="5"/>
  <c r="C191" i="5"/>
  <c r="B191" i="5"/>
  <c r="A191" i="5"/>
  <c r="C190" i="5"/>
  <c r="B190" i="5"/>
  <c r="A190" i="5"/>
  <c r="C189" i="5"/>
  <c r="B189" i="5"/>
  <c r="A189" i="5"/>
  <c r="C188" i="5"/>
  <c r="B188" i="5"/>
  <c r="A188" i="5"/>
  <c r="C187" i="5"/>
  <c r="B187" i="5"/>
  <c r="A187" i="5"/>
  <c r="C186" i="5"/>
  <c r="B186" i="5"/>
  <c r="A186" i="5"/>
  <c r="C185" i="5"/>
  <c r="B185" i="5"/>
  <c r="A185" i="5"/>
  <c r="C184" i="5"/>
  <c r="B184" i="5"/>
  <c r="A184" i="5"/>
  <c r="C183" i="5"/>
  <c r="B183" i="5"/>
  <c r="A183" i="5"/>
  <c r="C182" i="5"/>
  <c r="B182" i="5"/>
  <c r="A182" i="5"/>
  <c r="C181" i="5"/>
  <c r="B181" i="5"/>
  <c r="A181" i="5"/>
  <c r="C180" i="5"/>
  <c r="B180" i="5"/>
  <c r="A180" i="5"/>
  <c r="C179" i="5"/>
  <c r="B179" i="5"/>
  <c r="A179" i="5"/>
  <c r="C178" i="5"/>
  <c r="B178" i="5"/>
  <c r="A178" i="5"/>
  <c r="C177" i="5"/>
  <c r="B177" i="5"/>
  <c r="A177" i="5"/>
  <c r="C176" i="5"/>
  <c r="B176" i="5"/>
  <c r="A176" i="5"/>
  <c r="C175" i="5"/>
  <c r="B175" i="5"/>
  <c r="A175" i="5"/>
  <c r="C174" i="5"/>
  <c r="B174" i="5"/>
  <c r="A174" i="5"/>
  <c r="C173" i="5"/>
  <c r="B173" i="5"/>
  <c r="A173" i="5"/>
  <c r="C172" i="5"/>
  <c r="B172" i="5"/>
  <c r="A172" i="5"/>
  <c r="C171" i="5"/>
  <c r="B171" i="5"/>
  <c r="A171" i="5"/>
  <c r="C170" i="5"/>
  <c r="B170" i="5"/>
  <c r="A170" i="5"/>
  <c r="C169" i="5"/>
  <c r="B169" i="5"/>
  <c r="A169" i="5"/>
  <c r="C168" i="5"/>
  <c r="B168" i="5"/>
  <c r="A168" i="5"/>
  <c r="C167" i="5"/>
  <c r="B167" i="5"/>
  <c r="A167" i="5"/>
  <c r="C166" i="5"/>
  <c r="B166" i="5"/>
  <c r="A166" i="5"/>
  <c r="C165" i="5"/>
  <c r="B165" i="5"/>
  <c r="A165" i="5"/>
  <c r="C164" i="5"/>
  <c r="B164" i="5"/>
  <c r="A164" i="5"/>
  <c r="C163" i="5"/>
  <c r="B163" i="5"/>
  <c r="A163" i="5"/>
  <c r="C162" i="5"/>
  <c r="B162" i="5"/>
  <c r="A162" i="5"/>
  <c r="C161" i="5"/>
  <c r="B161" i="5"/>
  <c r="A161" i="5"/>
  <c r="C160" i="5"/>
  <c r="B160" i="5"/>
  <c r="A160" i="5"/>
  <c r="C159" i="5"/>
  <c r="B159" i="5"/>
  <c r="A159" i="5"/>
  <c r="C158" i="5"/>
  <c r="B158" i="5"/>
  <c r="A158" i="5"/>
  <c r="C157" i="5"/>
  <c r="B157" i="5"/>
  <c r="A157" i="5"/>
  <c r="C156" i="5"/>
  <c r="B156" i="5"/>
  <c r="A156" i="5"/>
  <c r="C155" i="5"/>
  <c r="B155" i="5"/>
  <c r="A155" i="5"/>
  <c r="C154" i="5"/>
  <c r="B154" i="5"/>
  <c r="A154" i="5"/>
  <c r="C153" i="5"/>
  <c r="B153" i="5"/>
  <c r="A153" i="5"/>
  <c r="C152" i="5"/>
  <c r="B152" i="5"/>
  <c r="A152" i="5"/>
  <c r="C151" i="5"/>
  <c r="B151" i="5"/>
  <c r="A151" i="5"/>
  <c r="C150" i="5"/>
  <c r="B150" i="5"/>
  <c r="A150" i="5"/>
  <c r="C149" i="5"/>
  <c r="B149" i="5"/>
  <c r="A149" i="5"/>
  <c r="C148" i="5"/>
  <c r="B148" i="5"/>
  <c r="A148" i="5"/>
  <c r="C147" i="5"/>
  <c r="B147" i="5"/>
  <c r="A147" i="5"/>
  <c r="C146" i="5"/>
  <c r="B146" i="5"/>
  <c r="A146" i="5"/>
  <c r="C145" i="5"/>
  <c r="B145" i="5"/>
  <c r="A145" i="5"/>
  <c r="C144" i="5"/>
  <c r="B144" i="5"/>
  <c r="A144" i="5"/>
  <c r="C143" i="5"/>
  <c r="B143" i="5"/>
  <c r="A143" i="5"/>
  <c r="C142" i="5"/>
  <c r="B142" i="5"/>
  <c r="A142" i="5"/>
  <c r="C141" i="5"/>
  <c r="B141" i="5"/>
  <c r="A141" i="5"/>
  <c r="C140" i="5"/>
  <c r="B140" i="5"/>
  <c r="A140" i="5"/>
  <c r="C139" i="5"/>
  <c r="B139" i="5"/>
  <c r="A139" i="5"/>
  <c r="C138" i="5"/>
  <c r="B138" i="5"/>
  <c r="A138" i="5"/>
  <c r="C137" i="5"/>
  <c r="B137" i="5"/>
  <c r="A137" i="5"/>
  <c r="C136" i="5"/>
  <c r="B136" i="5"/>
  <c r="A136" i="5"/>
  <c r="C135" i="5"/>
  <c r="B135" i="5"/>
  <c r="A135" i="5"/>
  <c r="C134" i="5"/>
  <c r="B134" i="5"/>
  <c r="A134" i="5"/>
  <c r="C133" i="5"/>
  <c r="B133" i="5"/>
  <c r="A133" i="5"/>
  <c r="C132" i="5"/>
  <c r="B132" i="5"/>
  <c r="A132" i="5"/>
  <c r="C131" i="5"/>
  <c r="B131" i="5"/>
  <c r="A131" i="5"/>
  <c r="C130" i="5"/>
  <c r="B130" i="5"/>
  <c r="A130" i="5"/>
  <c r="C129" i="5"/>
  <c r="B129" i="5"/>
  <c r="A129" i="5"/>
  <c r="C128" i="5"/>
  <c r="B128" i="5"/>
  <c r="A128" i="5"/>
  <c r="C127" i="5"/>
  <c r="B127" i="5"/>
  <c r="A127" i="5"/>
  <c r="C126" i="5"/>
  <c r="B126" i="5"/>
  <c r="A126" i="5"/>
  <c r="C125" i="5"/>
  <c r="B125" i="5"/>
  <c r="A125" i="5"/>
  <c r="C124" i="5"/>
  <c r="B124" i="5"/>
  <c r="A124" i="5"/>
  <c r="C123" i="5"/>
  <c r="B123" i="5"/>
  <c r="A123" i="5"/>
  <c r="C122" i="5"/>
  <c r="B122" i="5"/>
  <c r="A122" i="5"/>
  <c r="C121" i="5"/>
  <c r="B121" i="5"/>
  <c r="A121" i="5"/>
  <c r="C120" i="5"/>
  <c r="B120" i="5"/>
  <c r="A120" i="5"/>
  <c r="C119" i="5"/>
  <c r="B119" i="5"/>
  <c r="A119" i="5"/>
  <c r="C118" i="5"/>
  <c r="B118" i="5"/>
  <c r="A118" i="5"/>
  <c r="C117" i="5"/>
  <c r="B117" i="5"/>
  <c r="A117" i="5"/>
  <c r="C116" i="5"/>
  <c r="B116" i="5"/>
  <c r="A116" i="5"/>
  <c r="C115" i="5"/>
  <c r="B115" i="5"/>
  <c r="A115" i="5"/>
  <c r="C114" i="5"/>
  <c r="B114" i="5"/>
  <c r="A114" i="5"/>
  <c r="C113" i="5"/>
  <c r="B113" i="5"/>
  <c r="A113" i="5"/>
  <c r="C112" i="5"/>
  <c r="B112" i="5"/>
  <c r="A112" i="5"/>
  <c r="C111" i="5"/>
  <c r="B111" i="5"/>
  <c r="A111" i="5"/>
  <c r="C110" i="5"/>
  <c r="B110" i="5"/>
  <c r="A110" i="5"/>
  <c r="C109" i="5"/>
  <c r="B109" i="5"/>
  <c r="A109" i="5"/>
  <c r="C108" i="5"/>
  <c r="B108" i="5"/>
  <c r="A108" i="5"/>
  <c r="C107" i="5"/>
  <c r="B107" i="5"/>
  <c r="A107" i="5"/>
  <c r="C106" i="5"/>
  <c r="B106" i="5"/>
  <c r="A106" i="5"/>
  <c r="C105" i="5"/>
  <c r="B105" i="5"/>
  <c r="A105" i="5"/>
  <c r="C104" i="5"/>
  <c r="B104" i="5"/>
  <c r="A104" i="5"/>
  <c r="C103" i="5"/>
  <c r="B103" i="5"/>
  <c r="A103" i="5"/>
  <c r="C102" i="5"/>
  <c r="B102" i="5"/>
  <c r="A102" i="5"/>
  <c r="C101" i="5"/>
  <c r="B101" i="5"/>
  <c r="A101" i="5"/>
  <c r="C100" i="5"/>
  <c r="B100" i="5"/>
  <c r="A100" i="5"/>
  <c r="C99" i="5"/>
  <c r="B99" i="5"/>
  <c r="A99" i="5"/>
  <c r="C98" i="5"/>
  <c r="B98" i="5"/>
  <c r="A98" i="5"/>
  <c r="C97" i="5"/>
  <c r="B97" i="5"/>
  <c r="A97" i="5"/>
  <c r="C96" i="5"/>
  <c r="B96" i="5"/>
  <c r="A96" i="5"/>
  <c r="C95" i="5"/>
  <c r="B95" i="5"/>
  <c r="A95" i="5"/>
  <c r="C94" i="5"/>
  <c r="B94" i="5"/>
  <c r="A94" i="5"/>
  <c r="C93" i="5"/>
  <c r="B93" i="5"/>
  <c r="A93" i="5"/>
  <c r="C92" i="5"/>
  <c r="B92" i="5"/>
  <c r="A92" i="5"/>
  <c r="C91" i="5"/>
  <c r="B91" i="5"/>
  <c r="A91" i="5"/>
  <c r="C90" i="5"/>
  <c r="B90" i="5"/>
  <c r="A90" i="5"/>
  <c r="C89" i="5"/>
  <c r="B89" i="5"/>
  <c r="A89" i="5"/>
  <c r="C88" i="5"/>
  <c r="B88" i="5"/>
  <c r="A88" i="5"/>
  <c r="C87" i="5"/>
  <c r="B87" i="5"/>
  <c r="A87" i="5"/>
  <c r="C86" i="5"/>
  <c r="B86" i="5"/>
  <c r="A86" i="5"/>
  <c r="C85" i="5"/>
  <c r="B85" i="5"/>
  <c r="A85" i="5"/>
  <c r="C84" i="5"/>
  <c r="B84" i="5"/>
  <c r="A84" i="5"/>
  <c r="C83" i="5"/>
  <c r="B83" i="5"/>
  <c r="A83" i="5"/>
  <c r="C82" i="5"/>
  <c r="B82" i="5"/>
  <c r="A82" i="5"/>
  <c r="C81" i="5"/>
  <c r="B81" i="5"/>
  <c r="A81" i="5"/>
  <c r="C80" i="5"/>
  <c r="B80" i="5"/>
  <c r="A80" i="5"/>
  <c r="C79" i="5"/>
  <c r="B79" i="5"/>
  <c r="A79" i="5"/>
  <c r="C78" i="5"/>
  <c r="B78" i="5"/>
  <c r="A78" i="5"/>
  <c r="C77" i="5"/>
  <c r="B77" i="5"/>
  <c r="A77" i="5"/>
  <c r="C76" i="5"/>
  <c r="B76" i="5"/>
  <c r="A76" i="5"/>
  <c r="C75" i="5"/>
  <c r="B75" i="5"/>
  <c r="A75" i="5"/>
  <c r="C74" i="5"/>
  <c r="B74" i="5"/>
  <c r="A74" i="5"/>
  <c r="C73" i="5"/>
  <c r="B73" i="5"/>
  <c r="A73" i="5"/>
  <c r="C72" i="5"/>
  <c r="B72" i="5"/>
  <c r="A72" i="5"/>
  <c r="C71" i="5"/>
  <c r="B71" i="5"/>
  <c r="A71" i="5"/>
  <c r="C70" i="5"/>
  <c r="B70" i="5"/>
  <c r="A70" i="5"/>
  <c r="C69" i="5"/>
  <c r="B69" i="5"/>
  <c r="A69" i="5"/>
  <c r="C68" i="5"/>
  <c r="B68" i="5"/>
  <c r="A68" i="5"/>
  <c r="C67" i="5"/>
  <c r="B67" i="5"/>
  <c r="A67" i="5"/>
  <c r="C66" i="5"/>
  <c r="B66" i="5"/>
  <c r="A66" i="5"/>
  <c r="C65" i="5"/>
  <c r="B65" i="5"/>
  <c r="A65" i="5"/>
  <c r="C64" i="5"/>
  <c r="B64" i="5"/>
  <c r="A64" i="5"/>
  <c r="C63" i="5"/>
  <c r="B63" i="5"/>
  <c r="A63" i="5"/>
  <c r="C62" i="5"/>
  <c r="B62" i="5"/>
  <c r="A62" i="5"/>
  <c r="C61" i="5"/>
  <c r="B61" i="5"/>
  <c r="A61" i="5"/>
  <c r="C60" i="5"/>
  <c r="B60" i="5"/>
  <c r="A60" i="5"/>
  <c r="C59" i="5"/>
  <c r="B59" i="5"/>
  <c r="A59" i="5"/>
  <c r="C58" i="5"/>
  <c r="B58" i="5"/>
  <c r="A58" i="5"/>
  <c r="C57" i="5"/>
  <c r="B57" i="5"/>
  <c r="A57" i="5"/>
  <c r="C56" i="5"/>
  <c r="B56" i="5"/>
  <c r="A56" i="5"/>
  <c r="C55" i="5"/>
  <c r="B55" i="5"/>
  <c r="A55" i="5"/>
  <c r="C54" i="5"/>
  <c r="B54" i="5"/>
  <c r="A54" i="5"/>
  <c r="C53" i="5"/>
  <c r="B53" i="5"/>
  <c r="A53" i="5"/>
  <c r="C52" i="5"/>
  <c r="B52" i="5"/>
  <c r="A52" i="5"/>
  <c r="C51" i="5"/>
  <c r="B51" i="5"/>
  <c r="A51" i="5"/>
  <c r="C50" i="5"/>
  <c r="B50" i="5"/>
  <c r="A50" i="5"/>
  <c r="C49" i="5"/>
  <c r="B49" i="5"/>
  <c r="A49" i="5"/>
  <c r="C48" i="5"/>
  <c r="B48" i="5"/>
  <c r="A48" i="5"/>
  <c r="C47" i="5"/>
  <c r="B47" i="5"/>
  <c r="A47" i="5"/>
  <c r="C46" i="5"/>
  <c r="B46" i="5"/>
  <c r="A46" i="5"/>
  <c r="C45" i="5"/>
  <c r="B45" i="5"/>
  <c r="A45" i="5"/>
  <c r="C44" i="5"/>
  <c r="B44" i="5"/>
  <c r="A44" i="5"/>
  <c r="C43" i="5"/>
  <c r="B43" i="5"/>
  <c r="A43" i="5"/>
  <c r="C42" i="5"/>
  <c r="B42" i="5"/>
  <c r="A42" i="5"/>
  <c r="C41" i="5"/>
  <c r="B41" i="5"/>
  <c r="A41" i="5"/>
  <c r="C40" i="5"/>
  <c r="B40" i="5"/>
  <c r="A40" i="5"/>
  <c r="C39" i="5"/>
  <c r="B39" i="5"/>
  <c r="A39" i="5"/>
  <c r="C38" i="5"/>
  <c r="B38" i="5"/>
  <c r="A38" i="5"/>
  <c r="C37" i="5"/>
  <c r="B37" i="5"/>
  <c r="A37" i="5"/>
  <c r="C36" i="5"/>
  <c r="B36" i="5"/>
  <c r="A36" i="5"/>
  <c r="C35" i="5"/>
  <c r="B35" i="5"/>
  <c r="A35" i="5"/>
  <c r="C34" i="5"/>
  <c r="B34" i="5"/>
  <c r="A34" i="5"/>
  <c r="C33" i="5"/>
  <c r="B33" i="5"/>
  <c r="A33" i="5"/>
  <c r="C32" i="5"/>
  <c r="B32" i="5"/>
  <c r="A32" i="5"/>
  <c r="C31" i="5"/>
  <c r="B31" i="5"/>
  <c r="A31" i="5"/>
  <c r="C30" i="5"/>
  <c r="B30" i="5"/>
  <c r="A30" i="5"/>
  <c r="C29" i="5"/>
  <c r="B29" i="5"/>
  <c r="A29" i="5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C18" i="5"/>
  <c r="B18" i="5"/>
  <c r="A18" i="5"/>
  <c r="C17" i="5"/>
  <c r="B17" i="5"/>
  <c r="A17" i="5"/>
  <c r="C16" i="5"/>
  <c r="B16" i="5"/>
  <c r="A16" i="5"/>
  <c r="C15" i="5"/>
  <c r="B15" i="5"/>
  <c r="A15" i="5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C7" i="5"/>
  <c r="B7" i="5"/>
  <c r="A7" i="5"/>
  <c r="C6" i="5"/>
  <c r="B6" i="5"/>
  <c r="A6" i="5"/>
  <c r="C5" i="5"/>
  <c r="B5" i="5"/>
  <c r="A5" i="5"/>
  <c r="N54" i="4"/>
  <c r="L54" i="4"/>
  <c r="N53" i="4"/>
  <c r="L53" i="4"/>
  <c r="N52" i="4"/>
  <c r="L52" i="4"/>
  <c r="N51" i="4"/>
  <c r="L51" i="4"/>
  <c r="N50" i="4"/>
  <c r="L50" i="4"/>
  <c r="N49" i="4"/>
  <c r="L49" i="4"/>
  <c r="N48" i="4"/>
  <c r="L48" i="4"/>
  <c r="N47" i="4"/>
  <c r="L47" i="4"/>
  <c r="N46" i="4"/>
  <c r="L46" i="4"/>
  <c r="N45" i="4"/>
  <c r="L45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1" i="4"/>
  <c r="L31" i="4"/>
  <c r="N30" i="4"/>
  <c r="L30" i="4"/>
  <c r="N29" i="4"/>
  <c r="L29" i="4"/>
  <c r="N28" i="4"/>
  <c r="L28" i="4"/>
  <c r="N27" i="4"/>
  <c r="L27" i="4"/>
  <c r="N26" i="4"/>
  <c r="L26" i="4"/>
  <c r="N25" i="4"/>
  <c r="L25" i="4"/>
  <c r="N24" i="4"/>
  <c r="L24" i="4"/>
  <c r="N23" i="4"/>
  <c r="L23" i="4"/>
  <c r="N22" i="4"/>
  <c r="L22" i="4"/>
  <c r="N21" i="4"/>
  <c r="L21" i="4"/>
  <c r="N20" i="4"/>
  <c r="L20" i="4"/>
  <c r="N19" i="4"/>
  <c r="L19" i="4"/>
  <c r="N18" i="4"/>
  <c r="L18" i="4"/>
  <c r="N17" i="4"/>
  <c r="L17" i="4"/>
  <c r="N16" i="4"/>
  <c r="L16" i="4"/>
  <c r="N15" i="4"/>
  <c r="L15" i="4"/>
  <c r="N14" i="4"/>
  <c r="L14" i="4"/>
  <c r="N13" i="4"/>
  <c r="L13" i="4"/>
  <c r="N12" i="4"/>
  <c r="L12" i="4"/>
  <c r="N11" i="4"/>
  <c r="L11" i="4"/>
  <c r="N10" i="4"/>
  <c r="L10" i="4"/>
  <c r="N9" i="4"/>
  <c r="L9" i="4"/>
  <c r="N8" i="4"/>
  <c r="L8" i="4"/>
  <c r="N7" i="4"/>
  <c r="L7" i="4"/>
  <c r="L6" i="4"/>
  <c r="N5" i="4"/>
  <c r="L5" i="4"/>
  <c r="AC354" i="3"/>
  <c r="AB354" i="3"/>
  <c r="AA354" i="3"/>
  <c r="Z354" i="3"/>
  <c r="E354" i="3"/>
  <c r="AC353" i="3"/>
  <c r="AB353" i="3"/>
  <c r="AA353" i="3"/>
  <c r="Z353" i="3"/>
  <c r="E353" i="3"/>
  <c r="AC352" i="3"/>
  <c r="AB352" i="3"/>
  <c r="AA352" i="3"/>
  <c r="Z352" i="3"/>
  <c r="E352" i="3"/>
  <c r="AC351" i="3"/>
  <c r="AB351" i="3"/>
  <c r="AA351" i="3"/>
  <c r="Z351" i="3"/>
  <c r="E351" i="3"/>
  <c r="AC350" i="3"/>
  <c r="AB350" i="3"/>
  <c r="AA350" i="3"/>
  <c r="Z350" i="3"/>
  <c r="E350" i="3"/>
  <c r="AC349" i="3"/>
  <c r="AB349" i="3"/>
  <c r="AA349" i="3"/>
  <c r="Z349" i="3"/>
  <c r="E349" i="3"/>
  <c r="AC348" i="3"/>
  <c r="AB348" i="3"/>
  <c r="AA348" i="3"/>
  <c r="Z348" i="3"/>
  <c r="E348" i="3"/>
  <c r="AC347" i="3"/>
  <c r="AB347" i="3"/>
  <c r="AA347" i="3"/>
  <c r="Z347" i="3"/>
  <c r="E347" i="3"/>
  <c r="AC346" i="3"/>
  <c r="AB346" i="3"/>
  <c r="AA346" i="3"/>
  <c r="Z346" i="3"/>
  <c r="E346" i="3"/>
  <c r="AC345" i="3"/>
  <c r="AB345" i="3"/>
  <c r="AA345" i="3"/>
  <c r="Z345" i="3"/>
  <c r="E345" i="3"/>
  <c r="AC344" i="3"/>
  <c r="AB344" i="3"/>
  <c r="AA344" i="3"/>
  <c r="Z344" i="3"/>
  <c r="E344" i="3"/>
  <c r="AC343" i="3"/>
  <c r="AB343" i="3"/>
  <c r="AA343" i="3"/>
  <c r="Z343" i="3"/>
  <c r="E343" i="3"/>
  <c r="AC342" i="3"/>
  <c r="AB342" i="3"/>
  <c r="AA342" i="3"/>
  <c r="Z342" i="3"/>
  <c r="E342" i="3"/>
  <c r="AC341" i="3"/>
  <c r="AB341" i="3"/>
  <c r="AA341" i="3"/>
  <c r="Z341" i="3"/>
  <c r="E341" i="3"/>
  <c r="AC340" i="3"/>
  <c r="AB340" i="3"/>
  <c r="AA340" i="3"/>
  <c r="Z340" i="3"/>
  <c r="E340" i="3"/>
  <c r="AC339" i="3"/>
  <c r="AB339" i="3"/>
  <c r="AA339" i="3"/>
  <c r="Z339" i="3"/>
  <c r="E339" i="3"/>
  <c r="AC338" i="3"/>
  <c r="AB338" i="3"/>
  <c r="AA338" i="3"/>
  <c r="Z338" i="3"/>
  <c r="E338" i="3"/>
  <c r="AC337" i="3"/>
  <c r="AB337" i="3"/>
  <c r="AA337" i="3"/>
  <c r="Z337" i="3"/>
  <c r="E337" i="3"/>
  <c r="AC336" i="3"/>
  <c r="AB336" i="3"/>
  <c r="AA336" i="3"/>
  <c r="Z336" i="3"/>
  <c r="E336" i="3"/>
  <c r="AC335" i="3"/>
  <c r="AB335" i="3"/>
  <c r="AA335" i="3"/>
  <c r="Z335" i="3"/>
  <c r="E335" i="3"/>
  <c r="AC334" i="3"/>
  <c r="AB334" i="3"/>
  <c r="AA334" i="3"/>
  <c r="Z334" i="3"/>
  <c r="E334" i="3"/>
  <c r="AC333" i="3"/>
  <c r="AB333" i="3"/>
  <c r="AA333" i="3"/>
  <c r="Z333" i="3"/>
  <c r="E333" i="3"/>
  <c r="AC332" i="3"/>
  <c r="AB332" i="3"/>
  <c r="AA332" i="3"/>
  <c r="Z332" i="3"/>
  <c r="E332" i="3"/>
  <c r="AC331" i="3"/>
  <c r="AB331" i="3"/>
  <c r="AA331" i="3"/>
  <c r="Z331" i="3"/>
  <c r="E331" i="3"/>
  <c r="AC330" i="3"/>
  <c r="AB330" i="3"/>
  <c r="AA330" i="3"/>
  <c r="Z330" i="3"/>
  <c r="E330" i="3"/>
  <c r="AC329" i="3"/>
  <c r="AB329" i="3"/>
  <c r="AA329" i="3"/>
  <c r="Z329" i="3"/>
  <c r="E329" i="3"/>
  <c r="AC328" i="3"/>
  <c r="AB328" i="3"/>
  <c r="AA328" i="3"/>
  <c r="Z328" i="3"/>
  <c r="E328" i="3"/>
  <c r="AC327" i="3"/>
  <c r="AB327" i="3"/>
  <c r="AA327" i="3"/>
  <c r="Z327" i="3"/>
  <c r="E327" i="3"/>
  <c r="AC326" i="3"/>
  <c r="AB326" i="3"/>
  <c r="AA326" i="3"/>
  <c r="Z326" i="3"/>
  <c r="E326" i="3"/>
  <c r="AC325" i="3"/>
  <c r="AB325" i="3"/>
  <c r="AA325" i="3"/>
  <c r="Z325" i="3"/>
  <c r="E325" i="3"/>
  <c r="AC324" i="3"/>
  <c r="AB324" i="3"/>
  <c r="AA324" i="3"/>
  <c r="Z324" i="3"/>
  <c r="E324" i="3"/>
  <c r="AC323" i="3"/>
  <c r="AB323" i="3"/>
  <c r="AA323" i="3"/>
  <c r="Z323" i="3"/>
  <c r="E323" i="3"/>
  <c r="AC322" i="3"/>
  <c r="AB322" i="3"/>
  <c r="AA322" i="3"/>
  <c r="Z322" i="3"/>
  <c r="E322" i="3"/>
  <c r="AC321" i="3"/>
  <c r="AB321" i="3"/>
  <c r="AA321" i="3"/>
  <c r="Z321" i="3"/>
  <c r="E321" i="3"/>
  <c r="AC320" i="3"/>
  <c r="AB320" i="3"/>
  <c r="AA320" i="3"/>
  <c r="Z320" i="3"/>
  <c r="E320" i="3"/>
  <c r="AC319" i="3"/>
  <c r="AB319" i="3"/>
  <c r="AA319" i="3"/>
  <c r="Z319" i="3"/>
  <c r="E319" i="3"/>
  <c r="AC318" i="3"/>
  <c r="AB318" i="3"/>
  <c r="AA318" i="3"/>
  <c r="Z318" i="3"/>
  <c r="E318" i="3"/>
  <c r="AC317" i="3"/>
  <c r="AB317" i="3"/>
  <c r="AA317" i="3"/>
  <c r="Z317" i="3"/>
  <c r="E317" i="3"/>
  <c r="AC316" i="3"/>
  <c r="AB316" i="3"/>
  <c r="AA316" i="3"/>
  <c r="Z316" i="3"/>
  <c r="E316" i="3"/>
  <c r="AC315" i="3"/>
  <c r="AB315" i="3"/>
  <c r="AA315" i="3"/>
  <c r="Z315" i="3"/>
  <c r="E315" i="3"/>
  <c r="AC314" i="3"/>
  <c r="AB314" i="3"/>
  <c r="AA314" i="3"/>
  <c r="Z314" i="3"/>
  <c r="E314" i="3"/>
  <c r="AC313" i="3"/>
  <c r="AB313" i="3"/>
  <c r="AA313" i="3"/>
  <c r="Z313" i="3"/>
  <c r="E313" i="3"/>
  <c r="AC312" i="3"/>
  <c r="AB312" i="3"/>
  <c r="AA312" i="3"/>
  <c r="Z312" i="3"/>
  <c r="E312" i="3"/>
  <c r="AC311" i="3"/>
  <c r="AB311" i="3"/>
  <c r="AA311" i="3"/>
  <c r="Z311" i="3"/>
  <c r="E311" i="3"/>
  <c r="AC310" i="3"/>
  <c r="AB310" i="3"/>
  <c r="AA310" i="3"/>
  <c r="Z310" i="3"/>
  <c r="E310" i="3"/>
  <c r="AC309" i="3"/>
  <c r="AB309" i="3"/>
  <c r="AA309" i="3"/>
  <c r="Z309" i="3"/>
  <c r="E309" i="3"/>
  <c r="AC308" i="3"/>
  <c r="AB308" i="3"/>
  <c r="AA308" i="3"/>
  <c r="Z308" i="3"/>
  <c r="E308" i="3"/>
  <c r="AC307" i="3"/>
  <c r="AB307" i="3"/>
  <c r="AA307" i="3"/>
  <c r="Z307" i="3"/>
  <c r="E307" i="3"/>
  <c r="AC306" i="3"/>
  <c r="AB306" i="3"/>
  <c r="AA306" i="3"/>
  <c r="Z306" i="3"/>
  <c r="E306" i="3"/>
  <c r="AC305" i="3"/>
  <c r="AB305" i="3"/>
  <c r="AA305" i="3"/>
  <c r="Z305" i="3"/>
  <c r="E305" i="3"/>
  <c r="AC304" i="3"/>
  <c r="AB304" i="3"/>
  <c r="AA304" i="3"/>
  <c r="Z304" i="3"/>
  <c r="E304" i="3"/>
  <c r="AC303" i="3"/>
  <c r="AB303" i="3"/>
  <c r="AA303" i="3"/>
  <c r="Z303" i="3"/>
  <c r="E303" i="3"/>
  <c r="AC302" i="3"/>
  <c r="AB302" i="3"/>
  <c r="AA302" i="3"/>
  <c r="Z302" i="3"/>
  <c r="E302" i="3"/>
  <c r="AC301" i="3"/>
  <c r="AB301" i="3"/>
  <c r="AA301" i="3"/>
  <c r="Z301" i="3"/>
  <c r="E301" i="3"/>
  <c r="AC300" i="3"/>
  <c r="AB300" i="3"/>
  <c r="AA300" i="3"/>
  <c r="Z300" i="3"/>
  <c r="E300" i="3"/>
  <c r="AC299" i="3"/>
  <c r="AB299" i="3"/>
  <c r="AA299" i="3"/>
  <c r="Z299" i="3"/>
  <c r="E299" i="3"/>
  <c r="AC298" i="3"/>
  <c r="AB298" i="3"/>
  <c r="AA298" i="3"/>
  <c r="Z298" i="3"/>
  <c r="E298" i="3"/>
  <c r="AC297" i="3"/>
  <c r="AB297" i="3"/>
  <c r="AA297" i="3"/>
  <c r="Z297" i="3"/>
  <c r="E297" i="3"/>
  <c r="AC296" i="3"/>
  <c r="AB296" i="3"/>
  <c r="AA296" i="3"/>
  <c r="Z296" i="3"/>
  <c r="E296" i="3"/>
  <c r="AC295" i="3"/>
  <c r="AB295" i="3"/>
  <c r="AA295" i="3"/>
  <c r="Z295" i="3"/>
  <c r="E295" i="3"/>
  <c r="AC294" i="3"/>
  <c r="AB294" i="3"/>
  <c r="AA294" i="3"/>
  <c r="Z294" i="3"/>
  <c r="E294" i="3"/>
  <c r="AC293" i="3"/>
  <c r="AB293" i="3"/>
  <c r="AA293" i="3"/>
  <c r="Z293" i="3"/>
  <c r="E293" i="3"/>
  <c r="AC292" i="3"/>
  <c r="AB292" i="3"/>
  <c r="AA292" i="3"/>
  <c r="Z292" i="3"/>
  <c r="E292" i="3"/>
  <c r="AC291" i="3"/>
  <c r="AB291" i="3"/>
  <c r="AA291" i="3"/>
  <c r="Z291" i="3"/>
  <c r="E291" i="3"/>
  <c r="AC290" i="3"/>
  <c r="AB290" i="3"/>
  <c r="AA290" i="3"/>
  <c r="Z290" i="3"/>
  <c r="E290" i="3"/>
  <c r="AC289" i="3"/>
  <c r="AB289" i="3"/>
  <c r="AA289" i="3"/>
  <c r="Z289" i="3"/>
  <c r="E289" i="3"/>
  <c r="AC288" i="3"/>
  <c r="AB288" i="3"/>
  <c r="AA288" i="3"/>
  <c r="Z288" i="3"/>
  <c r="E288" i="3"/>
  <c r="AC287" i="3"/>
  <c r="AB287" i="3"/>
  <c r="AA287" i="3"/>
  <c r="Z287" i="3"/>
  <c r="E287" i="3"/>
  <c r="AC286" i="3"/>
  <c r="AB286" i="3"/>
  <c r="AA286" i="3"/>
  <c r="Z286" i="3"/>
  <c r="E286" i="3"/>
  <c r="AC285" i="3"/>
  <c r="AB285" i="3"/>
  <c r="AA285" i="3"/>
  <c r="Z285" i="3"/>
  <c r="E285" i="3"/>
  <c r="AC284" i="3"/>
  <c r="AB284" i="3"/>
  <c r="AA284" i="3"/>
  <c r="Z284" i="3"/>
  <c r="E284" i="3"/>
  <c r="AC283" i="3"/>
  <c r="AB283" i="3"/>
  <c r="AA283" i="3"/>
  <c r="Z283" i="3"/>
  <c r="E283" i="3"/>
  <c r="AC282" i="3"/>
  <c r="AB282" i="3"/>
  <c r="AA282" i="3"/>
  <c r="Z282" i="3"/>
  <c r="E282" i="3"/>
  <c r="AC281" i="3"/>
  <c r="AB281" i="3"/>
  <c r="AA281" i="3"/>
  <c r="Z281" i="3"/>
  <c r="E281" i="3"/>
  <c r="AC280" i="3"/>
  <c r="AB280" i="3"/>
  <c r="AA280" i="3"/>
  <c r="Z280" i="3"/>
  <c r="E280" i="3"/>
  <c r="AC279" i="3"/>
  <c r="AB279" i="3"/>
  <c r="AA279" i="3"/>
  <c r="Z279" i="3"/>
  <c r="E279" i="3"/>
  <c r="AC278" i="3"/>
  <c r="AB278" i="3"/>
  <c r="AA278" i="3"/>
  <c r="Z278" i="3"/>
  <c r="E278" i="3"/>
  <c r="AC277" i="3"/>
  <c r="AB277" i="3"/>
  <c r="AA277" i="3"/>
  <c r="Z277" i="3"/>
  <c r="E277" i="3"/>
  <c r="AC276" i="3"/>
  <c r="AB276" i="3"/>
  <c r="AA276" i="3"/>
  <c r="Z276" i="3"/>
  <c r="E276" i="3"/>
  <c r="AC275" i="3"/>
  <c r="AB275" i="3"/>
  <c r="AA275" i="3"/>
  <c r="Z275" i="3"/>
  <c r="E275" i="3"/>
  <c r="AC274" i="3"/>
  <c r="AB274" i="3"/>
  <c r="AA274" i="3"/>
  <c r="Z274" i="3"/>
  <c r="E274" i="3"/>
  <c r="AC273" i="3"/>
  <c r="AB273" i="3"/>
  <c r="AA273" i="3"/>
  <c r="Z273" i="3"/>
  <c r="E273" i="3"/>
  <c r="AC272" i="3"/>
  <c r="AB272" i="3"/>
  <c r="AA272" i="3"/>
  <c r="Z272" i="3"/>
  <c r="E272" i="3"/>
  <c r="AC271" i="3"/>
  <c r="AB271" i="3"/>
  <c r="AA271" i="3"/>
  <c r="Z271" i="3"/>
  <c r="E271" i="3"/>
  <c r="AC270" i="3"/>
  <c r="AB270" i="3"/>
  <c r="AA270" i="3"/>
  <c r="Z270" i="3"/>
  <c r="E270" i="3"/>
  <c r="AC269" i="3"/>
  <c r="AB269" i="3"/>
  <c r="AA269" i="3"/>
  <c r="Z269" i="3"/>
  <c r="E269" i="3"/>
  <c r="AC268" i="3"/>
  <c r="AB268" i="3"/>
  <c r="AA268" i="3"/>
  <c r="Z268" i="3"/>
  <c r="E268" i="3"/>
  <c r="AC267" i="3"/>
  <c r="AB267" i="3"/>
  <c r="AA267" i="3"/>
  <c r="Z267" i="3"/>
  <c r="E267" i="3"/>
  <c r="AC266" i="3"/>
  <c r="AB266" i="3"/>
  <c r="AA266" i="3"/>
  <c r="Z266" i="3"/>
  <c r="E266" i="3"/>
  <c r="AC265" i="3"/>
  <c r="AB265" i="3"/>
  <c r="AA265" i="3"/>
  <c r="Z265" i="3"/>
  <c r="E265" i="3"/>
  <c r="AC264" i="3"/>
  <c r="AB264" i="3"/>
  <c r="AA264" i="3"/>
  <c r="Z264" i="3"/>
  <c r="E264" i="3"/>
  <c r="AC263" i="3"/>
  <c r="AB263" i="3"/>
  <c r="AA263" i="3"/>
  <c r="Z263" i="3"/>
  <c r="E263" i="3"/>
  <c r="AC262" i="3"/>
  <c r="AB262" i="3"/>
  <c r="AA262" i="3"/>
  <c r="Z262" i="3"/>
  <c r="E262" i="3"/>
  <c r="AC261" i="3"/>
  <c r="AB261" i="3"/>
  <c r="AA261" i="3"/>
  <c r="Z261" i="3"/>
  <c r="E261" i="3"/>
  <c r="AC260" i="3"/>
  <c r="AB260" i="3"/>
  <c r="AA260" i="3"/>
  <c r="Z260" i="3"/>
  <c r="E260" i="3"/>
  <c r="AC259" i="3"/>
  <c r="AB259" i="3"/>
  <c r="AA259" i="3"/>
  <c r="Z259" i="3"/>
  <c r="E259" i="3"/>
  <c r="AC258" i="3"/>
  <c r="AB258" i="3"/>
  <c r="AA258" i="3"/>
  <c r="Z258" i="3"/>
  <c r="E258" i="3"/>
  <c r="AC257" i="3"/>
  <c r="AB257" i="3"/>
  <c r="AA257" i="3"/>
  <c r="Z257" i="3"/>
  <c r="E257" i="3"/>
  <c r="AC256" i="3"/>
  <c r="AB256" i="3"/>
  <c r="AA256" i="3"/>
  <c r="Z256" i="3"/>
  <c r="E256" i="3"/>
  <c r="AC255" i="3"/>
  <c r="AB255" i="3"/>
  <c r="AA255" i="3"/>
  <c r="Z255" i="3"/>
  <c r="E255" i="3"/>
  <c r="AC254" i="3"/>
  <c r="AB254" i="3"/>
  <c r="AA254" i="3"/>
  <c r="Z254" i="3"/>
  <c r="E254" i="3"/>
  <c r="AC253" i="3"/>
  <c r="AB253" i="3"/>
  <c r="AA253" i="3"/>
  <c r="Z253" i="3"/>
  <c r="E253" i="3"/>
  <c r="AC252" i="3"/>
  <c r="AB252" i="3"/>
  <c r="AA252" i="3"/>
  <c r="Z252" i="3"/>
  <c r="E252" i="3"/>
  <c r="AC251" i="3"/>
  <c r="AB251" i="3"/>
  <c r="AA251" i="3"/>
  <c r="Z251" i="3"/>
  <c r="E251" i="3"/>
  <c r="AC250" i="3"/>
  <c r="AB250" i="3"/>
  <c r="AA250" i="3"/>
  <c r="Z250" i="3"/>
  <c r="E250" i="3"/>
  <c r="AC249" i="3"/>
  <c r="AB249" i="3"/>
  <c r="AA249" i="3"/>
  <c r="Z249" i="3"/>
  <c r="E249" i="3"/>
  <c r="AC248" i="3"/>
  <c r="AB248" i="3"/>
  <c r="AA248" i="3"/>
  <c r="Z248" i="3"/>
  <c r="E248" i="3"/>
  <c r="AC247" i="3"/>
  <c r="AB247" i="3"/>
  <c r="AA247" i="3"/>
  <c r="Z247" i="3"/>
  <c r="E247" i="3"/>
  <c r="AC246" i="3"/>
  <c r="AB246" i="3"/>
  <c r="AA246" i="3"/>
  <c r="Z246" i="3"/>
  <c r="E246" i="3"/>
  <c r="AC245" i="3"/>
  <c r="AB245" i="3"/>
  <c r="AA245" i="3"/>
  <c r="Z245" i="3"/>
  <c r="E245" i="3"/>
  <c r="AC244" i="3"/>
  <c r="AB244" i="3"/>
  <c r="AA244" i="3"/>
  <c r="Z244" i="3"/>
  <c r="E244" i="3"/>
  <c r="AC243" i="3"/>
  <c r="AB243" i="3"/>
  <c r="AA243" i="3"/>
  <c r="Z243" i="3"/>
  <c r="E243" i="3"/>
  <c r="AC242" i="3"/>
  <c r="AB242" i="3"/>
  <c r="AA242" i="3"/>
  <c r="Z242" i="3"/>
  <c r="E242" i="3"/>
  <c r="AC241" i="3"/>
  <c r="AB241" i="3"/>
  <c r="AA241" i="3"/>
  <c r="Z241" i="3"/>
  <c r="E241" i="3"/>
  <c r="AC240" i="3"/>
  <c r="AB240" i="3"/>
  <c r="AA240" i="3"/>
  <c r="Z240" i="3"/>
  <c r="E240" i="3"/>
  <c r="AC239" i="3"/>
  <c r="AB239" i="3"/>
  <c r="AA239" i="3"/>
  <c r="Z239" i="3"/>
  <c r="E239" i="3"/>
  <c r="AC238" i="3"/>
  <c r="AB238" i="3"/>
  <c r="AA238" i="3"/>
  <c r="Z238" i="3"/>
  <c r="E238" i="3"/>
  <c r="AC237" i="3"/>
  <c r="AB237" i="3"/>
  <c r="AA237" i="3"/>
  <c r="Z237" i="3"/>
  <c r="E237" i="3"/>
  <c r="AC236" i="3"/>
  <c r="AB236" i="3"/>
  <c r="AA236" i="3"/>
  <c r="Z236" i="3"/>
  <c r="E236" i="3"/>
  <c r="AC235" i="3"/>
  <c r="AB235" i="3"/>
  <c r="AA235" i="3"/>
  <c r="Z235" i="3"/>
  <c r="E235" i="3"/>
  <c r="AC234" i="3"/>
  <c r="AB234" i="3"/>
  <c r="AA234" i="3"/>
  <c r="Z234" i="3"/>
  <c r="E234" i="3"/>
  <c r="AC233" i="3"/>
  <c r="AB233" i="3"/>
  <c r="AA233" i="3"/>
  <c r="Z233" i="3"/>
  <c r="E233" i="3"/>
  <c r="AC232" i="3"/>
  <c r="AB232" i="3"/>
  <c r="AA232" i="3"/>
  <c r="Z232" i="3"/>
  <c r="E232" i="3"/>
  <c r="AC231" i="3"/>
  <c r="AB231" i="3"/>
  <c r="AA231" i="3"/>
  <c r="Z231" i="3"/>
  <c r="E231" i="3"/>
  <c r="AC230" i="3"/>
  <c r="AB230" i="3"/>
  <c r="AA230" i="3"/>
  <c r="Z230" i="3"/>
  <c r="E230" i="3"/>
  <c r="AC229" i="3"/>
  <c r="AB229" i="3"/>
  <c r="AA229" i="3"/>
  <c r="Z229" i="3"/>
  <c r="E229" i="3"/>
  <c r="AC228" i="3"/>
  <c r="AB228" i="3"/>
  <c r="AA228" i="3"/>
  <c r="Z228" i="3"/>
  <c r="E228" i="3"/>
  <c r="AC227" i="3"/>
  <c r="AB227" i="3"/>
  <c r="AA227" i="3"/>
  <c r="Z227" i="3"/>
  <c r="E227" i="3"/>
  <c r="AC226" i="3"/>
  <c r="AB226" i="3"/>
  <c r="AA226" i="3"/>
  <c r="Z226" i="3"/>
  <c r="E226" i="3"/>
  <c r="AC225" i="3"/>
  <c r="AB225" i="3"/>
  <c r="AA225" i="3"/>
  <c r="Z225" i="3"/>
  <c r="E225" i="3"/>
  <c r="AC224" i="3"/>
  <c r="AB224" i="3"/>
  <c r="AA224" i="3"/>
  <c r="Z224" i="3"/>
  <c r="E224" i="3"/>
  <c r="AC223" i="3"/>
  <c r="AB223" i="3"/>
  <c r="AA223" i="3"/>
  <c r="Z223" i="3"/>
  <c r="E223" i="3"/>
  <c r="AC222" i="3"/>
  <c r="AB222" i="3"/>
  <c r="AA222" i="3"/>
  <c r="Z222" i="3"/>
  <c r="E222" i="3"/>
  <c r="AC221" i="3"/>
  <c r="AB221" i="3"/>
  <c r="AA221" i="3"/>
  <c r="Z221" i="3"/>
  <c r="E221" i="3"/>
  <c r="AC219" i="3"/>
  <c r="AB219" i="3"/>
  <c r="AA219" i="3"/>
  <c r="Z219" i="3"/>
  <c r="AC211" i="3"/>
  <c r="AB211" i="3"/>
  <c r="AA211" i="3"/>
  <c r="Z211" i="3"/>
  <c r="E211" i="3"/>
  <c r="AC209" i="3"/>
  <c r="AB209" i="3"/>
  <c r="AA209" i="3"/>
  <c r="Z209" i="3"/>
  <c r="E209" i="3"/>
  <c r="AC207" i="3"/>
  <c r="AB207" i="3"/>
  <c r="AA207" i="3"/>
  <c r="Z207" i="3"/>
  <c r="E207" i="3"/>
  <c r="AC206" i="3"/>
  <c r="AB206" i="3"/>
  <c r="AA206" i="3"/>
  <c r="Z206" i="3"/>
  <c r="E206" i="3"/>
  <c r="AC205" i="3"/>
  <c r="AB205" i="3"/>
  <c r="AA205" i="3"/>
  <c r="Z205" i="3"/>
  <c r="E205" i="3"/>
  <c r="AC204" i="3"/>
  <c r="AB204" i="3"/>
  <c r="E204" i="3"/>
  <c r="AC203" i="3"/>
  <c r="AB203" i="3"/>
  <c r="AA203" i="3"/>
  <c r="Z203" i="3"/>
  <c r="E203" i="3"/>
  <c r="AC202" i="3"/>
  <c r="AB202" i="3"/>
  <c r="AA202" i="3"/>
  <c r="Z202" i="3"/>
  <c r="E202" i="3"/>
  <c r="AC201" i="3"/>
  <c r="AB201" i="3"/>
  <c r="AA201" i="3"/>
  <c r="Z201" i="3"/>
  <c r="E201" i="3"/>
  <c r="AC200" i="3"/>
  <c r="AB200" i="3"/>
  <c r="AA200" i="3"/>
  <c r="Z200" i="3"/>
  <c r="E200" i="3"/>
  <c r="AC199" i="3"/>
  <c r="AB199" i="3"/>
  <c r="AA199" i="3"/>
  <c r="Z199" i="3"/>
  <c r="E199" i="3"/>
  <c r="AC198" i="3"/>
  <c r="AB198" i="3"/>
  <c r="AA198" i="3"/>
  <c r="Z198" i="3"/>
  <c r="E198" i="3"/>
  <c r="AC197" i="3"/>
  <c r="AB197" i="3"/>
  <c r="AA197" i="3"/>
  <c r="Z197" i="3"/>
  <c r="E197" i="3"/>
  <c r="AC196" i="3"/>
  <c r="AB196" i="3"/>
  <c r="AA196" i="3"/>
  <c r="Z196" i="3"/>
  <c r="E196" i="3"/>
  <c r="AC195" i="3"/>
  <c r="AB195" i="3"/>
  <c r="AA195" i="3"/>
  <c r="Z195" i="3"/>
  <c r="E195" i="3"/>
  <c r="AC194" i="3"/>
  <c r="AB194" i="3"/>
  <c r="AA194" i="3"/>
  <c r="Z194" i="3"/>
  <c r="E194" i="3"/>
  <c r="AC193" i="3"/>
  <c r="AB193" i="3"/>
  <c r="AA193" i="3"/>
  <c r="Z193" i="3"/>
  <c r="E193" i="3"/>
  <c r="AC192" i="3"/>
  <c r="AB192" i="3"/>
  <c r="AA192" i="3"/>
  <c r="Z192" i="3"/>
  <c r="E192" i="3"/>
  <c r="AC27" i="3"/>
  <c r="AB27" i="3"/>
  <c r="AA27" i="3"/>
  <c r="Z27" i="3"/>
  <c r="E27" i="3"/>
  <c r="AC32" i="3"/>
  <c r="AB32" i="3"/>
  <c r="AA32" i="3"/>
  <c r="Z32" i="3"/>
  <c r="E32" i="3"/>
  <c r="AC31" i="3"/>
  <c r="AB31" i="3"/>
  <c r="AA31" i="3"/>
  <c r="Z31" i="3"/>
  <c r="E31" i="3"/>
  <c r="AC187" i="3"/>
  <c r="AB187" i="3"/>
  <c r="AA187" i="3"/>
  <c r="Z187" i="3"/>
  <c r="E187" i="3"/>
  <c r="AC138" i="3"/>
  <c r="AB138" i="3"/>
  <c r="AA138" i="3"/>
  <c r="Z138" i="3"/>
  <c r="E138" i="3"/>
  <c r="AC191" i="3"/>
  <c r="AB191" i="3"/>
  <c r="AA191" i="3"/>
  <c r="Z191" i="3"/>
  <c r="E191" i="3"/>
  <c r="AC95" i="3"/>
  <c r="AB95" i="3"/>
  <c r="AA95" i="3"/>
  <c r="Z95" i="3"/>
  <c r="E95" i="3"/>
  <c r="AC94" i="3"/>
  <c r="AB94" i="3"/>
  <c r="AA94" i="3"/>
  <c r="Z94" i="3"/>
  <c r="E94" i="3"/>
  <c r="AC172" i="3"/>
  <c r="AB172" i="3"/>
  <c r="AA172" i="3"/>
  <c r="Z172" i="3"/>
  <c r="E172" i="3"/>
  <c r="AC78" i="3"/>
  <c r="AB78" i="3"/>
  <c r="AA78" i="3"/>
  <c r="Z78" i="3"/>
  <c r="E78" i="3"/>
  <c r="AC188" i="3"/>
  <c r="AB188" i="3"/>
  <c r="AA188" i="3"/>
  <c r="Z188" i="3"/>
  <c r="E188" i="3"/>
  <c r="AC186" i="3"/>
  <c r="AB186" i="3"/>
  <c r="AA186" i="3"/>
  <c r="Z186" i="3"/>
  <c r="AE57" i="3" s="1"/>
  <c r="AG57" i="3" s="1"/>
  <c r="E186" i="3"/>
  <c r="AC49" i="3"/>
  <c r="AB49" i="3"/>
  <c r="AA49" i="3"/>
  <c r="Z49" i="3"/>
  <c r="E49" i="3"/>
  <c r="AC190" i="3"/>
  <c r="AB190" i="3"/>
  <c r="AA190" i="3"/>
  <c r="Z190" i="3"/>
  <c r="E190" i="3"/>
  <c r="AC66" i="3"/>
  <c r="AB66" i="3"/>
  <c r="AA66" i="3"/>
  <c r="Z66" i="3"/>
  <c r="E66" i="3"/>
  <c r="AC90" i="3"/>
  <c r="AB90" i="3"/>
  <c r="AA90" i="3"/>
  <c r="Z90" i="3"/>
  <c r="E90" i="3"/>
  <c r="AC185" i="3"/>
  <c r="AB185" i="3"/>
  <c r="AA185" i="3"/>
  <c r="Z185" i="3"/>
  <c r="E185" i="3"/>
  <c r="AC5" i="3"/>
  <c r="AB5" i="3"/>
  <c r="AA5" i="3"/>
  <c r="Z5" i="3"/>
  <c r="E5" i="3"/>
  <c r="AC173" i="3"/>
  <c r="AB173" i="3"/>
  <c r="AA173" i="3"/>
  <c r="Z173" i="3"/>
  <c r="E173" i="3"/>
  <c r="AC65" i="3"/>
  <c r="AB65" i="3"/>
  <c r="AA65" i="3"/>
  <c r="Z65" i="3"/>
  <c r="E65" i="3"/>
  <c r="AC64" i="3"/>
  <c r="AB64" i="3"/>
  <c r="AA64" i="3"/>
  <c r="Z64" i="3"/>
  <c r="E64" i="3"/>
  <c r="AC84" i="3"/>
  <c r="AB84" i="3"/>
  <c r="AA84" i="3"/>
  <c r="Z84" i="3"/>
  <c r="E84" i="3"/>
  <c r="AC83" i="3"/>
  <c r="AB83" i="3"/>
  <c r="AA83" i="3"/>
  <c r="Z83" i="3"/>
  <c r="E83" i="3"/>
  <c r="AC50" i="3"/>
  <c r="AB50" i="3"/>
  <c r="AA50" i="3"/>
  <c r="Z50" i="3"/>
  <c r="E50" i="3"/>
  <c r="AC22" i="3"/>
  <c r="AB22" i="3"/>
  <c r="AA22" i="3"/>
  <c r="Z22" i="3"/>
  <c r="E22" i="3"/>
  <c r="AC39" i="3"/>
  <c r="AB39" i="3"/>
  <c r="AA39" i="3"/>
  <c r="Z39" i="3"/>
  <c r="E39" i="3"/>
  <c r="AC26" i="3"/>
  <c r="AB26" i="3"/>
  <c r="AA26" i="3"/>
  <c r="Z26" i="3"/>
  <c r="E26" i="3"/>
  <c r="AC38" i="3"/>
  <c r="AB38" i="3"/>
  <c r="AA38" i="3"/>
  <c r="Z38" i="3"/>
  <c r="E38" i="3"/>
  <c r="AC96" i="3"/>
  <c r="AB96" i="3"/>
  <c r="AA96" i="3"/>
  <c r="Z96" i="3"/>
  <c r="E96" i="3"/>
  <c r="AC15" i="3"/>
  <c r="AB15" i="3"/>
  <c r="AA15" i="3"/>
  <c r="Z15" i="3"/>
  <c r="E15" i="3"/>
  <c r="AC14" i="3"/>
  <c r="AB14" i="3"/>
  <c r="AA14" i="3"/>
  <c r="Z14" i="3"/>
  <c r="E14" i="3"/>
  <c r="AC11" i="3"/>
  <c r="AB11" i="3"/>
  <c r="AA11" i="3"/>
  <c r="Z11" i="3"/>
  <c r="E11" i="3"/>
  <c r="AC10" i="3"/>
  <c r="AB10" i="3"/>
  <c r="AA10" i="3"/>
  <c r="Z10" i="3"/>
  <c r="E10" i="3"/>
  <c r="AC9" i="3"/>
  <c r="AB9" i="3"/>
  <c r="AA9" i="3"/>
  <c r="Z9" i="3"/>
  <c r="E9" i="3"/>
  <c r="AC7" i="3"/>
  <c r="AB7" i="3"/>
  <c r="AA7" i="3"/>
  <c r="Z7" i="3"/>
  <c r="E7" i="3"/>
  <c r="AC21" i="3"/>
  <c r="AB21" i="3"/>
  <c r="AA21" i="3"/>
  <c r="Z21" i="3"/>
  <c r="E21" i="3"/>
  <c r="AC20" i="3"/>
  <c r="AB20" i="3"/>
  <c r="AA20" i="3"/>
  <c r="Z20" i="3"/>
  <c r="E20" i="3"/>
  <c r="AC19" i="3"/>
  <c r="AB19" i="3"/>
  <c r="AA19" i="3"/>
  <c r="Z19" i="3"/>
  <c r="E19" i="3"/>
  <c r="AC89" i="3"/>
  <c r="AB89" i="3"/>
  <c r="AA89" i="3"/>
  <c r="Z89" i="3"/>
  <c r="E89" i="3"/>
  <c r="AC88" i="3"/>
  <c r="AB88" i="3"/>
  <c r="AA88" i="3"/>
  <c r="Z88" i="3"/>
  <c r="E88" i="3"/>
  <c r="AC68" i="3"/>
  <c r="AB68" i="3"/>
  <c r="AA68" i="3"/>
  <c r="Z68" i="3"/>
  <c r="E68" i="3"/>
  <c r="AC118" i="3"/>
  <c r="AB118" i="3"/>
  <c r="AA118" i="3"/>
  <c r="Z118" i="3"/>
  <c r="E118" i="3"/>
  <c r="AC146" i="3"/>
  <c r="AB146" i="3"/>
  <c r="AA146" i="3"/>
  <c r="Z146" i="3"/>
  <c r="E146" i="3"/>
  <c r="AC145" i="3"/>
  <c r="AB145" i="3"/>
  <c r="AA145" i="3"/>
  <c r="Z145" i="3"/>
  <c r="E145" i="3"/>
  <c r="AC144" i="3"/>
  <c r="AB144" i="3"/>
  <c r="AA144" i="3"/>
  <c r="Z144" i="3"/>
  <c r="E144" i="3"/>
  <c r="AC143" i="3"/>
  <c r="AB143" i="3"/>
  <c r="AA143" i="3"/>
  <c r="Z143" i="3"/>
  <c r="E143" i="3"/>
  <c r="AC184" i="3"/>
  <c r="AB184" i="3"/>
  <c r="AA184" i="3"/>
  <c r="Z184" i="3"/>
  <c r="E184" i="3"/>
  <c r="AC183" i="3"/>
  <c r="AB183" i="3"/>
  <c r="AA183" i="3"/>
  <c r="Z183" i="3"/>
  <c r="E183" i="3"/>
  <c r="AC4" i="3"/>
  <c r="AB4" i="3"/>
  <c r="AA4" i="3"/>
  <c r="Z4" i="3"/>
  <c r="E4" i="3"/>
  <c r="AC3" i="3"/>
  <c r="AB3" i="3"/>
  <c r="AA3" i="3"/>
  <c r="Z3" i="3"/>
  <c r="E3" i="3"/>
  <c r="AC117" i="3"/>
  <c r="AB117" i="3"/>
  <c r="AA117" i="3"/>
  <c r="Z117" i="3"/>
  <c r="E117" i="3"/>
  <c r="AC82" i="3"/>
  <c r="AB82" i="3"/>
  <c r="AA82" i="3"/>
  <c r="Z82" i="3"/>
  <c r="E82" i="3"/>
  <c r="AC80" i="3"/>
  <c r="AB80" i="3"/>
  <c r="AA80" i="3"/>
  <c r="Z80" i="3"/>
  <c r="E80" i="3"/>
  <c r="AC79" i="3"/>
  <c r="AB79" i="3"/>
  <c r="AA79" i="3"/>
  <c r="Z79" i="3"/>
  <c r="E79" i="3"/>
  <c r="AC142" i="3"/>
  <c r="AB142" i="3"/>
  <c r="AA142" i="3"/>
  <c r="Z142" i="3"/>
  <c r="E142" i="3"/>
  <c r="AC44" i="3"/>
  <c r="AB44" i="3"/>
  <c r="AA44" i="3"/>
  <c r="Z44" i="3"/>
  <c r="E44" i="3"/>
  <c r="AC62" i="3"/>
  <c r="AB62" i="3"/>
  <c r="AA62" i="3"/>
  <c r="Z62" i="3"/>
  <c r="E62" i="3"/>
  <c r="AC61" i="3"/>
  <c r="AB61" i="3"/>
  <c r="AA61" i="3"/>
  <c r="Z61" i="3"/>
  <c r="E61" i="3"/>
  <c r="AC60" i="3"/>
  <c r="AB60" i="3"/>
  <c r="AA60" i="3"/>
  <c r="Z60" i="3"/>
  <c r="E60" i="3"/>
  <c r="AC59" i="3"/>
  <c r="AB59" i="3"/>
  <c r="AA59" i="3"/>
  <c r="Z59" i="3"/>
  <c r="E59" i="3"/>
  <c r="AC108" i="3"/>
  <c r="AB108" i="3"/>
  <c r="AA108" i="3"/>
  <c r="Z108" i="3"/>
  <c r="E108" i="3"/>
  <c r="AC107" i="3"/>
  <c r="AB107" i="3"/>
  <c r="AA107" i="3"/>
  <c r="Z107" i="3"/>
  <c r="E107" i="3"/>
  <c r="AC121" i="3"/>
  <c r="AB121" i="3"/>
  <c r="AA121" i="3"/>
  <c r="Z121" i="3"/>
  <c r="E121" i="3"/>
  <c r="AC125" i="3"/>
  <c r="AB125" i="3"/>
  <c r="AA125" i="3"/>
  <c r="Z125" i="3"/>
  <c r="E125" i="3"/>
  <c r="AC135" i="3"/>
  <c r="AB135" i="3"/>
  <c r="AA135" i="3"/>
  <c r="Z135" i="3"/>
  <c r="E135" i="3"/>
  <c r="AC126" i="3"/>
  <c r="AB126" i="3"/>
  <c r="AA126" i="3"/>
  <c r="Z126" i="3"/>
  <c r="E126" i="3"/>
  <c r="AC134" i="3"/>
  <c r="AB134" i="3"/>
  <c r="AA134" i="3"/>
  <c r="Z134" i="3"/>
  <c r="E134" i="3"/>
  <c r="AC128" i="3"/>
  <c r="AB128" i="3"/>
  <c r="AA128" i="3"/>
  <c r="Z128" i="3"/>
  <c r="E128" i="3"/>
  <c r="AC129" i="3"/>
  <c r="AB129" i="3"/>
  <c r="AA129" i="3"/>
  <c r="Z129" i="3"/>
  <c r="E129" i="3"/>
  <c r="AC133" i="3"/>
  <c r="AB133" i="3"/>
  <c r="AA133" i="3"/>
  <c r="Z133" i="3"/>
  <c r="E133" i="3"/>
  <c r="AC127" i="3"/>
  <c r="AB127" i="3"/>
  <c r="AA127" i="3"/>
  <c r="Z127" i="3"/>
  <c r="E127" i="3"/>
  <c r="AC168" i="3"/>
  <c r="AB168" i="3"/>
  <c r="AA168" i="3"/>
  <c r="Z168" i="3"/>
  <c r="E168" i="3"/>
  <c r="AC167" i="3"/>
  <c r="AB167" i="3"/>
  <c r="AA167" i="3"/>
  <c r="Z167" i="3"/>
  <c r="E167" i="3"/>
  <c r="AC43" i="3"/>
  <c r="AB43" i="3"/>
  <c r="AA43" i="3"/>
  <c r="Z43" i="3"/>
  <c r="E43" i="3"/>
  <c r="AC42" i="3"/>
  <c r="AB42" i="3"/>
  <c r="AA42" i="3"/>
  <c r="Z42" i="3"/>
  <c r="E42" i="3"/>
  <c r="AC77" i="3"/>
  <c r="AB77" i="3"/>
  <c r="AA77" i="3"/>
  <c r="Z77" i="3"/>
  <c r="E77" i="3"/>
  <c r="AC76" i="3"/>
  <c r="AB76" i="3"/>
  <c r="AA76" i="3"/>
  <c r="Z76" i="3"/>
  <c r="E76" i="3"/>
  <c r="AC75" i="3"/>
  <c r="AB75" i="3"/>
  <c r="AA75" i="3"/>
  <c r="Z75" i="3"/>
  <c r="E75" i="3"/>
  <c r="AC74" i="3"/>
  <c r="AB74" i="3"/>
  <c r="AA74" i="3"/>
  <c r="Z74" i="3"/>
  <c r="E74" i="3"/>
  <c r="AC73" i="3"/>
  <c r="AB73" i="3"/>
  <c r="AA73" i="3"/>
  <c r="Z73" i="3"/>
  <c r="E73" i="3"/>
  <c r="AC72" i="3"/>
  <c r="AB72" i="3"/>
  <c r="AA72" i="3"/>
  <c r="Z72" i="3"/>
  <c r="E72" i="3"/>
  <c r="AC71" i="3"/>
  <c r="AB71" i="3"/>
  <c r="AA71" i="3"/>
  <c r="Z71" i="3"/>
  <c r="E71" i="3"/>
  <c r="AC70" i="3"/>
  <c r="AB70" i="3"/>
  <c r="AA70" i="3"/>
  <c r="Z70" i="3"/>
  <c r="E70" i="3"/>
  <c r="AC106" i="3"/>
  <c r="AB106" i="3"/>
  <c r="AA106" i="3"/>
  <c r="Z106" i="3"/>
  <c r="AC105" i="3"/>
  <c r="AB105" i="3"/>
  <c r="AA105" i="3"/>
  <c r="Z105" i="3"/>
  <c r="E105" i="3"/>
  <c r="AC104" i="3"/>
  <c r="AB104" i="3"/>
  <c r="AA104" i="3"/>
  <c r="Z104" i="3"/>
  <c r="E104" i="3"/>
  <c r="AC103" i="3"/>
  <c r="AB103" i="3"/>
  <c r="AA103" i="3"/>
  <c r="Z103" i="3"/>
  <c r="E103" i="3"/>
  <c r="AC102" i="3"/>
  <c r="AB102" i="3"/>
  <c r="AA102" i="3"/>
  <c r="Z102" i="3"/>
  <c r="E102" i="3"/>
  <c r="AC101" i="3"/>
  <c r="AB101" i="3"/>
  <c r="AA101" i="3"/>
  <c r="Z101" i="3"/>
  <c r="E101" i="3"/>
  <c r="AC116" i="3"/>
  <c r="AB116" i="3"/>
  <c r="AA116" i="3"/>
  <c r="Z116" i="3"/>
  <c r="E116" i="3"/>
  <c r="AC115" i="3"/>
  <c r="AB115" i="3"/>
  <c r="AA115" i="3"/>
  <c r="Z115" i="3"/>
  <c r="E115" i="3"/>
  <c r="AC114" i="3"/>
  <c r="AB114" i="3"/>
  <c r="AA114" i="3"/>
  <c r="Z114" i="3"/>
  <c r="E114" i="3"/>
  <c r="AC113" i="3"/>
  <c r="AB113" i="3"/>
  <c r="AA113" i="3"/>
  <c r="Z113" i="3"/>
  <c r="E113" i="3"/>
  <c r="AC112" i="3"/>
  <c r="AB112" i="3"/>
  <c r="AA112" i="3"/>
  <c r="Z112" i="3"/>
  <c r="E112" i="3"/>
  <c r="AC111" i="3"/>
  <c r="AB111" i="3"/>
  <c r="AA111" i="3"/>
  <c r="Z111" i="3"/>
  <c r="E111" i="3"/>
  <c r="AC110" i="3"/>
  <c r="AB110" i="3"/>
  <c r="AA110" i="3"/>
  <c r="Z110" i="3"/>
  <c r="E110" i="3"/>
  <c r="AE220" i="3" l="1"/>
  <c r="AG220" i="3" s="1"/>
  <c r="AD220" i="3"/>
  <c r="AF220" i="3" s="1"/>
  <c r="AE210" i="3"/>
  <c r="AG210" i="3" s="1"/>
  <c r="AD210" i="3"/>
  <c r="AF210" i="3" s="1"/>
  <c r="AD91" i="3"/>
  <c r="AF91" i="3" s="1"/>
  <c r="AE30" i="3"/>
  <c r="AG30" i="3" s="1"/>
  <c r="AD35" i="3"/>
  <c r="AF35" i="3" s="1"/>
  <c r="AE92" i="3"/>
  <c r="AG92" i="3" s="1"/>
  <c r="AD51" i="3"/>
  <c r="AE29" i="3"/>
  <c r="AG29" i="3" s="1"/>
  <c r="AE58" i="3"/>
  <c r="AG58" i="3" s="1"/>
  <c r="AD192" i="3"/>
  <c r="AF192" i="3" s="1"/>
  <c r="AE192" i="3"/>
  <c r="AG192" i="3" s="1"/>
  <c r="AE35" i="3"/>
  <c r="AG35" i="3" s="1"/>
  <c r="AE98" i="3"/>
  <c r="AG98" i="3" s="1"/>
  <c r="AD200" i="3"/>
  <c r="AF200" i="3" s="1"/>
  <c r="AE200" i="3"/>
  <c r="AG200" i="3" s="1"/>
  <c r="AE139" i="3"/>
  <c r="AG139" i="3" s="1"/>
  <c r="AE177" i="3"/>
  <c r="AG177" i="3" s="1"/>
  <c r="AE28" i="3"/>
  <c r="AG28" i="3" s="1"/>
  <c r="AD196" i="3"/>
  <c r="AF196" i="3" s="1"/>
  <c r="AE196" i="3"/>
  <c r="AG196" i="3" s="1"/>
  <c r="AD92" i="3"/>
  <c r="AF92" i="3" s="1"/>
  <c r="AE91" i="3"/>
  <c r="AG91" i="3" s="1"/>
  <c r="AE56" i="3"/>
  <c r="AG56" i="3" s="1"/>
  <c r="AD193" i="3"/>
  <c r="AF193" i="3" s="1"/>
  <c r="AE193" i="3"/>
  <c r="AE52" i="3"/>
  <c r="AG52" i="3" s="1"/>
  <c r="AE36" i="3"/>
  <c r="AG36" i="3" s="1"/>
  <c r="AD177" i="3"/>
  <c r="AF177" i="3" s="1"/>
  <c r="AE182" i="3"/>
  <c r="AG182" i="3" s="1"/>
  <c r="AE51" i="3"/>
  <c r="AG51" i="3" s="1"/>
  <c r="AE195" i="3"/>
  <c r="AG195" i="3" s="1"/>
  <c r="AD195" i="3"/>
  <c r="AF195" i="3" s="1"/>
  <c r="AD55" i="3"/>
  <c r="AF55" i="3" s="1"/>
  <c r="AD97" i="3"/>
  <c r="AF97" i="3" s="1"/>
  <c r="AE34" i="3"/>
  <c r="AG34" i="3" s="1"/>
  <c r="AD201" i="3"/>
  <c r="AF201" i="3" s="1"/>
  <c r="AE201" i="3"/>
  <c r="AG201" i="3" s="1"/>
  <c r="AE197" i="3"/>
  <c r="AG197" i="3" s="1"/>
  <c r="AD197" i="3"/>
  <c r="AF197" i="3" s="1"/>
  <c r="AD194" i="3"/>
  <c r="AF194" i="3" s="1"/>
  <c r="AE194" i="3"/>
  <c r="AG194" i="3" s="1"/>
  <c r="AD28" i="3"/>
  <c r="AD29" i="3"/>
  <c r="AF29" i="3" s="1"/>
  <c r="AE48" i="3"/>
  <c r="AG48" i="3" s="1"/>
  <c r="AE54" i="3"/>
  <c r="AG54" i="3" s="1"/>
  <c r="AD99" i="3"/>
  <c r="AF99" i="3" s="1"/>
  <c r="AE100" i="3"/>
  <c r="AG100" i="3" s="1"/>
  <c r="AD202" i="3"/>
  <c r="AF202" i="3" s="1"/>
  <c r="AE202" i="3"/>
  <c r="AG202" i="3" s="1"/>
  <c r="AE99" i="3"/>
  <c r="AG99" i="3" s="1"/>
  <c r="AD140" i="3"/>
  <c r="AF140" i="3" s="1"/>
  <c r="AD199" i="3"/>
  <c r="AF199" i="3" s="1"/>
  <c r="AE199" i="3"/>
  <c r="AG199" i="3" s="1"/>
  <c r="AE198" i="3"/>
  <c r="AG198" i="3" s="1"/>
  <c r="AD198" i="3"/>
  <c r="AF198" i="3" s="1"/>
  <c r="AE176" i="3"/>
  <c r="AG176" i="3" s="1"/>
  <c r="AE97" i="3"/>
  <c r="AG97" i="3" s="1"/>
  <c r="AD52" i="3"/>
  <c r="AF52" i="3" s="1"/>
  <c r="AD30" i="3"/>
  <c r="AF30" i="3" s="1"/>
  <c r="AD98" i="3"/>
  <c r="AF98" i="3" s="1"/>
  <c r="AD54" i="3"/>
  <c r="AF54" i="3" s="1"/>
  <c r="AD57" i="3"/>
  <c r="AF57" i="3" s="1"/>
  <c r="AE140" i="3"/>
  <c r="AG140" i="3" s="1"/>
  <c r="AD139" i="3"/>
  <c r="AF139" i="3" s="1"/>
  <c r="AD58" i="3"/>
  <c r="AF58" i="3" s="1"/>
  <c r="AE55" i="3"/>
  <c r="AG55" i="3" s="1"/>
  <c r="AD36" i="3"/>
  <c r="AF36" i="3" s="1"/>
  <c r="AD100" i="3"/>
  <c r="AF100" i="3" s="1"/>
  <c r="AE53" i="3"/>
  <c r="AG53" i="3" s="1"/>
  <c r="AD34" i="3"/>
  <c r="AF34" i="3" s="1"/>
  <c r="AD176" i="3"/>
  <c r="AF176" i="3" s="1"/>
  <c r="AD182" i="3"/>
  <c r="AF182" i="3" s="1"/>
  <c r="AD53" i="3"/>
  <c r="AF53" i="3" s="1"/>
  <c r="AD56" i="3"/>
  <c r="AF56" i="3" s="1"/>
  <c r="AD37" i="3"/>
  <c r="AF37" i="3" s="1"/>
  <c r="AD48" i="3"/>
  <c r="AF48" i="3" s="1"/>
  <c r="AD160" i="3"/>
  <c r="AF160" i="3" s="1"/>
  <c r="AE87" i="3"/>
  <c r="AG87" i="3" s="1"/>
  <c r="AD87" i="3"/>
  <c r="AF87" i="3" s="1"/>
  <c r="AE24" i="3"/>
  <c r="AG24" i="3" s="1"/>
  <c r="AE13" i="3"/>
  <c r="AG13" i="3" s="1"/>
  <c r="AD41" i="3"/>
  <c r="AF41" i="3" s="1"/>
  <c r="AD86" i="3"/>
  <c r="AF86" i="3" s="1"/>
  <c r="AE25" i="3"/>
  <c r="AG25" i="3" s="1"/>
  <c r="AD25" i="3"/>
  <c r="AF25" i="3" s="1"/>
  <c r="AD18" i="3"/>
  <c r="AF18" i="3" s="1"/>
  <c r="AD17" i="3"/>
  <c r="AF17" i="3" s="1"/>
  <c r="AD40" i="3"/>
  <c r="AF40" i="3" s="1"/>
  <c r="AD13" i="3"/>
  <c r="AF13" i="3" s="1"/>
  <c r="AE86" i="3"/>
  <c r="AG86" i="3" s="1"/>
  <c r="AD24" i="3"/>
  <c r="AF24" i="3" s="1"/>
  <c r="AE160" i="3"/>
  <c r="AE41" i="3"/>
  <c r="AG41" i="3" s="1"/>
  <c r="AD12" i="3"/>
  <c r="AF12" i="3" s="1"/>
  <c r="AE18" i="3"/>
  <c r="AG18" i="3" s="1"/>
  <c r="AE93" i="3"/>
  <c r="AE12" i="3"/>
  <c r="AG12" i="3" s="1"/>
  <c r="AD67" i="3"/>
  <c r="AF67" i="3" s="1"/>
  <c r="AE40" i="3"/>
  <c r="AG40" i="3" s="1"/>
  <c r="AE17" i="3"/>
  <c r="AG17" i="3" s="1"/>
  <c r="AE6" i="3"/>
  <c r="AG6" i="3" s="1"/>
  <c r="AE189" i="3"/>
  <c r="AG189" i="3" s="1"/>
  <c r="AD189" i="3"/>
  <c r="AE67" i="3"/>
  <c r="AG67" i="3" s="1"/>
  <c r="AD93" i="3"/>
  <c r="AF93" i="3" s="1"/>
  <c r="AD6" i="3"/>
  <c r="AF6" i="3" s="1"/>
  <c r="AE8" i="3"/>
  <c r="AG8" i="3" s="1"/>
  <c r="AE109" i="3"/>
  <c r="AD109" i="3"/>
  <c r="AE175" i="3"/>
  <c r="AG175" i="3" s="1"/>
  <c r="AE171" i="3"/>
  <c r="AG171" i="3" s="1"/>
  <c r="AE119" i="3"/>
  <c r="AE23" i="3"/>
  <c r="AG23" i="3" s="1"/>
  <c r="AE170" i="3"/>
  <c r="AG170" i="3" s="1"/>
  <c r="AE174" i="3"/>
  <c r="AG174" i="3" s="1"/>
  <c r="AE169" i="3"/>
  <c r="AG169" i="3" s="1"/>
  <c r="AE47" i="3"/>
  <c r="AD47" i="3"/>
  <c r="AD119" i="3"/>
  <c r="AF119" i="3" s="1"/>
  <c r="AD175" i="3"/>
  <c r="AD174" i="3"/>
  <c r="AD171" i="3"/>
  <c r="AF171" i="3" s="1"/>
  <c r="AD170" i="3"/>
  <c r="AD169" i="3"/>
  <c r="AF169" i="3" s="1"/>
  <c r="AD137" i="3"/>
  <c r="AE69" i="3"/>
  <c r="AG69" i="3" s="1"/>
  <c r="AE16" i="3"/>
  <c r="AG16" i="3" s="1"/>
  <c r="AE63" i="3"/>
  <c r="AD69" i="3"/>
  <c r="AF69" i="3" s="1"/>
  <c r="AD63" i="3"/>
  <c r="AF63" i="3" s="1"/>
  <c r="AD23" i="3"/>
  <c r="AD16" i="3"/>
  <c r="AF16" i="3" s="1"/>
  <c r="AE137" i="3"/>
  <c r="AG137" i="3" s="1"/>
  <c r="AD8" i="3"/>
  <c r="AF8" i="3" s="1"/>
  <c r="AD162" i="3"/>
  <c r="AE45" i="3"/>
  <c r="AG45" i="3" s="1"/>
  <c r="AE150" i="3"/>
  <c r="AE132" i="3"/>
  <c r="AD132" i="3"/>
  <c r="AE164" i="3"/>
  <c r="AD157" i="3"/>
  <c r="AE154" i="3"/>
  <c r="AE159" i="3"/>
  <c r="AE46" i="3"/>
  <c r="AG46" i="3" s="1"/>
  <c r="AD46" i="3"/>
  <c r="AE153" i="3"/>
  <c r="AE162" i="3"/>
  <c r="AD45" i="3"/>
  <c r="AE136" i="3"/>
  <c r="AG136" i="3" s="1"/>
  <c r="AD136" i="3"/>
  <c r="AE166" i="3"/>
  <c r="AG166" i="3" s="1"/>
  <c r="AD166" i="3"/>
  <c r="AE155" i="3"/>
  <c r="AD150" i="3"/>
  <c r="AD153" i="3"/>
  <c r="AD152" i="3"/>
  <c r="AE157" i="3"/>
  <c r="AD161" i="3"/>
  <c r="AE156" i="3"/>
  <c r="AD154" i="3"/>
  <c r="AE151" i="3"/>
  <c r="AE158" i="3"/>
  <c r="AE163" i="3"/>
  <c r="AD158" i="3"/>
  <c r="AE165" i="3"/>
  <c r="AD165" i="3"/>
  <c r="AD164" i="3"/>
  <c r="AD163" i="3"/>
  <c r="AE161" i="3"/>
  <c r="AD159" i="3"/>
  <c r="AD156" i="3"/>
  <c r="AE152" i="3"/>
  <c r="AD151" i="3"/>
  <c r="AD155" i="3"/>
  <c r="AD123" i="3"/>
  <c r="AD149" i="3"/>
  <c r="AE149" i="3"/>
  <c r="AE130" i="3"/>
  <c r="AE123" i="3"/>
  <c r="AE254" i="3"/>
  <c r="AG254" i="3" s="1"/>
  <c r="AE302" i="3"/>
  <c r="AG302" i="3" s="1"/>
  <c r="AE249" i="3"/>
  <c r="AG249" i="3" s="1"/>
  <c r="AE297" i="3"/>
  <c r="AG297" i="3" s="1"/>
  <c r="AE321" i="3"/>
  <c r="AG321" i="3" s="1"/>
  <c r="AE120" i="3"/>
  <c r="AE148" i="3"/>
  <c r="AD148" i="3"/>
  <c r="AD130" i="3"/>
  <c r="AD103" i="3"/>
  <c r="AE147" i="3"/>
  <c r="AD147" i="3"/>
  <c r="AD120" i="3"/>
  <c r="AD272" i="3"/>
  <c r="AF272" i="3" s="1"/>
  <c r="AD308" i="3"/>
  <c r="AF308" i="3" s="1"/>
  <c r="AE225" i="3"/>
  <c r="AG225" i="3" s="1"/>
  <c r="AE81" i="3"/>
  <c r="AD81" i="3"/>
  <c r="AD185" i="3"/>
  <c r="AF185" i="3" s="1"/>
  <c r="AE188" i="3"/>
  <c r="AG188" i="3" s="1"/>
  <c r="AE131" i="3"/>
  <c r="AE336" i="3"/>
  <c r="AG336" i="3" s="1"/>
  <c r="AE241" i="3"/>
  <c r="AG241" i="3" s="1"/>
  <c r="AD337" i="3"/>
  <c r="AF337" i="3" s="1"/>
  <c r="AD131" i="3"/>
  <c r="AE234" i="3"/>
  <c r="AG234" i="3" s="1"/>
  <c r="AE270" i="3"/>
  <c r="AG270" i="3" s="1"/>
  <c r="AE318" i="3"/>
  <c r="AG318" i="3" s="1"/>
  <c r="AE342" i="3"/>
  <c r="AG342" i="3" s="1"/>
  <c r="AE75" i="3"/>
  <c r="AD126" i="3"/>
  <c r="AD203" i="3"/>
  <c r="AF203" i="3" s="1"/>
  <c r="AE251" i="3"/>
  <c r="AG251" i="3" s="1"/>
  <c r="AE347" i="3"/>
  <c r="AG347" i="3" s="1"/>
  <c r="AD292" i="3"/>
  <c r="AF292" i="3" s="1"/>
  <c r="AE122" i="3"/>
  <c r="AD38" i="3"/>
  <c r="AD141" i="3"/>
  <c r="AE7" i="3"/>
  <c r="AG7" i="3" s="1"/>
  <c r="AD122" i="3"/>
  <c r="AD84" i="3"/>
  <c r="AF84" i="3" s="1"/>
  <c r="AE15" i="3"/>
  <c r="AG15" i="3" s="1"/>
  <c r="AD64" i="3"/>
  <c r="AD39" i="3"/>
  <c r="AD324" i="3"/>
  <c r="AF324" i="3" s="1"/>
  <c r="AD334" i="3"/>
  <c r="AF334" i="3" s="1"/>
  <c r="AG193" i="3"/>
  <c r="AE113" i="3"/>
  <c r="AD72" i="3"/>
  <c r="AD129" i="3"/>
  <c r="AD83" i="3"/>
  <c r="AF83" i="3" s="1"/>
  <c r="AD221" i="3"/>
  <c r="AF221" i="3" s="1"/>
  <c r="AE124" i="3"/>
  <c r="AD317" i="3"/>
  <c r="AF317" i="3" s="1"/>
  <c r="AD346" i="3"/>
  <c r="AF346" i="3" s="1"/>
  <c r="AE308" i="3"/>
  <c r="AG308" i="3" s="1"/>
  <c r="AE285" i="3"/>
  <c r="AG285" i="3" s="1"/>
  <c r="AD304" i="3"/>
  <c r="AF304" i="3" s="1"/>
  <c r="AD223" i="3"/>
  <c r="AF223" i="3" s="1"/>
  <c r="AE259" i="3"/>
  <c r="AG259" i="3" s="1"/>
  <c r="AD124" i="3"/>
  <c r="AE42" i="3"/>
  <c r="AD204" i="3"/>
  <c r="AF204" i="3" s="1"/>
  <c r="AE273" i="3"/>
  <c r="AG273" i="3" s="1"/>
  <c r="AE288" i="3"/>
  <c r="AG288" i="3" s="1"/>
  <c r="AD302" i="3"/>
  <c r="AF302" i="3" s="1"/>
  <c r="AD321" i="3"/>
  <c r="AF321" i="3" s="1"/>
  <c r="AE331" i="3"/>
  <c r="AG331" i="3" s="1"/>
  <c r="AD349" i="3"/>
  <c r="AF349" i="3" s="1"/>
  <c r="AE352" i="3"/>
  <c r="AG352" i="3" s="1"/>
  <c r="AE257" i="3"/>
  <c r="AG257" i="3" s="1"/>
  <c r="AE334" i="3"/>
  <c r="AG334" i="3" s="1"/>
  <c r="AE38" i="3"/>
  <c r="AG38" i="3" s="1"/>
  <c r="AE31" i="3"/>
  <c r="AG31" i="3" s="1"/>
  <c r="AE19" i="3"/>
  <c r="AG19" i="3" s="1"/>
  <c r="AE209" i="3"/>
  <c r="AG209" i="3" s="1"/>
  <c r="AE281" i="3"/>
  <c r="AG281" i="3" s="1"/>
  <c r="AD300" i="3"/>
  <c r="AF300" i="3" s="1"/>
  <c r="AD312" i="3"/>
  <c r="AF312" i="3" s="1"/>
  <c r="AE324" i="3"/>
  <c r="AG324" i="3" s="1"/>
  <c r="AE315" i="3"/>
  <c r="AG315" i="3" s="1"/>
  <c r="AE327" i="3"/>
  <c r="AG327" i="3" s="1"/>
  <c r="AD3" i="3"/>
  <c r="AE144" i="3"/>
  <c r="AE129" i="3"/>
  <c r="AE115" i="3"/>
  <c r="AE14" i="3"/>
  <c r="AG14" i="3" s="1"/>
  <c r="AD228" i="3"/>
  <c r="AF228" i="3" s="1"/>
  <c r="AE238" i="3"/>
  <c r="AG238" i="3" s="1"/>
  <c r="AE286" i="3"/>
  <c r="AG286" i="3" s="1"/>
  <c r="AD298" i="3"/>
  <c r="AF298" i="3" s="1"/>
  <c r="AD336" i="3"/>
  <c r="AF336" i="3" s="1"/>
  <c r="AE350" i="3"/>
  <c r="AG350" i="3" s="1"/>
  <c r="AE141" i="3"/>
  <c r="AE74" i="3"/>
  <c r="AD133" i="3"/>
  <c r="AD108" i="3"/>
  <c r="AD144" i="3"/>
  <c r="AD21" i="3"/>
  <c r="AF21" i="3" s="1"/>
  <c r="AE26" i="3"/>
  <c r="AG26" i="3" s="1"/>
  <c r="AE186" i="3"/>
  <c r="AG186" i="3" s="1"/>
  <c r="AE231" i="3"/>
  <c r="AG231" i="3" s="1"/>
  <c r="AE265" i="3"/>
  <c r="AG265" i="3" s="1"/>
  <c r="AE267" i="3"/>
  <c r="AG267" i="3" s="1"/>
  <c r="AE289" i="3"/>
  <c r="AG289" i="3" s="1"/>
  <c r="AE339" i="3"/>
  <c r="AG339" i="3" s="1"/>
  <c r="AE235" i="3"/>
  <c r="AG235" i="3" s="1"/>
  <c r="AE228" i="3"/>
  <c r="AG228" i="3" s="1"/>
  <c r="AE244" i="3"/>
  <c r="AG244" i="3" s="1"/>
  <c r="AE317" i="3"/>
  <c r="AG317" i="3" s="1"/>
  <c r="AD113" i="3"/>
  <c r="AD42" i="3"/>
  <c r="AE126" i="3"/>
  <c r="AE121" i="3"/>
  <c r="AE118" i="3"/>
  <c r="AG118" i="3" s="1"/>
  <c r="AD19" i="3"/>
  <c r="AF19" i="3" s="1"/>
  <c r="AD14" i="3"/>
  <c r="AD94" i="3"/>
  <c r="AF94" i="3" s="1"/>
  <c r="AE27" i="3"/>
  <c r="AG27" i="3" s="1"/>
  <c r="AE247" i="3"/>
  <c r="AG247" i="3" s="1"/>
  <c r="AD249" i="3"/>
  <c r="AF249" i="3" s="1"/>
  <c r="AD263" i="3"/>
  <c r="AF263" i="3" s="1"/>
  <c r="AD281" i="3"/>
  <c r="AF281" i="3" s="1"/>
  <c r="AE283" i="3"/>
  <c r="AG283" i="3" s="1"/>
  <c r="AE298" i="3"/>
  <c r="AG298" i="3" s="1"/>
  <c r="AD314" i="3"/>
  <c r="AF314" i="3" s="1"/>
  <c r="AD320" i="3"/>
  <c r="AF320" i="3" s="1"/>
  <c r="AD350" i="3"/>
  <c r="AF350" i="3" s="1"/>
  <c r="AD352" i="3"/>
  <c r="AF352" i="3" s="1"/>
  <c r="AE83" i="3"/>
  <c r="AG83" i="3" s="1"/>
  <c r="AE292" i="3"/>
  <c r="AG292" i="3" s="1"/>
  <c r="AE344" i="3"/>
  <c r="AG344" i="3" s="1"/>
  <c r="AE116" i="3"/>
  <c r="AE80" i="3"/>
  <c r="AE64" i="3"/>
  <c r="AG64" i="3" s="1"/>
  <c r="AD186" i="3"/>
  <c r="AF186" i="3" s="1"/>
  <c r="AE32" i="3"/>
  <c r="AG32" i="3" s="1"/>
  <c r="AD248" i="3"/>
  <c r="AF248" i="3" s="1"/>
  <c r="AD252" i="3"/>
  <c r="AF252" i="3" s="1"/>
  <c r="AE256" i="3"/>
  <c r="AG256" i="3" s="1"/>
  <c r="AD270" i="3"/>
  <c r="AF270" i="3" s="1"/>
  <c r="AD275" i="3"/>
  <c r="AF275" i="3" s="1"/>
  <c r="AE337" i="3"/>
  <c r="AG337" i="3" s="1"/>
  <c r="AE112" i="3"/>
  <c r="AE103" i="3"/>
  <c r="AE72" i="3"/>
  <c r="AD121" i="3"/>
  <c r="AE61" i="3"/>
  <c r="AD15" i="3"/>
  <c r="AE203" i="3"/>
  <c r="AG203" i="3" s="1"/>
  <c r="AD254" i="3"/>
  <c r="AF254" i="3" s="1"/>
  <c r="AD268" i="3"/>
  <c r="AF268" i="3" s="1"/>
  <c r="AE314" i="3"/>
  <c r="AG314" i="3" s="1"/>
  <c r="AD318" i="3"/>
  <c r="AF318" i="3" s="1"/>
  <c r="AE320" i="3"/>
  <c r="AG320" i="3" s="1"/>
  <c r="AD188" i="3"/>
  <c r="AD209" i="3"/>
  <c r="AF209" i="3" s="1"/>
  <c r="AE105" i="3"/>
  <c r="AD75" i="3"/>
  <c r="AD134" i="3"/>
  <c r="AD89" i="3"/>
  <c r="AF89" i="3" s="1"/>
  <c r="AD7" i="3"/>
  <c r="AF7" i="3" s="1"/>
  <c r="AE84" i="3"/>
  <c r="AG84" i="3" s="1"/>
  <c r="AD207" i="3"/>
  <c r="AF207" i="3" s="1"/>
  <c r="AD225" i="3"/>
  <c r="AF225" i="3" s="1"/>
  <c r="AE246" i="3"/>
  <c r="AG246" i="3" s="1"/>
  <c r="AD264" i="3"/>
  <c r="AF264" i="3" s="1"/>
  <c r="AD286" i="3"/>
  <c r="AF286" i="3" s="1"/>
  <c r="AD288" i="3"/>
  <c r="AF288" i="3" s="1"/>
  <c r="AD297" i="3"/>
  <c r="AF297" i="3" s="1"/>
  <c r="AE299" i="3"/>
  <c r="AG299" i="3" s="1"/>
  <c r="AD310" i="3"/>
  <c r="AF310" i="3" s="1"/>
  <c r="AE312" i="3"/>
  <c r="AG312" i="3" s="1"/>
  <c r="AD342" i="3"/>
  <c r="AF342" i="3" s="1"/>
  <c r="AD238" i="3"/>
  <c r="AF238" i="3" s="1"/>
  <c r="AE190" i="3"/>
  <c r="AG190" i="3" s="1"/>
  <c r="AD191" i="3"/>
  <c r="AF191" i="3" s="1"/>
  <c r="AE204" i="3"/>
  <c r="AG204" i="3" s="1"/>
  <c r="AD241" i="3"/>
  <c r="AF241" i="3" s="1"/>
  <c r="AD291" i="3"/>
  <c r="AF291" i="3" s="1"/>
  <c r="AD285" i="3"/>
  <c r="AF285" i="3" s="1"/>
  <c r="AD329" i="3"/>
  <c r="AF329" i="3" s="1"/>
  <c r="AD71" i="3"/>
  <c r="AE167" i="3"/>
  <c r="AD49" i="3"/>
  <c r="AF49" i="3" s="1"/>
  <c r="AE138" i="3"/>
  <c r="AG138" i="3" s="1"/>
  <c r="AE275" i="3"/>
  <c r="AG275" i="3" s="1"/>
  <c r="AE300" i="3"/>
  <c r="AG300" i="3" s="1"/>
  <c r="AD116" i="3"/>
  <c r="AE89" i="3"/>
  <c r="AG89" i="3" s="1"/>
  <c r="AE22" i="3"/>
  <c r="AG22" i="3" s="1"/>
  <c r="AD22" i="3"/>
  <c r="AE333" i="3"/>
  <c r="AG333" i="3" s="1"/>
  <c r="AD333" i="3"/>
  <c r="AF333" i="3" s="1"/>
  <c r="AE21" i="3"/>
  <c r="AG21" i="3" s="1"/>
  <c r="AE338" i="3"/>
  <c r="AG338" i="3" s="1"/>
  <c r="AD338" i="3"/>
  <c r="AF338" i="3" s="1"/>
  <c r="AD61" i="3"/>
  <c r="AF206" i="3"/>
  <c r="AG206" i="3"/>
  <c r="AE135" i="3"/>
  <c r="AD135" i="3"/>
  <c r="AE95" i="3"/>
  <c r="AG95" i="3" s="1"/>
  <c r="AD95" i="3"/>
  <c r="AF95" i="3" s="1"/>
  <c r="AD280" i="3"/>
  <c r="AF280" i="3" s="1"/>
  <c r="AE280" i="3"/>
  <c r="AG280" i="3" s="1"/>
  <c r="AD74" i="3"/>
  <c r="AE133" i="3"/>
  <c r="AE101" i="3"/>
  <c r="AD101" i="3"/>
  <c r="AE128" i="3"/>
  <c r="AD128" i="3"/>
  <c r="AD256" i="3"/>
  <c r="AF256" i="3" s="1"/>
  <c r="AE349" i="3"/>
  <c r="AG349" i="3" s="1"/>
  <c r="AD115" i="3"/>
  <c r="AE71" i="3"/>
  <c r="AE127" i="3"/>
  <c r="AD127" i="3"/>
  <c r="AE125" i="3"/>
  <c r="AD125" i="3"/>
  <c r="AE108" i="3"/>
  <c r="AE211" i="3"/>
  <c r="AG211" i="3" s="1"/>
  <c r="AD211" i="3"/>
  <c r="AF211" i="3" s="1"/>
  <c r="AD232" i="3"/>
  <c r="AF232" i="3" s="1"/>
  <c r="AE232" i="3"/>
  <c r="AG232" i="3" s="1"/>
  <c r="AE253" i="3"/>
  <c r="AG253" i="3" s="1"/>
  <c r="AE278" i="3"/>
  <c r="AG278" i="3" s="1"/>
  <c r="AD278" i="3"/>
  <c r="AF278" i="3" s="1"/>
  <c r="AE301" i="3"/>
  <c r="AG301" i="3" s="1"/>
  <c r="AD301" i="3"/>
  <c r="AF301" i="3" s="1"/>
  <c r="AE79" i="3"/>
  <c r="AD79" i="3"/>
  <c r="AD351" i="3"/>
  <c r="AF351" i="3" s="1"/>
  <c r="AE351" i="3"/>
  <c r="AG351" i="3" s="1"/>
  <c r="AD112" i="3"/>
  <c r="AE73" i="3"/>
  <c r="AD73" i="3"/>
  <c r="AD118" i="3"/>
  <c r="AE173" i="3"/>
  <c r="AG173" i="3" s="1"/>
  <c r="AD173" i="3"/>
  <c r="AE187" i="3"/>
  <c r="AG187" i="3" s="1"/>
  <c r="AD187" i="3"/>
  <c r="AD319" i="3"/>
  <c r="AF319" i="3" s="1"/>
  <c r="AE319" i="3"/>
  <c r="AG319" i="3" s="1"/>
  <c r="AD323" i="3"/>
  <c r="AF323" i="3" s="1"/>
  <c r="AE323" i="3"/>
  <c r="AG323" i="3" s="1"/>
  <c r="AE329" i="3"/>
  <c r="AG329" i="3" s="1"/>
  <c r="AD243" i="3"/>
  <c r="AF243" i="3" s="1"/>
  <c r="AE243" i="3"/>
  <c r="AG243" i="3" s="1"/>
  <c r="AD104" i="3"/>
  <c r="AE104" i="3"/>
  <c r="AE44" i="3"/>
  <c r="AG44" i="3" s="1"/>
  <c r="AD44" i="3"/>
  <c r="AE284" i="3"/>
  <c r="AG284" i="3" s="1"/>
  <c r="AD284" i="3"/>
  <c r="AF284" i="3" s="1"/>
  <c r="AE310" i="3"/>
  <c r="AG310" i="3" s="1"/>
  <c r="AE143" i="3"/>
  <c r="AG143" i="3" s="1"/>
  <c r="AD143" i="3"/>
  <c r="AE172" i="3"/>
  <c r="AG172" i="3" s="1"/>
  <c r="AD172" i="3"/>
  <c r="AF172" i="3" s="1"/>
  <c r="AE49" i="3"/>
  <c r="AG49" i="3" s="1"/>
  <c r="AE260" i="3"/>
  <c r="AG260" i="3" s="1"/>
  <c r="AD260" i="3"/>
  <c r="AF260" i="3" s="1"/>
  <c r="AE3" i="3"/>
  <c r="AD167" i="3"/>
  <c r="AE117" i="3"/>
  <c r="AG117" i="3" s="1"/>
  <c r="AD117" i="3"/>
  <c r="AE70" i="3"/>
  <c r="AD70" i="3"/>
  <c r="AE77" i="3"/>
  <c r="AD77" i="3"/>
  <c r="AD107" i="3"/>
  <c r="AE107" i="3"/>
  <c r="AD80" i="3"/>
  <c r="AE4" i="3"/>
  <c r="AD4" i="3"/>
  <c r="AE50" i="3"/>
  <c r="AG50" i="3" s="1"/>
  <c r="AD50" i="3"/>
  <c r="AF50" i="3" s="1"/>
  <c r="AD234" i="3"/>
  <c r="AF234" i="3" s="1"/>
  <c r="AE305" i="3"/>
  <c r="AG305" i="3" s="1"/>
  <c r="AD305" i="3"/>
  <c r="AF305" i="3" s="1"/>
  <c r="AE114" i="3"/>
  <c r="AD114" i="3"/>
  <c r="AD105" i="3"/>
  <c r="AD78" i="3"/>
  <c r="AF78" i="3" s="1"/>
  <c r="AE78" i="3"/>
  <c r="AG78" i="3" s="1"/>
  <c r="AE205" i="3"/>
  <c r="AG205" i="3" s="1"/>
  <c r="AD205" i="3"/>
  <c r="AF205" i="3" s="1"/>
  <c r="AE224" i="3"/>
  <c r="AG224" i="3" s="1"/>
  <c r="AD224" i="3"/>
  <c r="AF224" i="3" s="1"/>
  <c r="AD253" i="3"/>
  <c r="AF253" i="3" s="1"/>
  <c r="AD276" i="3"/>
  <c r="AF276" i="3" s="1"/>
  <c r="AE276" i="3"/>
  <c r="AG276" i="3" s="1"/>
  <c r="AE316" i="3"/>
  <c r="AG316" i="3" s="1"/>
  <c r="AD316" i="3"/>
  <c r="AF316" i="3" s="1"/>
  <c r="AE9" i="3"/>
  <c r="AG9" i="3" s="1"/>
  <c r="AD9" i="3"/>
  <c r="AF9" i="3" s="1"/>
  <c r="AE11" i="3"/>
  <c r="AG11" i="3" s="1"/>
  <c r="AD11" i="3"/>
  <c r="AF11" i="3" s="1"/>
  <c r="AE76" i="3"/>
  <c r="AD76" i="3"/>
  <c r="AE183" i="3"/>
  <c r="AD183" i="3"/>
  <c r="AE20" i="3"/>
  <c r="AG20" i="3" s="1"/>
  <c r="AD20" i="3"/>
  <c r="AF20" i="3" s="1"/>
  <c r="AE60" i="3"/>
  <c r="AD60" i="3"/>
  <c r="AE88" i="3"/>
  <c r="AG88" i="3" s="1"/>
  <c r="AD88" i="3"/>
  <c r="AF88" i="3" s="1"/>
  <c r="AE236" i="3"/>
  <c r="AG236" i="3" s="1"/>
  <c r="AD236" i="3"/>
  <c r="AF236" i="3" s="1"/>
  <c r="AE240" i="3"/>
  <c r="AG240" i="3" s="1"/>
  <c r="AD240" i="3"/>
  <c r="AF240" i="3" s="1"/>
  <c r="AE62" i="3"/>
  <c r="AD62" i="3"/>
  <c r="AE96" i="3"/>
  <c r="AG96" i="3" s="1"/>
  <c r="AD96" i="3"/>
  <c r="AF96" i="3" s="1"/>
  <c r="AE111" i="3"/>
  <c r="AD111" i="3"/>
  <c r="AE102" i="3"/>
  <c r="AD102" i="3"/>
  <c r="AD43" i="3"/>
  <c r="AE43" i="3"/>
  <c r="AE134" i="3"/>
  <c r="AE146" i="3"/>
  <c r="AD146" i="3"/>
  <c r="AD222" i="3"/>
  <c r="AF222" i="3" s="1"/>
  <c r="AE222" i="3"/>
  <c r="AG222" i="3" s="1"/>
  <c r="AE230" i="3"/>
  <c r="AG230" i="3" s="1"/>
  <c r="AD230" i="3"/>
  <c r="AF230" i="3" s="1"/>
  <c r="AE245" i="3"/>
  <c r="AG245" i="3" s="1"/>
  <c r="AD245" i="3"/>
  <c r="AF245" i="3" s="1"/>
  <c r="AD287" i="3"/>
  <c r="AF287" i="3" s="1"/>
  <c r="AE287" i="3"/>
  <c r="AG287" i="3" s="1"/>
  <c r="AE346" i="3"/>
  <c r="AG346" i="3" s="1"/>
  <c r="AD90" i="3"/>
  <c r="AF90" i="3" s="1"/>
  <c r="AE282" i="3"/>
  <c r="AG282" i="3" s="1"/>
  <c r="AD307" i="3"/>
  <c r="AF307" i="3" s="1"/>
  <c r="AE348" i="3"/>
  <c r="AG348" i="3" s="1"/>
  <c r="AD348" i="3"/>
  <c r="AF348" i="3" s="1"/>
  <c r="AE219" i="3"/>
  <c r="AG219" i="3" s="1"/>
  <c r="AD219" i="3"/>
  <c r="AF219" i="3" s="1"/>
  <c r="AE269" i="3"/>
  <c r="AG269" i="3" s="1"/>
  <c r="AD269" i="3"/>
  <c r="AF269" i="3" s="1"/>
  <c r="AD190" i="3"/>
  <c r="AF190" i="3" s="1"/>
  <c r="AD311" i="3"/>
  <c r="AF311" i="3" s="1"/>
  <c r="AE311" i="3"/>
  <c r="AG311" i="3" s="1"/>
  <c r="AE330" i="3"/>
  <c r="AG330" i="3" s="1"/>
  <c r="AD330" i="3"/>
  <c r="AF330" i="3" s="1"/>
  <c r="AD343" i="3"/>
  <c r="AF343" i="3" s="1"/>
  <c r="AE343" i="3"/>
  <c r="AG343" i="3" s="1"/>
  <c r="AE5" i="3"/>
  <c r="AG5" i="3" s="1"/>
  <c r="AD5" i="3"/>
  <c r="AF5" i="3" s="1"/>
  <c r="AE90" i="3"/>
  <c r="AD250" i="3"/>
  <c r="AF250" i="3" s="1"/>
  <c r="AE250" i="3"/>
  <c r="AG250" i="3" s="1"/>
  <c r="AE263" i="3"/>
  <c r="AG263" i="3" s="1"/>
  <c r="AD282" i="3"/>
  <c r="AF282" i="3" s="1"/>
  <c r="AD296" i="3"/>
  <c r="AF296" i="3" s="1"/>
  <c r="AE296" i="3"/>
  <c r="AG296" i="3" s="1"/>
  <c r="AE304" i="3"/>
  <c r="AG304" i="3" s="1"/>
  <c r="AE307" i="3"/>
  <c r="AG307" i="3" s="1"/>
  <c r="AE309" i="3"/>
  <c r="AG309" i="3" s="1"/>
  <c r="AD309" i="3"/>
  <c r="AF309" i="3" s="1"/>
  <c r="AE313" i="3"/>
  <c r="AG313" i="3" s="1"/>
  <c r="AD313" i="3"/>
  <c r="AF313" i="3" s="1"/>
  <c r="AE322" i="3"/>
  <c r="AG322" i="3" s="1"/>
  <c r="AD322" i="3"/>
  <c r="AF322" i="3" s="1"/>
  <c r="AD328" i="3"/>
  <c r="AF328" i="3" s="1"/>
  <c r="AE328" i="3"/>
  <c r="AG328" i="3" s="1"/>
  <c r="AE110" i="3"/>
  <c r="AE106" i="3"/>
  <c r="AD106" i="3"/>
  <c r="AE168" i="3"/>
  <c r="AD168" i="3"/>
  <c r="AE59" i="3"/>
  <c r="AD59" i="3"/>
  <c r="AE82" i="3"/>
  <c r="AD82" i="3"/>
  <c r="AE145" i="3"/>
  <c r="AD145" i="3"/>
  <c r="AE185" i="3"/>
  <c r="AG185" i="3" s="1"/>
  <c r="AD31" i="3"/>
  <c r="AF31" i="3" s="1"/>
  <c r="AE233" i="3"/>
  <c r="AG233" i="3" s="1"/>
  <c r="AD233" i="3"/>
  <c r="AF233" i="3" s="1"/>
  <c r="AD244" i="3"/>
  <c r="AF244" i="3" s="1"/>
  <c r="AD265" i="3"/>
  <c r="AF265" i="3" s="1"/>
  <c r="AD273" i="3"/>
  <c r="AF273" i="3" s="1"/>
  <c r="AE290" i="3"/>
  <c r="AG290" i="3" s="1"/>
  <c r="AD290" i="3"/>
  <c r="AF290" i="3" s="1"/>
  <c r="AE294" i="3"/>
  <c r="AG294" i="3" s="1"/>
  <c r="AD294" i="3"/>
  <c r="AF294" i="3" s="1"/>
  <c r="AE261" i="3"/>
  <c r="AG261" i="3" s="1"/>
  <c r="AD261" i="3"/>
  <c r="AF261" i="3" s="1"/>
  <c r="AE341" i="3"/>
  <c r="AG341" i="3" s="1"/>
  <c r="AD341" i="3"/>
  <c r="AF341" i="3" s="1"/>
  <c r="AE142" i="3"/>
  <c r="AD142" i="3"/>
  <c r="AE184" i="3"/>
  <c r="AD184" i="3"/>
  <c r="AE68" i="3"/>
  <c r="AG68" i="3" s="1"/>
  <c r="AD68" i="3"/>
  <c r="AD227" i="3"/>
  <c r="AF227" i="3" s="1"/>
  <c r="AE227" i="3"/>
  <c r="AG227" i="3" s="1"/>
  <c r="AD239" i="3"/>
  <c r="AF239" i="3" s="1"/>
  <c r="AE239" i="3"/>
  <c r="AG239" i="3" s="1"/>
  <c r="AD246" i="3"/>
  <c r="AF246" i="3" s="1"/>
  <c r="AE258" i="3"/>
  <c r="AG258" i="3" s="1"/>
  <c r="AD258" i="3"/>
  <c r="AF258" i="3" s="1"/>
  <c r="AD279" i="3"/>
  <c r="AF279" i="3" s="1"/>
  <c r="AE279" i="3"/>
  <c r="AG279" i="3" s="1"/>
  <c r="AE10" i="3"/>
  <c r="AG10" i="3" s="1"/>
  <c r="AD10" i="3"/>
  <c r="AF10" i="3" s="1"/>
  <c r="AD26" i="3"/>
  <c r="AE248" i="3"/>
  <c r="AG248" i="3" s="1"/>
  <c r="AE262" i="3"/>
  <c r="AG262" i="3" s="1"/>
  <c r="AD262" i="3"/>
  <c r="AF262" i="3" s="1"/>
  <c r="AE272" i="3"/>
  <c r="AG272" i="3" s="1"/>
  <c r="AE277" i="3"/>
  <c r="AG277" i="3" s="1"/>
  <c r="AD277" i="3"/>
  <c r="AF277" i="3" s="1"/>
  <c r="AE326" i="3"/>
  <c r="AG326" i="3" s="1"/>
  <c r="AD326" i="3"/>
  <c r="AF326" i="3" s="1"/>
  <c r="AE65" i="3"/>
  <c r="AG65" i="3" s="1"/>
  <c r="AE66" i="3"/>
  <c r="AG66" i="3" s="1"/>
  <c r="AE274" i="3"/>
  <c r="AG274" i="3" s="1"/>
  <c r="AD274" i="3"/>
  <c r="AF274" i="3" s="1"/>
  <c r="AE306" i="3"/>
  <c r="AG306" i="3" s="1"/>
  <c r="AD306" i="3"/>
  <c r="AF306" i="3" s="1"/>
  <c r="AE345" i="3"/>
  <c r="AG345" i="3" s="1"/>
  <c r="AD345" i="3"/>
  <c r="AF345" i="3" s="1"/>
  <c r="AE353" i="3"/>
  <c r="AG353" i="3" s="1"/>
  <c r="AD353" i="3"/>
  <c r="AF353" i="3" s="1"/>
  <c r="AD257" i="3"/>
  <c r="AF257" i="3" s="1"/>
  <c r="AD259" i="3"/>
  <c r="AF259" i="3" s="1"/>
  <c r="AD289" i="3"/>
  <c r="AF289" i="3" s="1"/>
  <c r="AD335" i="3"/>
  <c r="AF335" i="3" s="1"/>
  <c r="AE335" i="3"/>
  <c r="AG335" i="3" s="1"/>
  <c r="AE94" i="3"/>
  <c r="AG94" i="3" s="1"/>
  <c r="AE207" i="3"/>
  <c r="AG207" i="3" s="1"/>
  <c r="AE266" i="3"/>
  <c r="AG266" i="3" s="1"/>
  <c r="AD266" i="3"/>
  <c r="AF266" i="3" s="1"/>
  <c r="AD303" i="3"/>
  <c r="AF303" i="3" s="1"/>
  <c r="AE303" i="3"/>
  <c r="AG303" i="3" s="1"/>
  <c r="AE325" i="3"/>
  <c r="AG325" i="3" s="1"/>
  <c r="AD325" i="3"/>
  <c r="AF325" i="3" s="1"/>
  <c r="AE332" i="3"/>
  <c r="AG332" i="3" s="1"/>
  <c r="AD332" i="3"/>
  <c r="AF332" i="3" s="1"/>
  <c r="AD32" i="3"/>
  <c r="AF32" i="3" s="1"/>
  <c r="AE223" i="3"/>
  <c r="AG223" i="3" s="1"/>
  <c r="AE237" i="3"/>
  <c r="AG237" i="3" s="1"/>
  <c r="AD237" i="3"/>
  <c r="AF237" i="3" s="1"/>
  <c r="AD327" i="3"/>
  <c r="AF327" i="3" s="1"/>
  <c r="AE340" i="3"/>
  <c r="AG340" i="3" s="1"/>
  <c r="AD340" i="3"/>
  <c r="AF340" i="3" s="1"/>
  <c r="AE354" i="3"/>
  <c r="AG354" i="3" s="1"/>
  <c r="AD354" i="3"/>
  <c r="AF354" i="3" s="1"/>
  <c r="AE39" i="3"/>
  <c r="AG39" i="3" s="1"/>
  <c r="AD65" i="3"/>
  <c r="AF65" i="3" s="1"/>
  <c r="AD66" i="3"/>
  <c r="AE191" i="3"/>
  <c r="AG191" i="3" s="1"/>
  <c r="AD27" i="3"/>
  <c r="AF27" i="3" s="1"/>
  <c r="AE221" i="3"/>
  <c r="AG221" i="3" s="1"/>
  <c r="AE264" i="3"/>
  <c r="AG264" i="3" s="1"/>
  <c r="AE291" i="3"/>
  <c r="AG291" i="3" s="1"/>
  <c r="AE293" i="3"/>
  <c r="AG293" i="3" s="1"/>
  <c r="AD293" i="3"/>
  <c r="AF293" i="3" s="1"/>
  <c r="AD295" i="3"/>
  <c r="AF295" i="3" s="1"/>
  <c r="AE295" i="3"/>
  <c r="AG295" i="3" s="1"/>
  <c r="AD138" i="3"/>
  <c r="AF138" i="3" s="1"/>
  <c r="AE229" i="3"/>
  <c r="AG229" i="3" s="1"/>
  <c r="AD229" i="3"/>
  <c r="AF229" i="3" s="1"/>
  <c r="AE242" i="3"/>
  <c r="AG242" i="3" s="1"/>
  <c r="AD242" i="3"/>
  <c r="AF242" i="3" s="1"/>
  <c r="AD247" i="3"/>
  <c r="AF247" i="3" s="1"/>
  <c r="AE268" i="3"/>
  <c r="AG268" i="3" s="1"/>
  <c r="AD271" i="3"/>
  <c r="AF271" i="3" s="1"/>
  <c r="AE271" i="3"/>
  <c r="AG271" i="3" s="1"/>
  <c r="AE226" i="3"/>
  <c r="AG226" i="3" s="1"/>
  <c r="AD226" i="3"/>
  <c r="AF226" i="3" s="1"/>
  <c r="AD231" i="3"/>
  <c r="AF231" i="3" s="1"/>
  <c r="AE252" i="3"/>
  <c r="AG252" i="3" s="1"/>
  <c r="AD255" i="3"/>
  <c r="AF255" i="3" s="1"/>
  <c r="AE255" i="3"/>
  <c r="AG255" i="3" s="1"/>
  <c r="AD339" i="3"/>
  <c r="AF339" i="3" s="1"/>
  <c r="AD344" i="3"/>
  <c r="AF344" i="3" s="1"/>
  <c r="AD235" i="3"/>
  <c r="AF235" i="3" s="1"/>
  <c r="AD251" i="3"/>
  <c r="AF251" i="3" s="1"/>
  <c r="AD267" i="3"/>
  <c r="AF267" i="3" s="1"/>
  <c r="AD283" i="3"/>
  <c r="AF283" i="3" s="1"/>
  <c r="AD299" i="3"/>
  <c r="AF299" i="3" s="1"/>
  <c r="AD315" i="3"/>
  <c r="AF315" i="3" s="1"/>
  <c r="AD331" i="3"/>
  <c r="AF331" i="3" s="1"/>
  <c r="AD347" i="3"/>
  <c r="AF347" i="3" s="1"/>
  <c r="AF51" i="3" l="1"/>
  <c r="AF109" i="3"/>
  <c r="AF187" i="3"/>
  <c r="AF188" i="3"/>
  <c r="AF170" i="3"/>
  <c r="AF174" i="3"/>
  <c r="AF28" i="3"/>
  <c r="AF175" i="3"/>
  <c r="AF66" i="3"/>
  <c r="AF189" i="3"/>
  <c r="AG47" i="3"/>
  <c r="AG90" i="3"/>
  <c r="AG63" i="3"/>
  <c r="AG93" i="3"/>
  <c r="AG109" i="3"/>
  <c r="AG160" i="3"/>
  <c r="AF26" i="3"/>
  <c r="AF47" i="3"/>
  <c r="AG119" i="3"/>
  <c r="AF14" i="3"/>
  <c r="AF64" i="3"/>
  <c r="AF137" i="3"/>
  <c r="AF173" i="3"/>
  <c r="AF22" i="3"/>
  <c r="AF15" i="3"/>
  <c r="AF39" i="3"/>
  <c r="AF23" i="3"/>
  <c r="AF38" i="3"/>
  <c r="AG123" i="3"/>
  <c r="AG81" i="3"/>
  <c r="AG165" i="3"/>
  <c r="AG148" i="3"/>
  <c r="AG124" i="3"/>
  <c r="AG120" i="3"/>
  <c r="AG164" i="3"/>
  <c r="AG131" i="3"/>
  <c r="AG130" i="3"/>
  <c r="AG141" i="3"/>
  <c r="AG132" i="3"/>
  <c r="AG147" i="3"/>
  <c r="AF68" i="3"/>
  <c r="AF118" i="3"/>
  <c r="AF132" i="3"/>
  <c r="AF46" i="3"/>
  <c r="AF148" i="3"/>
  <c r="AF166" i="3"/>
  <c r="AF45" i="3"/>
  <c r="AF136" i="3"/>
  <c r="AF159" i="3"/>
  <c r="AF161" i="3"/>
  <c r="AG161" i="3"/>
  <c r="AF155" i="3"/>
  <c r="AF163" i="3"/>
  <c r="AG162" i="3"/>
  <c r="AF164" i="3"/>
  <c r="AG149" i="3"/>
  <c r="AF165" i="3"/>
  <c r="AG163" i="3"/>
  <c r="AF151" i="3"/>
  <c r="AF162" i="3"/>
  <c r="AF149" i="3"/>
  <c r="AG159" i="3"/>
  <c r="AG150" i="3"/>
  <c r="AF153" i="3"/>
  <c r="AF154" i="3"/>
  <c r="AF152" i="3"/>
  <c r="AG153" i="3"/>
  <c r="AG151" i="3"/>
  <c r="AF157" i="3"/>
  <c r="AF156" i="3"/>
  <c r="AG158" i="3"/>
  <c r="AG152" i="3"/>
  <c r="AG156" i="3"/>
  <c r="AG155" i="3"/>
  <c r="AF158" i="3"/>
  <c r="AG157" i="3"/>
  <c r="AG154" i="3"/>
  <c r="AF150" i="3"/>
  <c r="AF123" i="3"/>
  <c r="AG122" i="3"/>
  <c r="AF147" i="3"/>
  <c r="AF130" i="3"/>
  <c r="AF120" i="3"/>
  <c r="AF81" i="3"/>
  <c r="AF131" i="3"/>
  <c r="AF122" i="3"/>
  <c r="AF141" i="3"/>
  <c r="AF124" i="3"/>
  <c r="AF117" i="3"/>
  <c r="AG111" i="3"/>
  <c r="AG104" i="3"/>
  <c r="AG134" i="3"/>
  <c r="AG103" i="3"/>
  <c r="AF44" i="3"/>
  <c r="AF143" i="3"/>
  <c r="AF62" i="3"/>
  <c r="AF73" i="3"/>
  <c r="AF71" i="3"/>
  <c r="AF145" i="3"/>
  <c r="AF111" i="3"/>
  <c r="AF184" i="3"/>
  <c r="AG145" i="3"/>
  <c r="AG43" i="3"/>
  <c r="AG62" i="3"/>
  <c r="AF107" i="3"/>
  <c r="AF104" i="3"/>
  <c r="AG73" i="3"/>
  <c r="AG125" i="3"/>
  <c r="AG128" i="3"/>
  <c r="AF113" i="3"/>
  <c r="AF103" i="3"/>
  <c r="AG144" i="3"/>
  <c r="AG184" i="3"/>
  <c r="AF82" i="3"/>
  <c r="AF43" i="3"/>
  <c r="AF183" i="3"/>
  <c r="AF77" i="3"/>
  <c r="AF112" i="3"/>
  <c r="AF127" i="3"/>
  <c r="AF101" i="3"/>
  <c r="AF135" i="3"/>
  <c r="AF42" i="3"/>
  <c r="AF129" i="3"/>
  <c r="AG107" i="3"/>
  <c r="AF142" i="3"/>
  <c r="AG82" i="3"/>
  <c r="AF102" i="3"/>
  <c r="AG183" i="3"/>
  <c r="AG77" i="3"/>
  <c r="AG127" i="3"/>
  <c r="AG101" i="3"/>
  <c r="AG135" i="3"/>
  <c r="AG113" i="3"/>
  <c r="AG167" i="3"/>
  <c r="AF125" i="3"/>
  <c r="AG142" i="3"/>
  <c r="AF59" i="3"/>
  <c r="AG102" i="3"/>
  <c r="AF76" i="3"/>
  <c r="AF70" i="3"/>
  <c r="AG115" i="3"/>
  <c r="AG71" i="3"/>
  <c r="AG133" i="3"/>
  <c r="AF144" i="3"/>
  <c r="AG105" i="3"/>
  <c r="AG75" i="3"/>
  <c r="AG61" i="3"/>
  <c r="AG168" i="3"/>
  <c r="AF3" i="3"/>
  <c r="AF134" i="3"/>
  <c r="AG76" i="3"/>
  <c r="AF115" i="3"/>
  <c r="AF108" i="3"/>
  <c r="AF133" i="3"/>
  <c r="AF106" i="3"/>
  <c r="AG121" i="3"/>
  <c r="AF60" i="3"/>
  <c r="AG72" i="3"/>
  <c r="AF128" i="3"/>
  <c r="AG74" i="3"/>
  <c r="AG106" i="3"/>
  <c r="AG42" i="3"/>
  <c r="AG60" i="3"/>
  <c r="AF105" i="3"/>
  <c r="AF4" i="3"/>
  <c r="AF167" i="3"/>
  <c r="AG80" i="3"/>
  <c r="AG116" i="3"/>
  <c r="AG59" i="3"/>
  <c r="AF79" i="3"/>
  <c r="AF74" i="3"/>
  <c r="AF168" i="3"/>
  <c r="AG79" i="3"/>
  <c r="AF121" i="3"/>
  <c r="AF110" i="3"/>
  <c r="AF75" i="3"/>
  <c r="AF116" i="3"/>
  <c r="AF146" i="3"/>
  <c r="AF114" i="3"/>
  <c r="AG4" i="3"/>
  <c r="AG3" i="3"/>
  <c r="AF126" i="3"/>
  <c r="AF72" i="3"/>
  <c r="AG70" i="3"/>
  <c r="AG110" i="3"/>
  <c r="AG126" i="3"/>
  <c r="AG146" i="3"/>
  <c r="AG114" i="3"/>
  <c r="AF80" i="3"/>
  <c r="AG108" i="3"/>
  <c r="AF61" i="3"/>
  <c r="AG129" i="3"/>
  <c r="AG112" i="3"/>
  <c r="N6" i="4" l="1"/>
</calcChain>
</file>

<file path=xl/sharedStrings.xml><?xml version="1.0" encoding="utf-8"?>
<sst xmlns="http://schemas.openxmlformats.org/spreadsheetml/2006/main" count="3537" uniqueCount="533">
  <si>
    <t>הכל</t>
  </si>
  <si>
    <t>סטטוס:</t>
  </si>
  <si>
    <t>לא</t>
  </si>
  <si>
    <t>קו מוצר</t>
  </si>
  <si>
    <t>שם מוצר</t>
  </si>
  <si>
    <t>גרסה</t>
  </si>
  <si>
    <t>מזהה</t>
  </si>
  <si>
    <t>הדפס א'</t>
  </si>
  <si>
    <t>הדפס ב'</t>
  </si>
  <si>
    <t>סטטוס</t>
  </si>
  <si>
    <t>הערות</t>
  </si>
  <si>
    <t>זיהוי מוצר</t>
  </si>
  <si>
    <t>פרטים</t>
  </si>
  <si>
    <t>בד</t>
  </si>
  <si>
    <t>הדפסים</t>
  </si>
  <si>
    <t>מזהה ייחודי</t>
  </si>
  <si>
    <t>סוג בד 1</t>
  </si>
  <si>
    <t>סוג בד 2</t>
  </si>
  <si>
    <t>הדפס צד ב'</t>
  </si>
  <si>
    <t>תקין תרמית ב'</t>
  </si>
  <si>
    <t>פיצ'רים תקינים</t>
  </si>
  <si>
    <t>גרסה סופית</t>
  </si>
  <si>
    <t>הערות גרסה/פיצ'רים</t>
  </si>
  <si>
    <t>נובל</t>
  </si>
  <si>
    <t>גרסה מיוחדת(פיתוח)</t>
  </si>
  <si>
    <t>מידה</t>
  </si>
  <si>
    <t>פער בתכולה</t>
  </si>
  <si>
    <t>מושאל ל</t>
  </si>
  <si>
    <t>מדינה</t>
  </si>
  <si>
    <t>החזרה משוערת</t>
  </si>
  <si>
    <t>סביבה ב'</t>
  </si>
  <si>
    <t>סביבה משנית ב'</t>
  </si>
  <si>
    <t>מסנן בקרה</t>
  </si>
  <si>
    <t>מסנן טכנו</t>
  </si>
  <si>
    <t>OverGarment</t>
  </si>
  <si>
    <t>Poncho Sahar</t>
  </si>
  <si>
    <t>V1</t>
  </si>
  <si>
    <t>Mesh</t>
  </si>
  <si>
    <t>Ever-Green</t>
  </si>
  <si>
    <t>Desert</t>
  </si>
  <si>
    <t>כן</t>
  </si>
  <si>
    <t>במלאי</t>
  </si>
  <si>
    <t>בחדר תצוגה</t>
  </si>
  <si>
    <t>V2</t>
  </si>
  <si>
    <t>Poncho Inbar</t>
  </si>
  <si>
    <t>RIPSTOP</t>
  </si>
  <si>
    <t>Forest Green</t>
  </si>
  <si>
    <t>גם סקוצ'ים וגם טיקטקים</t>
  </si>
  <si>
    <t>Desert=הדפס ישן</t>
  </si>
  <si>
    <t>Desert Coyote</t>
  </si>
  <si>
    <t>May Suit</t>
  </si>
  <si>
    <t>RIPSTOP Double Layer</t>
  </si>
  <si>
    <t>NATO</t>
  </si>
  <si>
    <t>מאי תצוגה</t>
  </si>
  <si>
    <t>מאי הדגמה</t>
  </si>
  <si>
    <t>Gal Suit</t>
  </si>
  <si>
    <t>גל הדגמה</t>
  </si>
  <si>
    <t>גל תצוגה</t>
  </si>
  <si>
    <t>SWAT 3-Part SUIT</t>
  </si>
  <si>
    <t>SWAT הדגמה</t>
  </si>
  <si>
    <t>Urban</t>
  </si>
  <si>
    <t>SWAT תצוגה</t>
  </si>
  <si>
    <t>Poncho SRV</t>
  </si>
  <si>
    <t>Short</t>
  </si>
  <si>
    <t>Marine</t>
  </si>
  <si>
    <t>Short V2</t>
  </si>
  <si>
    <t>SRV ב קצר הדגמה</t>
  </si>
  <si>
    <t>Woodland</t>
  </si>
  <si>
    <t>Desert-Green</t>
  </si>
  <si>
    <t>יש טיקטקים וגם סקוצ'ים בצדדים</t>
  </si>
  <si>
    <t>Hobey Elite</t>
  </si>
  <si>
    <t>הובי תצוגה 1</t>
  </si>
  <si>
    <t>Kestrel</t>
  </si>
  <si>
    <t>גל תצוגה אורבן</t>
  </si>
  <si>
    <t>Boulder</t>
  </si>
  <si>
    <t>Sniper Assault</t>
  </si>
  <si>
    <t>חליפת צלף הדגמה</t>
  </si>
  <si>
    <t>3D</t>
  </si>
  <si>
    <t>Hide Site</t>
  </si>
  <si>
    <t>Operators HS</t>
  </si>
  <si>
    <t>רשת רכב</t>
  </si>
  <si>
    <t>MRG</t>
  </si>
  <si>
    <t>Urban Green</t>
  </si>
  <si>
    <t>Woodland Brown</t>
  </si>
  <si>
    <t>חסר קונסטרוקציה</t>
  </si>
  <si>
    <t>V2 3D</t>
  </si>
  <si>
    <t>Blankets</t>
  </si>
  <si>
    <t>3D Survival Blanket</t>
  </si>
  <si>
    <t>יריעה 3D הדגמה 1</t>
  </si>
  <si>
    <t>Water Proof Survival Blanket</t>
  </si>
  <si>
    <t>יריעה אטומה תצוגה</t>
  </si>
  <si>
    <t>WaterProof Blackout Fabric</t>
  </si>
  <si>
    <t>יריעה אטומה הדגמה</t>
  </si>
  <si>
    <t>Survival Blanket</t>
  </si>
  <si>
    <t>סינון השאלות</t>
  </si>
  <si>
    <t>מדינה:</t>
  </si>
  <si>
    <t>מושאל ל:</t>
  </si>
  <si>
    <t>אחראי:</t>
  </si>
  <si>
    <t>מס'</t>
  </si>
  <si>
    <t>מזהה מוצר</t>
  </si>
  <si>
    <t>אחראי</t>
  </si>
  <si>
    <t>תאריך השאלה</t>
  </si>
  <si>
    <t>החזרה בפועל</t>
  </si>
  <si>
    <t>התראת איחור</t>
  </si>
  <si>
    <t>מסנן</t>
  </si>
  <si>
    <t>תכולה לפי מוצר</t>
  </si>
  <si>
    <t>תכולה סטנדרטית</t>
  </si>
  <si>
    <t>חוסרים / בעיות</t>
  </si>
  <si>
    <t>ערכים טכנולוגיים - מידע סודי</t>
  </si>
  <si>
    <t>צד א'</t>
  </si>
  <si>
    <t>צד ב'</t>
  </si>
  <si>
    <t>MWIR א'</t>
  </si>
  <si>
    <t>LWIR א'</t>
  </si>
  <si>
    <t>NIR א'</t>
  </si>
  <si>
    <t>MWIR ב'</t>
  </si>
  <si>
    <t>LWIR ב'</t>
  </si>
  <si>
    <t>NIR ב'</t>
  </si>
  <si>
    <t>הדפס</t>
  </si>
  <si>
    <t>סביבה ראשית</t>
  </si>
  <si>
    <t>סביבה משנית</t>
  </si>
  <si>
    <t>תמונה</t>
  </si>
  <si>
    <t>סביבות</t>
  </si>
  <si>
    <t>קווי מוצר</t>
  </si>
  <si>
    <t>מוצר</t>
  </si>
  <si>
    <t>מק"ט</t>
  </si>
  <si>
    <t>סוגי בד</t>
  </si>
  <si>
    <t>סטטוסים</t>
  </si>
  <si>
    <t>כן/לא</t>
  </si>
  <si>
    <t>מידות</t>
  </si>
  <si>
    <t>מוצר (תכולה)</t>
  </si>
  <si>
    <t>מדברי</t>
  </si>
  <si>
    <t>(תמונה)</t>
  </si>
  <si>
    <t>7021-00</t>
  </si>
  <si>
    <t>XS</t>
  </si>
  <si>
    <t>מיוער</t>
  </si>
  <si>
    <t>7004-01</t>
  </si>
  <si>
    <t>S</t>
  </si>
  <si>
    <t>Sand</t>
  </si>
  <si>
    <t>שלג</t>
  </si>
  <si>
    <t>Platform Hide Site</t>
  </si>
  <si>
    <t>7033-00</t>
  </si>
  <si>
    <t>מושאל</t>
  </si>
  <si>
    <t>M</t>
  </si>
  <si>
    <t>ימי</t>
  </si>
  <si>
    <t>Uniform</t>
  </si>
  <si>
    <t>7018-00</t>
  </si>
  <si>
    <t>בתיק הדגמה</t>
  </si>
  <si>
    <t>L</t>
  </si>
  <si>
    <t>בולדר/שטח בנוי</t>
  </si>
  <si>
    <t>7030-01</t>
  </si>
  <si>
    <t>LOKI Material</t>
  </si>
  <si>
    <t>XL</t>
  </si>
  <si>
    <t>אחר</t>
  </si>
  <si>
    <t>7031-01</t>
  </si>
  <si>
    <t>XXL</t>
  </si>
  <si>
    <t>Platform On-The-Move</t>
  </si>
  <si>
    <t>Poncho Sahar 3D</t>
  </si>
  <si>
    <t>Beti</t>
  </si>
  <si>
    <t>XXXL</t>
  </si>
  <si>
    <t>Accessories</t>
  </si>
  <si>
    <t>Poncho Inbar 3D</t>
  </si>
  <si>
    <t>9097-00</t>
  </si>
  <si>
    <t>Snirt Snow</t>
  </si>
  <si>
    <t>7040-01</t>
  </si>
  <si>
    <t>SMT</t>
  </si>
  <si>
    <t>Fresh Snow</t>
  </si>
  <si>
    <t>Arctic Jacket</t>
  </si>
  <si>
    <t>7051-00</t>
  </si>
  <si>
    <t>Meron</t>
  </si>
  <si>
    <t>Arctic Overpants</t>
  </si>
  <si>
    <t>7052-00</t>
  </si>
  <si>
    <t>Arber</t>
  </si>
  <si>
    <t>Arctic Poncho SRV</t>
  </si>
  <si>
    <t>IRR</t>
  </si>
  <si>
    <t>Arctic Gaiters</t>
  </si>
  <si>
    <t>Arctic Survival Blanket</t>
  </si>
  <si>
    <t>9021-00</t>
  </si>
  <si>
    <t>9028-00</t>
  </si>
  <si>
    <t>Water Proof Sniper Blanket</t>
  </si>
  <si>
    <t>9062-00</t>
  </si>
  <si>
    <t>9029-00</t>
  </si>
  <si>
    <t>IPS</t>
  </si>
  <si>
    <t>3007-00</t>
  </si>
  <si>
    <t>Survival Blanket: Loki</t>
  </si>
  <si>
    <t>9001-00</t>
  </si>
  <si>
    <t>OverWatch (ATGM) HS</t>
  </si>
  <si>
    <t>9004-01</t>
  </si>
  <si>
    <t>6X6 Hide Site</t>
  </si>
  <si>
    <t>9095-00</t>
  </si>
  <si>
    <t>עמדת חוד</t>
  </si>
  <si>
    <t>Window Kit</t>
  </si>
  <si>
    <t>9083-00</t>
  </si>
  <si>
    <t>Balaclava</t>
  </si>
  <si>
    <t>8006-00</t>
  </si>
  <si>
    <t>Gaiters</t>
  </si>
  <si>
    <t>5004-00</t>
  </si>
  <si>
    <t>Headcover</t>
  </si>
  <si>
    <t>8030-00</t>
  </si>
  <si>
    <t>Boonie hat</t>
  </si>
  <si>
    <t>7022-00</t>
  </si>
  <si>
    <t>Vest cover</t>
  </si>
  <si>
    <t>7017-00</t>
  </si>
  <si>
    <t>Pants</t>
  </si>
  <si>
    <t>Shirt</t>
  </si>
  <si>
    <t>LC79</t>
  </si>
  <si>
    <t>9026-00</t>
  </si>
  <si>
    <t>Vehicle hide site 9*12</t>
  </si>
  <si>
    <t>9090-00</t>
  </si>
  <si>
    <t>Vehicle hide site 9*13</t>
  </si>
  <si>
    <t>9093-00</t>
  </si>
  <si>
    <t>CMM 7.5*7.5</t>
  </si>
  <si>
    <t>3052-00</t>
  </si>
  <si>
    <t>CMM 10*10</t>
  </si>
  <si>
    <t>3077-05</t>
  </si>
  <si>
    <t>Zodiac Shore Cover</t>
  </si>
  <si>
    <t>3005-00</t>
  </si>
  <si>
    <t>MRZR cover</t>
  </si>
  <si>
    <t>3003-00</t>
  </si>
  <si>
    <t>Blackout hood</t>
  </si>
  <si>
    <t>9089-00</t>
  </si>
  <si>
    <t>Thermal drone landing pad</t>
  </si>
  <si>
    <t>9077-00</t>
  </si>
  <si>
    <t>Bag cover 90L</t>
  </si>
  <si>
    <t>7009-01</t>
  </si>
  <si>
    <t>Weapon Wraps</t>
  </si>
  <si>
    <t>5001-00</t>
  </si>
  <si>
    <t>Loki</t>
  </si>
  <si>
    <t>חליפת צלף תצוגה</t>
  </si>
  <si>
    <t>חסר תומך</t>
  </si>
  <si>
    <t>יריעה 3D תצוגה 2</t>
  </si>
  <si>
    <t>יריעת הישרדות קרוע 5</t>
  </si>
  <si>
    <t>קרוע בתחתית</t>
  </si>
  <si>
    <t xml:space="preserve"> Kestrel (אמריקאי)</t>
  </si>
  <si>
    <t>קסטרל אמריקאי</t>
  </si>
  <si>
    <t>לא הופך לOVERGARMENT</t>
  </si>
  <si>
    <t>יריעה 9  - בואקום</t>
  </si>
  <si>
    <t>מא"כ</t>
  </si>
  <si>
    <t xml:space="preserve">יריעת הישרדות מאכ 23 </t>
  </si>
  <si>
    <t xml:space="preserve">פונצ'ו הישרדות משולב (רשת) </t>
  </si>
  <si>
    <t>ויזואלי, ישן</t>
  </si>
  <si>
    <t>חסרים הרבה פיצ'רים</t>
  </si>
  <si>
    <t>מוצר ישן</t>
  </si>
  <si>
    <t>ארוכה</t>
  </si>
  <si>
    <t>עמדת חוליה 1 הדגמה</t>
  </si>
  <si>
    <t>A הדגמה</t>
  </si>
  <si>
    <t>A תצוגה</t>
  </si>
  <si>
    <t>B הדגמה</t>
  </si>
  <si>
    <t>A1</t>
  </si>
  <si>
    <t>A2</t>
  </si>
  <si>
    <t>A3</t>
  </si>
  <si>
    <t>B תצוגה</t>
  </si>
  <si>
    <t>סהר B 3D הדגמה</t>
  </si>
  <si>
    <t>B1</t>
  </si>
  <si>
    <t xml:space="preserve">Gal VIS 2 </t>
  </si>
  <si>
    <t>Gal Double layers 1</t>
  </si>
  <si>
    <t>Hobey 2</t>
  </si>
  <si>
    <t>Hobey 3</t>
  </si>
  <si>
    <t>RIPSTOP Hobey 1</t>
  </si>
  <si>
    <t>May3</t>
  </si>
  <si>
    <t>May4</t>
  </si>
  <si>
    <t>May Desert 1</t>
  </si>
  <si>
    <t>May Desert 2</t>
  </si>
  <si>
    <t>May Desert 3</t>
  </si>
  <si>
    <t>May Desert 4</t>
  </si>
  <si>
    <t>May Long 1</t>
  </si>
  <si>
    <t>SRV Short 9</t>
  </si>
  <si>
    <t>SRV Short 8</t>
  </si>
  <si>
    <t>SRV Short 6</t>
  </si>
  <si>
    <t>SRV Short 5</t>
  </si>
  <si>
    <t>SRV Short 3</t>
  </si>
  <si>
    <t>SRV Short 2</t>
  </si>
  <si>
    <t>SRV Short 13</t>
  </si>
  <si>
    <t>SRV Short 11</t>
  </si>
  <si>
    <t>SRV Short 1</t>
  </si>
  <si>
    <t>SRV Short 4</t>
  </si>
  <si>
    <t>SRV A16</t>
  </si>
  <si>
    <t xml:space="preserve">SRV A14  </t>
  </si>
  <si>
    <t>SRV A12</t>
  </si>
  <si>
    <t>SRV A10</t>
  </si>
  <si>
    <t>SRV Short B7</t>
  </si>
  <si>
    <t>עמדת חוליה MRG 3 הדגמה</t>
  </si>
  <si>
    <t>Op HS 2</t>
  </si>
  <si>
    <t>Op HS  4</t>
  </si>
  <si>
    <t>SRV Blanket 1</t>
  </si>
  <si>
    <t>SRV Blanket 3</t>
  </si>
  <si>
    <t>SRV Blanket 4</t>
  </si>
  <si>
    <t>SRV Blanket 2</t>
  </si>
  <si>
    <t>SRV Blanket 6</t>
  </si>
  <si>
    <t>SRV Blanket 10</t>
  </si>
  <si>
    <t>SRV Blanket 11</t>
  </si>
  <si>
    <t>SRV Blanket 12</t>
  </si>
  <si>
    <t>SRV Blanket 13</t>
  </si>
  <si>
    <t>SRV Blanket 14</t>
  </si>
  <si>
    <t>SRV Blanket 15</t>
  </si>
  <si>
    <t>SRV Blanket 16</t>
  </si>
  <si>
    <t>SRV Blanket 17</t>
  </si>
  <si>
    <t>SRV Blanket 18</t>
  </si>
  <si>
    <t>SRV Blanket 19</t>
  </si>
  <si>
    <t>SRV Blanket 20</t>
  </si>
  <si>
    <t>SRV Blanket 21</t>
  </si>
  <si>
    <t>SRV Blanket 22</t>
  </si>
  <si>
    <t>SRV Blanket 7</t>
  </si>
  <si>
    <t>SRV Blanket 8</t>
  </si>
  <si>
    <t>May Long Shirt</t>
  </si>
  <si>
    <t>overwatch 1</t>
  </si>
  <si>
    <t>Arctic poncho Fresh 1</t>
  </si>
  <si>
    <t xml:space="preserve">Arctic Jacket Fresh 1 </t>
  </si>
  <si>
    <t xml:space="preserve">Arctic Suit </t>
  </si>
  <si>
    <t xml:space="preserve">Arctic Suit Top Fresh 1 </t>
  </si>
  <si>
    <t xml:space="preserve">Arctic Suit Bot Fresh 1 </t>
  </si>
  <si>
    <t>Less is More</t>
  </si>
  <si>
    <t>Stretch</t>
  </si>
  <si>
    <t>SRV Blanket Arc 1</t>
  </si>
  <si>
    <t>Durable</t>
  </si>
  <si>
    <t>Gaiters Arc 1</t>
  </si>
  <si>
    <t>UNI 007</t>
  </si>
  <si>
    <t>אקססוריז לא בלבן</t>
  </si>
  <si>
    <t>קצת דהוי</t>
  </si>
  <si>
    <t xml:space="preserve">Arctic Jacket Snirt 1 </t>
  </si>
  <si>
    <t>Arctic Jacket Snirt 2</t>
  </si>
  <si>
    <t>Arctic poncho Snirt 2</t>
  </si>
  <si>
    <t>Arctic poncho Snirt 1</t>
  </si>
  <si>
    <t xml:space="preserve">Arctic Pants Fresh 1 </t>
  </si>
  <si>
    <t>Maritime</t>
  </si>
  <si>
    <t>"ADAM 2"</t>
  </si>
  <si>
    <t xml:space="preserve">Arctic Pants Snirt 1 </t>
  </si>
  <si>
    <t>Gaiters Arc 2</t>
  </si>
  <si>
    <t>ELITE</t>
  </si>
  <si>
    <t>Arctic Pants Fresh 2</t>
  </si>
  <si>
    <t>Arctic poncho Fresh 2</t>
  </si>
  <si>
    <t>UNI 022</t>
  </si>
  <si>
    <t>UNI 041</t>
  </si>
  <si>
    <t>Hobey Arc 4</t>
  </si>
  <si>
    <t xml:space="preserve">Prototype 1, קצת דהוי </t>
  </si>
  <si>
    <t>HS Floor</t>
  </si>
  <si>
    <t>ARC Op HS 5</t>
  </si>
  <si>
    <t>ARC Op HS 6</t>
  </si>
  <si>
    <t>Floor 1</t>
  </si>
  <si>
    <t>Floor 2</t>
  </si>
  <si>
    <t>מידה קטנה</t>
  </si>
  <si>
    <t>May Long 2</t>
  </si>
  <si>
    <t>A4</t>
  </si>
  <si>
    <t>Gal 1</t>
  </si>
  <si>
    <t>Inbar A4</t>
  </si>
  <si>
    <t>Inbar A1</t>
  </si>
  <si>
    <t>Inbar A2</t>
  </si>
  <si>
    <t>Inbar A3</t>
  </si>
  <si>
    <t>Inbar א תצוגה</t>
  </si>
  <si>
    <t>Inbar א הדגמה</t>
  </si>
  <si>
    <t>Inbar A5</t>
  </si>
  <si>
    <t>Inbar A6</t>
  </si>
  <si>
    <t>Inbar A7</t>
  </si>
  <si>
    <t>תקין תרמית A'</t>
  </si>
  <si>
    <t>סביבה A'</t>
  </si>
  <si>
    <t>סביבה משנית A'</t>
  </si>
  <si>
    <t>לA</t>
  </si>
  <si>
    <t>הזמנה מיוחדת</t>
  </si>
  <si>
    <t>חלקים של עמדות</t>
  </si>
  <si>
    <t>נתפר בארה"ב</t>
  </si>
  <si>
    <t>רשת הצללה</t>
  </si>
  <si>
    <t>רשת הצללה להדגמות</t>
  </si>
  <si>
    <t>דו-שכבתי</t>
  </si>
  <si>
    <t>GMV</t>
  </si>
  <si>
    <t>"רשת לקטים"</t>
  </si>
  <si>
    <t>עמדת חוד 1</t>
  </si>
  <si>
    <t>עמדת חוד 2</t>
  </si>
  <si>
    <t>תומך קצר</t>
  </si>
  <si>
    <t>bagi</t>
  </si>
  <si>
    <t>overwatch 2</t>
  </si>
  <si>
    <t xml:space="preserve">ARC Op HS sampels Snirt </t>
  </si>
  <si>
    <t>Arctic Jacket sampels Snirt</t>
  </si>
  <si>
    <t>Arctic Pants sampels Fresh</t>
  </si>
  <si>
    <t>Arctic Pants sampels Snirt</t>
  </si>
  <si>
    <t>Gaiters Arc sampels Snirt</t>
  </si>
  <si>
    <t>Arctic poncho sampels Snirt</t>
  </si>
  <si>
    <t xml:space="preserve">ARC Op HS sampels Fresh </t>
  </si>
  <si>
    <t>Arctic Jacket sampels Fresh</t>
  </si>
  <si>
    <t>Arctic poncho sampels Fresh</t>
  </si>
  <si>
    <t>Gaiters Arc sampels Fresh</t>
  </si>
  <si>
    <t>SRV Blanket 23</t>
  </si>
  <si>
    <t xml:space="preserve">רצוי חדר תצוגה </t>
  </si>
  <si>
    <t>רצוי השאלות</t>
  </si>
  <si>
    <t xml:space="preserve"> סוג בד</t>
  </si>
  <si>
    <t>סביבה צד אחד</t>
  </si>
  <si>
    <t>סביבה צד שני</t>
  </si>
  <si>
    <t xml:space="preserve">רצוי בתיק הדגמות </t>
  </si>
  <si>
    <t>דור ב?</t>
  </si>
  <si>
    <t>דור א?</t>
  </si>
  <si>
    <t>עמית מוזהב</t>
  </si>
  <si>
    <t>שלג בהיר</t>
  </si>
  <si>
    <t>שלג כהה</t>
  </si>
  <si>
    <t>Arctic poncho Fresh 3</t>
  </si>
  <si>
    <t>תקינות ומאפיינים</t>
  </si>
  <si>
    <t>מק"ט (אוטומטי)</t>
  </si>
  <si>
    <t>תקין ויזואלית ב'</t>
  </si>
  <si>
    <t>תקין ויזואלית א'</t>
  </si>
  <si>
    <t>השאלה</t>
  </si>
  <si>
    <t>אחראי מהחברה</t>
  </si>
  <si>
    <t>גודל 70</t>
  </si>
  <si>
    <t>גודל 110</t>
  </si>
  <si>
    <t>?</t>
  </si>
  <si>
    <t>1 ריפסטופ מטופל 1  רשת</t>
  </si>
  <si>
    <t>אדם, דגם-2</t>
  </si>
  <si>
    <t>UNI 008</t>
  </si>
  <si>
    <t>עם כתמי חלודה</t>
  </si>
  <si>
    <t>UNI 006</t>
  </si>
  <si>
    <t>UNI 005</t>
  </si>
  <si>
    <t>UNI 036</t>
  </si>
  <si>
    <t>רשום כ"פסול"</t>
  </si>
  <si>
    <t>חולצה מלאי 1</t>
  </si>
  <si>
    <t>קסדה מרון 1</t>
  </si>
  <si>
    <t>יריעת החשכה</t>
  </si>
  <si>
    <t>IRR מדגים</t>
  </si>
  <si>
    <t xml:space="preserve">בלי פיצ'רים,רק "אוזניים" </t>
  </si>
  <si>
    <t>בד החשכה כפול</t>
  </si>
  <si>
    <t>בלקלבה מלאי 01</t>
  </si>
  <si>
    <t>Vehicle HS 1- 9*13</t>
  </si>
  <si>
    <t>Vehicle HS 5- 9*13</t>
  </si>
  <si>
    <t>Vehicle HS 2- 12*12</t>
  </si>
  <si>
    <t>Vehicle HS 3- 9*12</t>
  </si>
  <si>
    <t>Vehicle HS 4- 9*12</t>
  </si>
  <si>
    <t>Vehicle HS 6- 9*14</t>
  </si>
  <si>
    <t>mrg ישן</t>
  </si>
  <si>
    <t>2021 גרסה</t>
  </si>
  <si>
    <t xml:space="preserve">חיבורי סקוצים בצדדים + פתיחה שונה לכניסה </t>
  </si>
  <si>
    <t>LC - 1 AMERICAN</t>
  </si>
  <si>
    <t xml:space="preserve">LC - 2 </t>
  </si>
  <si>
    <t>overwatch 3</t>
  </si>
  <si>
    <t>overwatch 4</t>
  </si>
  <si>
    <t>overwatch 5</t>
  </si>
  <si>
    <t>חסר 2 קונסטרוקציה</t>
  </si>
  <si>
    <t>overwatch 6 BETI</t>
  </si>
  <si>
    <t>מאלט - לmrzr</t>
  </si>
  <si>
    <t>GMV 1 לא מטופל</t>
  </si>
  <si>
    <t>GMV 2 לא מטופל</t>
  </si>
  <si>
    <t>Op HS 7</t>
  </si>
  <si>
    <t>רשת לקטים 9*9</t>
  </si>
  <si>
    <t>Vehicle HS 7- 9*12</t>
  </si>
  <si>
    <t>mrzr alpha 9*12</t>
  </si>
  <si>
    <t>alpha</t>
  </si>
  <si>
    <t>v1</t>
  </si>
  <si>
    <t>overwatch 7</t>
  </si>
  <si>
    <t>ללא תומך</t>
  </si>
  <si>
    <t>ללא תומך עם רשת לקטים (2024)</t>
  </si>
  <si>
    <t>overwatch 8</t>
  </si>
  <si>
    <t>חסר קונסטרוקציה ותומך</t>
  </si>
  <si>
    <t>פתח אורור באמצע</t>
  </si>
  <si>
    <t>bagi hs 1</t>
  </si>
  <si>
    <t>צבע ישן</t>
  </si>
  <si>
    <t>ישראלי</t>
  </si>
  <si>
    <t>כיסוי ראש ישראלי 1</t>
  </si>
  <si>
    <t>הדפס צד א'</t>
  </si>
  <si>
    <t>כיסוי ראש ישראלי 2</t>
  </si>
  <si>
    <t>UNI 021</t>
  </si>
  <si>
    <t>UNI 003</t>
  </si>
  <si>
    <t>UNI 001</t>
  </si>
  <si>
    <t>UNI 043</t>
  </si>
  <si>
    <t>UNI 060</t>
  </si>
  <si>
    <t>בלי פתקית, לא ידוע אם תקין</t>
  </si>
  <si>
    <t>OV 011</t>
  </si>
  <si>
    <t>עם כובע ושרוולים</t>
  </si>
  <si>
    <t>LTD</t>
  </si>
  <si>
    <t>OV 024</t>
  </si>
  <si>
    <t>OV 010</t>
  </si>
  <si>
    <t>OV 012</t>
  </si>
  <si>
    <t>UNI 061</t>
  </si>
  <si>
    <t>OV 009</t>
  </si>
  <si>
    <t>B01</t>
  </si>
  <si>
    <t>B02</t>
  </si>
  <si>
    <t>B03</t>
  </si>
  <si>
    <t>B04</t>
  </si>
  <si>
    <t>B05</t>
  </si>
  <si>
    <t>B06</t>
  </si>
  <si>
    <t>UNI 024</t>
  </si>
  <si>
    <t>UNI 023</t>
  </si>
  <si>
    <t>UNI 029</t>
  </si>
  <si>
    <t>36R</t>
  </si>
  <si>
    <t>UNI034</t>
  </si>
  <si>
    <t>UNI 027</t>
  </si>
  <si>
    <t>1/4 ZIP, L-R</t>
  </si>
  <si>
    <t>OV 014</t>
  </si>
  <si>
    <t>UNI 002</t>
  </si>
  <si>
    <t>UNI 049</t>
  </si>
  <si>
    <t>UNI 063</t>
  </si>
  <si>
    <t>Eclipse</t>
  </si>
  <si>
    <t>UNI 064</t>
  </si>
  <si>
    <t>34R</t>
  </si>
  <si>
    <t>L-R</t>
  </si>
  <si>
    <t>UNI 065</t>
  </si>
  <si>
    <t>UNI 070</t>
  </si>
  <si>
    <t>UNI 066</t>
  </si>
  <si>
    <t>UNI 067</t>
  </si>
  <si>
    <t>UNI 068</t>
  </si>
  <si>
    <t>UNI 069</t>
  </si>
  <si>
    <t>UNI 071</t>
  </si>
  <si>
    <t>AC 001</t>
  </si>
  <si>
    <t>AC 002</t>
  </si>
  <si>
    <t>AC 003</t>
  </si>
  <si>
    <t>UNI072</t>
  </si>
  <si>
    <t>ITALY</t>
  </si>
  <si>
    <t>שמעיה</t>
  </si>
  <si>
    <t>ישן</t>
  </si>
  <si>
    <t>cover</t>
  </si>
  <si>
    <t>2 קונסטרוקצייות ויתדות</t>
  </si>
  <si>
    <t xml:space="preserve">שלג בהיר </t>
  </si>
  <si>
    <t>עם קונסטרוקציה (שלג)</t>
  </si>
  <si>
    <t>FINLAND</t>
  </si>
  <si>
    <t>NORWAY</t>
  </si>
  <si>
    <t>DENMARK</t>
  </si>
  <si>
    <t>סיכות העלמה ויתדות</t>
  </si>
  <si>
    <t>קטן</t>
  </si>
  <si>
    <t>MAY1</t>
  </si>
  <si>
    <t>one side</t>
  </si>
  <si>
    <t>צד אחד לחולצה</t>
  </si>
  <si>
    <t>עליון רק צד אחד</t>
  </si>
  <si>
    <t>Inbar A8</t>
  </si>
  <si>
    <t>v2</t>
  </si>
  <si>
    <t>poncho inbar b 3d sampals</t>
  </si>
  <si>
    <t>UNI 038</t>
  </si>
  <si>
    <t>UNI 047</t>
  </si>
  <si>
    <t>UNI 048</t>
  </si>
  <si>
    <t>UNI 004</t>
  </si>
  <si>
    <t>UNI 046</t>
  </si>
  <si>
    <t xml:space="preserve">U-036  </t>
  </si>
  <si>
    <t>Strech</t>
  </si>
  <si>
    <t xml:space="preserve">U-090  </t>
  </si>
  <si>
    <t>עם ברכיות</t>
  </si>
  <si>
    <t>ARBEL</t>
  </si>
  <si>
    <t>MERON</t>
  </si>
  <si>
    <t>ללא זיהוי מידה</t>
  </si>
  <si>
    <t>U-091</t>
  </si>
  <si>
    <t>לא ידועה גרסה</t>
  </si>
  <si>
    <t>UNI 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</si>
</sst>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13" x14ac:knownFonts="1">
    <font>
      <sz val="11"/>
      <color theme="1"/>
      <name val="Calibri"/>
      <family val="2"/>
      <charset val="1"/>
    </font>
    <font>
      <b/>
      <sz val="16"/>
      <color rgb="FF1B4332"/>
      <name val="Arial"/>
      <charset val="1"/>
    </font>
    <font>
      <b/>
      <sz val="13"/>
      <color rgb="FF1B4332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999999"/>
      <name val="Arial"/>
      <charset val="1"/>
    </font>
    <font>
      <b/>
      <sz val="10"/>
      <color rgb="FFFFFFFF"/>
      <name val="Arial"/>
      <charset val="1"/>
    </font>
    <font>
      <b/>
      <sz val="14"/>
      <color rgb="FFB71C1C"/>
      <name val="Arial"/>
      <charset val="1"/>
    </font>
    <font>
      <sz val="10"/>
      <name val="Arial"/>
      <family val="2"/>
    </font>
    <font>
      <sz val="8"/>
      <name val="Calibri"/>
      <family val="2"/>
      <charset val="1"/>
    </font>
    <font>
      <sz val="10"/>
      <name val="Arial"/>
    </font>
  </fonts>
  <fills count="17">
    <fill>
      <patternFill patternType="none"/>
    </fill>
    <fill>
      <patternFill patternType="gray125"/>
    </fill>
    <fill>
      <patternFill patternType="solid">
        <fgColor rgb="FFD8F3DC"/>
        <bgColor rgb="FFE8F5E9"/>
      </patternFill>
    </fill>
    <fill>
      <patternFill patternType="solid">
        <fgColor rgb="FF95D5B2"/>
        <bgColor rgb="FFA5D6A7"/>
      </patternFill>
    </fill>
    <fill>
      <patternFill patternType="solid">
        <fgColor rgb="FFE8F5E9"/>
        <bgColor rgb="FFF0F0F0"/>
      </patternFill>
    </fill>
    <fill>
      <patternFill patternType="solid">
        <fgColor rgb="FF1B4332"/>
        <bgColor rgb="FF333333"/>
      </patternFill>
    </fill>
    <fill>
      <patternFill patternType="solid">
        <fgColor rgb="FFFFFFFF"/>
        <bgColor rgb="FFFFF3E0"/>
      </patternFill>
    </fill>
    <fill>
      <patternFill patternType="solid">
        <fgColor rgb="FFF0F0F0"/>
        <bgColor rgb="FFEFEBE9"/>
      </patternFill>
    </fill>
    <fill>
      <patternFill patternType="solid">
        <fgColor rgb="FF2D6A4F"/>
        <bgColor rgb="FF1B5E20"/>
      </patternFill>
    </fill>
    <fill>
      <patternFill patternType="solid">
        <fgColor rgb="FFC62828"/>
        <bgColor rgb="FFB71C1C"/>
      </patternFill>
    </fill>
    <fill>
      <patternFill patternType="solid">
        <fgColor rgb="FFAD1457"/>
        <bgColor rgb="FFB71C1C"/>
      </patternFill>
    </fill>
    <fill>
      <patternFill patternType="solid">
        <fgColor rgb="FFB71C1C"/>
        <bgColor rgb="FFC62828"/>
      </patternFill>
    </fill>
    <fill>
      <patternFill patternType="solid">
        <fgColor theme="2"/>
        <bgColor rgb="FFFFF3E0"/>
      </patternFill>
    </fill>
    <fill>
      <patternFill patternType="solid">
        <fgColor theme="3" tint="0.79998168889431442"/>
        <bgColor rgb="FFEFEBE9"/>
      </patternFill>
    </fill>
    <fill>
      <patternFill patternType="solid">
        <fgColor theme="3" tint="0.79998168889431442"/>
        <bgColor rgb="FFFFF3E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4" borderId="1" xfId="0" applyFont="1" applyFill="1" applyBorder="1" applyAlignment="1" applyProtection="1">
      <alignment horizontal="center" vertical="center" wrapText="1" readingOrder="2"/>
      <protection locked="0"/>
    </xf>
    <xf numFmtId="0" fontId="4" fillId="0" borderId="0" xfId="0" applyFont="1" applyAlignment="1">
      <alignment horizontal="right" vertical="center" wrapText="1" readingOrder="2"/>
    </xf>
    <xf numFmtId="0" fontId="5" fillId="5" borderId="1" xfId="0" applyFont="1" applyFill="1" applyBorder="1" applyAlignment="1">
      <alignment horizontal="center" vertical="center" wrapText="1" readingOrder="2"/>
    </xf>
    <xf numFmtId="0" fontId="6" fillId="6" borderId="1" xfId="0" applyFont="1" applyFill="1" applyBorder="1" applyAlignment="1">
      <alignment horizontal="center" vertical="center" wrapText="1" readingOrder="2"/>
    </xf>
    <xf numFmtId="0" fontId="6" fillId="7" borderId="1" xfId="0" applyFont="1" applyFill="1" applyBorder="1" applyAlignment="1">
      <alignment horizontal="center" vertical="center" wrapText="1" readingOrder="2"/>
    </xf>
    <xf numFmtId="0" fontId="7" fillId="0" borderId="0" xfId="0" applyFont="1"/>
    <xf numFmtId="0" fontId="8" fillId="8" borderId="1" xfId="0" applyFont="1" applyFill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5" fillId="11" borderId="1" xfId="0" applyFont="1" applyFill="1" applyBorder="1" applyAlignment="1">
      <alignment horizontal="center" vertical="center" wrapText="1" readingOrder="2"/>
    </xf>
    <xf numFmtId="0" fontId="6" fillId="0" borderId="4" xfId="0" applyFont="1" applyBorder="1" applyAlignment="1">
      <alignment horizontal="center" vertical="center" wrapText="1" readingOrder="2"/>
    </xf>
    <xf numFmtId="0" fontId="10" fillId="7" borderId="1" xfId="0" applyFont="1" applyFill="1" applyBorder="1" applyAlignment="1">
      <alignment horizontal="center" vertical="center" wrapText="1" readingOrder="2"/>
    </xf>
    <xf numFmtId="0" fontId="10" fillId="6" borderId="1" xfId="0" applyFont="1" applyFill="1" applyBorder="1" applyAlignment="1">
      <alignment horizontal="center" vertical="center" wrapText="1" readingOrder="2"/>
    </xf>
    <xf numFmtId="164" fontId="6" fillId="7" borderId="1" xfId="0" applyNumberFormat="1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10" fillId="0" borderId="4" xfId="0" applyFont="1" applyBorder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 wrapText="1" readingOrder="2"/>
    </xf>
    <xf numFmtId="0" fontId="12" fillId="7" borderId="1" xfId="0" applyFont="1" applyFill="1" applyBorder="1" applyAlignment="1">
      <alignment horizontal="center" vertical="center" wrapText="1" readingOrder="2"/>
    </xf>
    <xf numFmtId="0" fontId="12" fillId="6" borderId="1" xfId="0" applyFont="1" applyFill="1" applyBorder="1" applyAlignment="1">
      <alignment horizontal="center" vertical="center" wrapText="1" readingOrder="2"/>
    </xf>
    <xf numFmtId="0" fontId="12" fillId="12" borderId="1" xfId="0" applyFont="1" applyFill="1" applyBorder="1" applyAlignment="1">
      <alignment horizontal="center" vertical="center" wrapText="1" readingOrder="2"/>
    </xf>
    <xf numFmtId="0" fontId="12" fillId="13" borderId="1" xfId="0" applyFont="1" applyFill="1" applyBorder="1" applyAlignment="1">
      <alignment horizontal="center" vertical="center" wrapText="1" readingOrder="2"/>
    </xf>
    <xf numFmtId="0" fontId="6" fillId="14" borderId="1" xfId="0" applyFont="1" applyFill="1" applyBorder="1" applyAlignment="1">
      <alignment horizontal="center" vertical="center" wrapText="1" readingOrder="2"/>
    </xf>
    <xf numFmtId="0" fontId="6" fillId="13" borderId="1" xfId="0" applyFont="1" applyFill="1" applyBorder="1" applyAlignment="1">
      <alignment horizontal="center" vertical="center" wrapText="1" readingOrder="2"/>
    </xf>
    <xf numFmtId="0" fontId="12" fillId="0" borderId="5" xfId="0" applyFont="1" applyBorder="1" applyAlignment="1">
      <alignment horizontal="center" vertical="center" wrapText="1" readingOrder="2"/>
    </xf>
    <xf numFmtId="0" fontId="12" fillId="0" borderId="4" xfId="0" applyFont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0" fillId="16" borderId="0" xfId="0" applyFill="1"/>
    <xf numFmtId="0" fontId="12" fillId="0" borderId="1" xfId="0" applyFont="1" applyBorder="1" applyAlignment="1">
      <alignment horizontal="center" vertical="center" wrapText="1" readingOrder="2"/>
    </xf>
    <xf numFmtId="0" fontId="6" fillId="7" borderId="6" xfId="0" applyFont="1" applyFill="1" applyBorder="1" applyAlignment="1">
      <alignment horizontal="center" vertical="center" wrapText="1" readingOrder="2"/>
    </xf>
    <xf numFmtId="0" fontId="0" fillId="0" borderId="1" xfId="0" applyBorder="1"/>
    <xf numFmtId="0" fontId="6" fillId="6" borderId="0" xfId="0" applyFont="1" applyFill="1" applyAlignment="1">
      <alignment horizontal="center" vertical="center" wrapText="1" readingOrder="2"/>
    </xf>
    <xf numFmtId="0" fontId="6" fillId="7" borderId="0" xfId="0" applyFont="1" applyFill="1" applyAlignment="1">
      <alignment horizontal="center" vertical="center" wrapText="1" readingOrder="2"/>
    </xf>
    <xf numFmtId="0" fontId="12" fillId="0" borderId="0" xfId="0" applyFont="1" applyAlignment="1">
      <alignment horizontal="center" vertical="center" wrapText="1" readingOrder="2"/>
    </xf>
    <xf numFmtId="0" fontId="10" fillId="6" borderId="0" xfId="0" applyFont="1" applyFill="1" applyAlignment="1">
      <alignment horizontal="center" vertical="center" wrapText="1" readingOrder="2"/>
    </xf>
    <xf numFmtId="0" fontId="0" fillId="15" borderId="1" xfId="0" applyFill="1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2"/>
    </xf>
    <xf numFmtId="0" fontId="5" fillId="5" borderId="1" xfId="0" applyFont="1" applyFill="1" applyBorder="1" applyAlignment="1">
      <alignment horizontal="center" vertical="center" wrapText="1" readingOrder="2"/>
    </xf>
    <xf numFmtId="0" fontId="0" fillId="0" borderId="3" xfId="0" applyBorder="1"/>
    <xf numFmtId="0" fontId="0" fillId="0" borderId="2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0" fillId="0" borderId="0" xfId="0"/>
    <xf numFmtId="0" fontId="5" fillId="10" borderId="1" xfId="0" applyFont="1" applyFill="1" applyBorder="1"/>
    <xf numFmtId="0" fontId="9" fillId="0" borderId="0" xfId="0" applyFont="1" applyAlignment="1">
      <alignment horizontal="center" vertical="center" wrapText="1"/>
    </xf>
    <xf numFmtId="0" fontId="5" fillId="9" borderId="1" xfId="0" applyFont="1" applyFill="1" applyBorder="1"/>
  </cellXfs>
  <cellStyles count="1">
    <cellStyle name="Normal" xfId="0" builtinId="0"/>
  </cellStyles>
  <dxfs count="21">
    <dxf>
      <fill>
        <patternFill>
          <bgColor rgb="FFFF8A80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E0B2"/>
        </patternFill>
      </fill>
    </dxf>
    <dxf>
      <fill>
        <patternFill>
          <bgColor rgb="FFBBDEFB"/>
        </patternFill>
      </fill>
    </dxf>
    <dxf>
      <fill>
        <patternFill>
          <bgColor rgb="FFFFCDD2"/>
        </patternFill>
      </fill>
    </dxf>
    <dxf>
      <fill>
        <patternFill>
          <bgColor rgb="FFC8E6C9"/>
        </patternFill>
      </fill>
    </dxf>
    <dxf>
      <fill>
        <patternFill>
          <bgColor rgb="FFFFE0B2"/>
        </patternFill>
      </fill>
    </dxf>
    <dxf>
      <fill>
        <patternFill>
          <bgColor rgb="FFFFCDD2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C8E6C9"/>
        </patternFill>
      </fill>
    </dxf>
    <dxf>
      <fill>
        <patternFill>
          <bgColor rgb="FFE1BEE7"/>
        </patternFill>
      </fill>
    </dxf>
    <dxf>
      <fill>
        <patternFill>
          <bgColor rgb="FFFFCDD2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C8E6C9"/>
        </patternFill>
      </fill>
    </dxf>
    <dxf>
      <fill>
        <patternFill>
          <bgColor rgb="FFFFE0B2"/>
        </patternFill>
      </fill>
    </dxf>
    <dxf>
      <fill>
        <patternFill>
          <bgColor rgb="FFFFCDD2"/>
        </patternFill>
      </fill>
    </dxf>
    <dxf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FEBE9"/>
      <rgbColor rgb="FFFF00FF"/>
      <rgbColor rgb="FF00FFFF"/>
      <rgbColor rgb="FF800000"/>
      <rgbColor rgb="FF1B5E20"/>
      <rgbColor rgb="FF000080"/>
      <rgbColor rgb="FF808000"/>
      <rgbColor rgb="FF7B1FA2"/>
      <rgbColor rgb="FF2D6A4F"/>
      <rgbColor rgb="FFCCCCCC"/>
      <rgbColor rgb="FF808080"/>
      <rgbColor rgb="FFA5D6A7"/>
      <rgbColor rgb="FFAD1457"/>
      <rgbColor rgb="FFFFF9C4"/>
      <rgbColor rgb="FFE8F5E9"/>
      <rgbColor rgb="FF660066"/>
      <rgbColor rgb="FFFF8A80"/>
      <rgbColor rgb="FF0066CC"/>
      <rgbColor rgb="FFBBDEFB"/>
      <rgbColor rgb="FF000080"/>
      <rgbColor rgb="FFFF00FF"/>
      <rgbColor rgb="FFFFEBEE"/>
      <rgbColor rgb="FF00FFFF"/>
      <rgbColor rgb="FF800080"/>
      <rgbColor rgb="FF800000"/>
      <rgbColor rgb="FF008080"/>
      <rgbColor rgb="FF0000FF"/>
      <rgbColor rgb="FF00CCFF"/>
      <rgbColor rgb="FFF0F0F0"/>
      <rgbColor rgb="FFD8F3DC"/>
      <rgbColor rgb="FFFFF3E0"/>
      <rgbColor rgb="FF95D5B2"/>
      <rgbColor rgb="FFFFCDD2"/>
      <rgbColor rgb="FFE1BEE7"/>
      <rgbColor rgb="FFFFE0B2"/>
      <rgbColor rgb="FF3366FF"/>
      <rgbColor rgb="FF33CCCC"/>
      <rgbColor rgb="FFC8E6C9"/>
      <rgbColor rgb="FFFFCC00"/>
      <rgbColor rgb="FFFF9900"/>
      <rgbColor rgb="FFE65100"/>
      <rgbColor rgb="FF795548"/>
      <rgbColor rgb="FF999999"/>
      <rgbColor rgb="FF003366"/>
      <rgbColor rgb="FF339966"/>
      <rgbColor rgb="FF003300"/>
      <rgbColor rgb="FF1B4332"/>
      <rgbColor rgb="FFB71C1C"/>
      <rgbColor rgb="FFC62828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02;&#1500;A&#149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לAי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G354"/>
  <sheetViews>
    <sheetView rightToLeft="1" zoomScaleNormal="100" workbookViewId="0">
      <pane ySplit="2" topLeftCell="A31" activePane="bottomLeft" state="frozen"/>
      <selection pane="bottomLeft" activeCell="D98" sqref="D98"/>
    </sheetView>
  </sheetViews>
  <sheetFormatPr defaultColWidth="8.7265625" defaultRowHeight="14.5" x14ac:dyDescent="0.35"/>
  <cols>
    <col min="1" max="1" width="16" customWidth="1"/>
    <col min="2" max="2" width="24" customWidth="1"/>
    <col min="3" max="3" width="14" customWidth="1"/>
    <col min="4" max="4" width="23.26953125" customWidth="1"/>
    <col min="5" max="5" width="14" customWidth="1"/>
    <col min="6" max="6" width="20.81640625" customWidth="1"/>
    <col min="7" max="9" width="16" customWidth="1"/>
    <col min="10" max="14" width="14" customWidth="1"/>
    <col min="15" max="15" width="10.453125" bestFit="1" customWidth="1"/>
    <col min="16" max="16" width="35.81640625" bestFit="1" customWidth="1"/>
    <col min="17" max="17" width="17.54296875" customWidth="1"/>
    <col min="18" max="18" width="10" customWidth="1"/>
    <col min="19" max="20" width="14" customWidth="1"/>
    <col min="21" max="21" width="30" customWidth="1"/>
    <col min="22" max="22" width="16" customWidth="1"/>
    <col min="23" max="23" width="5.54296875" bestFit="1" customWidth="1"/>
    <col min="24" max="25" width="16" customWidth="1"/>
    <col min="26" max="26" width="14" hidden="1" customWidth="1"/>
    <col min="27" max="33" width="13" hidden="1" customWidth="1"/>
  </cols>
  <sheetData>
    <row r="1" spans="1:33" ht="15" customHeight="1" x14ac:dyDescent="0.35">
      <c r="A1" s="37" t="s">
        <v>11</v>
      </c>
      <c r="B1" s="38"/>
      <c r="C1" s="37" t="s">
        <v>12</v>
      </c>
      <c r="D1" s="39"/>
      <c r="E1" s="38"/>
      <c r="F1" s="37" t="s">
        <v>13</v>
      </c>
      <c r="G1" s="38"/>
      <c r="H1" s="37" t="s">
        <v>14</v>
      </c>
      <c r="I1" s="38"/>
      <c r="J1" s="37" t="s">
        <v>392</v>
      </c>
      <c r="K1" s="39"/>
      <c r="L1" s="39"/>
      <c r="M1" s="39"/>
      <c r="N1" s="39"/>
      <c r="O1" s="39"/>
      <c r="P1" s="38"/>
      <c r="Q1" s="39"/>
      <c r="R1" s="39"/>
      <c r="S1" s="38"/>
      <c r="T1" s="3" t="s">
        <v>9</v>
      </c>
      <c r="U1" s="3" t="s">
        <v>10</v>
      </c>
      <c r="V1" s="37" t="s">
        <v>396</v>
      </c>
      <c r="W1" s="39"/>
      <c r="X1" s="39"/>
      <c r="Y1" s="38"/>
    </row>
    <row r="2" spans="1:33" ht="23.25" customHeight="1" x14ac:dyDescent="0.35">
      <c r="A2" s="7" t="s">
        <v>3</v>
      </c>
      <c r="B2" s="7" t="s">
        <v>4</v>
      </c>
      <c r="C2" s="7" t="s">
        <v>5</v>
      </c>
      <c r="D2" s="7" t="s">
        <v>15</v>
      </c>
      <c r="E2" s="7" t="s">
        <v>393</v>
      </c>
      <c r="F2" s="7" t="s">
        <v>16</v>
      </c>
      <c r="G2" s="7" t="s">
        <v>17</v>
      </c>
      <c r="H2" s="7" t="s">
        <v>451</v>
      </c>
      <c r="I2" s="7" t="s">
        <v>18</v>
      </c>
      <c r="J2" s="7" t="s">
        <v>395</v>
      </c>
      <c r="K2" s="7" t="s">
        <v>394</v>
      </c>
      <c r="L2" s="7" t="s">
        <v>352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24</v>
      </c>
      <c r="R2" s="7" t="s">
        <v>25</v>
      </c>
      <c r="S2" s="7" t="s">
        <v>26</v>
      </c>
      <c r="T2" s="7" t="s">
        <v>9</v>
      </c>
      <c r="U2" s="7" t="s">
        <v>10</v>
      </c>
      <c r="V2" s="7" t="s">
        <v>27</v>
      </c>
      <c r="W2" s="7" t="s">
        <v>28</v>
      </c>
      <c r="X2" s="7" t="s">
        <v>397</v>
      </c>
      <c r="Y2" s="7" t="s">
        <v>29</v>
      </c>
      <c r="Z2" s="7" t="s">
        <v>353</v>
      </c>
      <c r="AA2" s="7" t="s">
        <v>354</v>
      </c>
      <c r="AB2" s="7" t="s">
        <v>30</v>
      </c>
      <c r="AC2" s="7" t="s">
        <v>31</v>
      </c>
      <c r="AD2" s="7" t="s">
        <v>32</v>
      </c>
      <c r="AE2" s="7" t="s">
        <v>33</v>
      </c>
    </row>
    <row r="3" spans="1:33" ht="15" hidden="1" customHeight="1" x14ac:dyDescent="0.35">
      <c r="A3" s="4" t="s">
        <v>86</v>
      </c>
      <c r="B3" s="4" t="s">
        <v>87</v>
      </c>
      <c r="C3" s="4" t="s">
        <v>36</v>
      </c>
      <c r="D3" s="4" t="s">
        <v>88</v>
      </c>
      <c r="E3" s="4" t="str">
        <f>IFERROR(INDEX(הגדרות!$I$2:$I$47,MATCH(B3,הגדרות!$H$2:$H$47,0)),"")</f>
        <v>9029-00</v>
      </c>
      <c r="F3" s="4" t="s">
        <v>37</v>
      </c>
      <c r="G3" s="4" t="s">
        <v>77</v>
      </c>
      <c r="H3" s="4" t="s">
        <v>38</v>
      </c>
      <c r="I3" s="4" t="s">
        <v>72</v>
      </c>
      <c r="J3" s="4" t="s">
        <v>40</v>
      </c>
      <c r="K3" s="4" t="s">
        <v>40</v>
      </c>
      <c r="L3" s="4" t="s">
        <v>40</v>
      </c>
      <c r="M3" s="4" t="s">
        <v>40</v>
      </c>
      <c r="N3" s="4"/>
      <c r="O3" s="4" t="s">
        <v>40</v>
      </c>
      <c r="P3" s="4"/>
      <c r="Q3" s="4" t="s">
        <v>2</v>
      </c>
      <c r="R3" s="4"/>
      <c r="S3" s="4" t="s">
        <v>2</v>
      </c>
      <c r="T3" s="4" t="s">
        <v>41</v>
      </c>
      <c r="U3" s="4"/>
      <c r="V3" s="4"/>
      <c r="W3" s="4"/>
      <c r="X3" s="4"/>
      <c r="Y3" s="4"/>
      <c r="Z3" t="str">
        <f>IFERROR(INDEX(הגדרות!$B$2:$B$17,MATCH(H3,הגדרות!$A$2:$A$17,0)),"")</f>
        <v>מיוער</v>
      </c>
      <c r="AA3">
        <f>IFERROR(INDEX(הגדרות!$C$2:$C$17,MATCH(H3,הגדרות!$A$2:$A$17,0)),"")</f>
        <v>0</v>
      </c>
      <c r="AB3" t="str">
        <f>IFERROR(INDEX(הגדרות!$B$2:$B$17,MATCH(I3,הגדרות!$A$2:$A$17,0)),"")</f>
        <v>מיוער</v>
      </c>
      <c r="AC3">
        <f>IFERROR(INDEX(הגדרות!$C$2:$C$17,MATCH(I3,הגדרות!$A$2:$A$17,0)),"")</f>
        <v>0</v>
      </c>
      <c r="AD3" t="e">
        <f>IF(AND(מלאי!D58&lt;&gt;"",OR(#REF!="הכל",מלאי!Z58=#REF!,מלאי!AA58=#REF!,מלאי!AB58=#REF!,מלאי!AC58=#REF!),OR(#REF!="הכל",מלאי!A58=#REF!),OR(#REF!="הכל",מלאי!B58=#REF!),OR(#REF!="הכל",מלאי!F58=#REF!,מלאי!G58=#REF!),OR(#REF!="הכל",מלאי!T58=#REF!),OR(#REF!="הכל",מלאי!Q58=#REF!),OR(#REF!="הכל",מלאי!J58=#REF!),OR(#REF!="הכל",מלאי!L58=#REF!),OR(#REF!="הכל",מלאי!O58=#REF!),OR(#REF!="הכל",מלאי!R58=#REF!),OR(#REF!="הכל",#REF!="",מלאי!W58=#REF!),OR(#REF!="הכל",#REF!="",ISNUMBER(SEARCH(#REF!,מלאי!C58)))),1,0)</f>
        <v>#REF!</v>
      </c>
      <c r="AE3" t="e">
        <f>IF(AND(מלאי!D58&lt;&gt;"",OR(#REF!="הכל",מלאי!Z58=#REF!,מלאי!AA58=#REF!,מלאי!AB58=#REF!,מלאי!AC58=#REF!),OR(#REF!="הכל",מלאי!A58=#REF!),OR(#REF!="הכל",מלאי!B58=#REF!),OR(#REF!="הכל",מלאי!F58=#REF!,מלאי!G58=#REF!),OR(#REF!="הכל",מלאי!T58=#REF!),OR(#REF!="הכל",מלאי!Q58=#REF!),OR(#REF!="הכל",מלאי!J58=#REF!),OR(#REF!="הכל",מלאי!L58=#REF!),OR(#REF!="הכל",מלאי!O58=#REF!),OR(#REF!="הכל",מלאי!R58=#REF!),OR(#REF!="הכל",#REF!="",מלאי!W58=#REF!),OR(#REF!="הכל",#REF!="",ISNUMBER(SEARCH(#REF!,מלאי!C58))),OR(#REF!="הכל",מלאי!#REF!=#REF!)),1,0)</f>
        <v>#REF!</v>
      </c>
      <c r="AF3" t="e">
        <f>IF(AD3=1,COUNTIF($AD$3:$AD3,1),"")</f>
        <v>#REF!</v>
      </c>
      <c r="AG3" t="e">
        <f>IF(AE3=1,COUNTIF($AE$3:$AE3,1),"")</f>
        <v>#REF!</v>
      </c>
    </row>
    <row r="4" spans="1:33" ht="15" hidden="1" customHeight="1" x14ac:dyDescent="0.35">
      <c r="A4" s="5" t="s">
        <v>86</v>
      </c>
      <c r="B4" s="5" t="s">
        <v>87</v>
      </c>
      <c r="C4" s="5" t="s">
        <v>36</v>
      </c>
      <c r="D4" s="5" t="s">
        <v>229</v>
      </c>
      <c r="E4" s="5" t="str">
        <f>IFERROR(INDEX(הגדרות!$I$2:$I$47,MATCH(B4,הגדרות!$H$2:$H$47,0)),"")</f>
        <v>9029-00</v>
      </c>
      <c r="F4" s="5" t="s">
        <v>37</v>
      </c>
      <c r="G4" s="5" t="s">
        <v>77</v>
      </c>
      <c r="H4" s="5" t="s">
        <v>38</v>
      </c>
      <c r="I4" s="5" t="s">
        <v>72</v>
      </c>
      <c r="J4" s="5" t="s">
        <v>40</v>
      </c>
      <c r="K4" s="5" t="s">
        <v>40</v>
      </c>
      <c r="L4" s="5" t="s">
        <v>40</v>
      </c>
      <c r="M4" s="5" t="s">
        <v>40</v>
      </c>
      <c r="N4" s="5"/>
      <c r="O4" s="5" t="s">
        <v>40</v>
      </c>
      <c r="P4" s="5"/>
      <c r="Q4" s="5" t="s">
        <v>2</v>
      </c>
      <c r="R4" s="5"/>
      <c r="S4" s="5" t="s">
        <v>2</v>
      </c>
      <c r="T4" s="5" t="s">
        <v>41</v>
      </c>
      <c r="U4" s="5"/>
      <c r="V4" s="5"/>
      <c r="W4" s="5"/>
      <c r="X4" s="5"/>
      <c r="Y4" s="5"/>
      <c r="Z4" t="str">
        <f>IFERROR(INDEX(הגדרות!$B$2:$B$17,MATCH(H4,הגדרות!$A$2:$A$17,0)),"")</f>
        <v>מיוער</v>
      </c>
      <c r="AA4">
        <f>IFERROR(INDEX(הגדרות!$C$2:$C$17,MATCH(H4,הגדרות!$A$2:$A$17,0)),"")</f>
        <v>0</v>
      </c>
      <c r="AB4" t="str">
        <f>IFERROR(INDEX(הגדרות!$B$2:$B$17,MATCH(I4,הגדרות!$A$2:$A$17,0)),"")</f>
        <v>מיוער</v>
      </c>
      <c r="AC4">
        <f>IFERROR(INDEX(הגדרות!$C$2:$C$17,MATCH(I4,הגדרות!$A$2:$A$17,0)),"")</f>
        <v>0</v>
      </c>
      <c r="AD4" t="e">
        <f>IF(AND(מלאי!D59&lt;&gt;"",OR(#REF!="הכל",מלאי!Z59=#REF!,מלאי!AA59=#REF!,מלאי!AB59=#REF!,מלאי!AC59=#REF!),OR(#REF!="הכל",מלאי!A59=#REF!),OR(#REF!="הכל",מלאי!B59=#REF!),OR(#REF!="הכל",מלאי!F59=#REF!,מלאי!G59=#REF!),OR(#REF!="הכל",מלאי!T59=#REF!),OR(#REF!="הכל",מלאי!Q59=#REF!),OR(#REF!="הכל",מלאי!J59=#REF!),OR(#REF!="הכל",מלאי!L59=#REF!),OR(#REF!="הכל",מלאי!O59=#REF!),OR(#REF!="הכל",מלאי!R59=#REF!),OR(#REF!="הכל",#REF!="",מלאי!W59=#REF!),OR(#REF!="הכל",#REF!="",ISNUMBER(SEARCH(#REF!,מלאי!C59)))),1,0)</f>
        <v>#REF!</v>
      </c>
      <c r="AE4" t="e">
        <f>IF(AND(מלאי!D59&lt;&gt;"",OR(#REF!="הכל",מלאי!Z59=#REF!,מלאי!AA59=#REF!,מלאי!AB59=#REF!,מלאי!AC59=#REF!),OR(#REF!="הכל",מלאי!A59=#REF!),OR(#REF!="הכל",מלאי!B59=#REF!),OR(#REF!="הכל",מלאי!F59=#REF!,מלאי!G59=#REF!),OR(#REF!="הכל",מלאי!T59=#REF!),OR(#REF!="הכל",מלאי!Q59=#REF!),OR(#REF!="הכל",מלאי!J59=#REF!),OR(#REF!="הכל",מלאי!L59=#REF!),OR(#REF!="הכל",מלאי!O59=#REF!),OR(#REF!="הכל",מלאי!R59=#REF!),OR(#REF!="הכל",#REF!="",מלאי!W59=#REF!),OR(#REF!="הכל",#REF!="",ISNUMBER(SEARCH(#REF!,מלאי!C59))),OR(#REF!="הכל",מלאי!#REF!=#REF!)),1,0)</f>
        <v>#REF!</v>
      </c>
      <c r="AF4" t="e">
        <f>IF(AD4=1,COUNTIF($AD$3:$AD4,1),"")</f>
        <v>#REF!</v>
      </c>
      <c r="AG4" t="e">
        <f>IF(AE4=1,COUNTIF($AE$3:$AE4,1),"")</f>
        <v>#REF!</v>
      </c>
    </row>
    <row r="5" spans="1:33" ht="15" hidden="1" customHeight="1" x14ac:dyDescent="0.35">
      <c r="A5" s="27" t="s">
        <v>78</v>
      </c>
      <c r="B5" s="27" t="s">
        <v>187</v>
      </c>
      <c r="C5" s="4" t="s">
        <v>36</v>
      </c>
      <c r="D5" s="27"/>
      <c r="E5" s="8" t="str">
        <f>IFERROR(INDEX(הגדרות!$I$2:$I$47,MATCH(B5,הגדרות!$H$2:$H$47,0)),"")</f>
        <v>9095-00</v>
      </c>
      <c r="F5" s="8" t="s">
        <v>81</v>
      </c>
      <c r="G5" s="8"/>
      <c r="H5" s="8" t="s">
        <v>38</v>
      </c>
      <c r="I5" s="8" t="s">
        <v>39</v>
      </c>
      <c r="J5" s="8" t="s">
        <v>40</v>
      </c>
      <c r="K5" s="8" t="s">
        <v>40</v>
      </c>
      <c r="L5" s="8" t="s">
        <v>40</v>
      </c>
      <c r="M5" s="8" t="s">
        <v>40</v>
      </c>
      <c r="N5" s="8"/>
      <c r="O5" s="8" t="s">
        <v>2</v>
      </c>
      <c r="P5" s="8"/>
      <c r="Q5" s="8" t="s">
        <v>40</v>
      </c>
      <c r="R5" s="8"/>
      <c r="S5" s="8"/>
      <c r="T5" s="8" t="s">
        <v>41</v>
      </c>
      <c r="U5" s="8" t="s">
        <v>356</v>
      </c>
      <c r="V5" s="8"/>
      <c r="W5" s="8"/>
      <c r="X5" s="8"/>
      <c r="Y5" s="8"/>
      <c r="Z5" t="str">
        <f>IFERROR(INDEX(הגדרות!$B$2:$B$17,MATCH(H5,הגדרות!$A$2:$A$17,0)),"")</f>
        <v>מיוער</v>
      </c>
      <c r="AA5">
        <f>IFERROR(INDEX(הגדרות!$C$2:$C$17,MATCH(H5,הגדרות!$A$2:$A$17,0)),"")</f>
        <v>0</v>
      </c>
      <c r="AB5" t="str">
        <f>IFERROR(INDEX(הגדרות!$B$2:$B$17,MATCH(I5,הגדרות!$A$2:$A$17,0)),"")</f>
        <v>מדברי</v>
      </c>
      <c r="AC5">
        <f>IFERROR(INDEX(הגדרות!$C$2:$C$17,MATCH(I5,הגדרות!$A$2:$A$17,0)),"")</f>
        <v>0</v>
      </c>
      <c r="AD5" t="e">
        <f>IF(AND(מלאי!D127&lt;&gt;"",OR(#REF!="הכל",מלאי!Z127=#REF!,מלאי!AA127=#REF!,מלאי!AB127=#REF!,מלאי!AC127=#REF!),OR(#REF!="הכל",מלאי!A127=#REF!),OR(#REF!="הכל",מלאי!B127=#REF!),OR(#REF!="הכל",מלאי!F127=#REF!,מלאי!G127=#REF!),OR(#REF!="הכל",מלאי!T127=#REF!),OR(#REF!="הכל",מלאי!Q127=#REF!),OR(#REF!="הכל",מלאי!J127=#REF!),OR(#REF!="הכל",מלאי!L127=#REF!),OR(#REF!="הכל",מלאי!O127=#REF!),OR(#REF!="הכל",מלאי!R127=#REF!),OR(#REF!="הכל",#REF!="",מלאי!W127=#REF!),OR(#REF!="הכל",#REF!="",ISNUMBER(SEARCH(#REF!,מלאי!C127)))),1,0)</f>
        <v>#REF!</v>
      </c>
      <c r="AE5" t="e">
        <f>IF(AND(מלאי!D127&lt;&gt;"",OR(#REF!="הכל",מלאי!Z127=#REF!,מלאי!AA127=#REF!,מלאי!AB127=#REF!,מלאי!AC127=#REF!),OR(#REF!="הכל",מלאי!A127=#REF!),OR(#REF!="הכל",מלאי!B127=#REF!),OR(#REF!="הכל",מלאי!F127=#REF!,מלאי!G127=#REF!),OR(#REF!="הכל",מלאי!T127=#REF!),OR(#REF!="הכל",מלאי!Q127=#REF!),OR(#REF!="הכל",מלאי!J127=#REF!),OR(#REF!="הכל",מלאי!L127=#REF!),OR(#REF!="הכל",מלאי!O127=#REF!),OR(#REF!="הכל",מלאי!R127=#REF!),OR(#REF!="הכל",#REF!="",מלאי!W127=#REF!),OR(#REF!="הכל",#REF!="",ISNUMBER(SEARCH(#REF!,מלאי!C127))),OR(#REF!="הכל",מלאי!#REF!=#REF!)),1,0)</f>
        <v>#REF!</v>
      </c>
      <c r="AF5" t="e">
        <f>IF(AD5=1,COUNTIF($AD$3:$AD5,1),"")</f>
        <v>#REF!</v>
      </c>
      <c r="AG5" t="e">
        <f>IF(AE5=1,COUNTIF($AE$3:$AE5,1),"")</f>
        <v>#REF!</v>
      </c>
    </row>
    <row r="6" spans="1:33" ht="15" hidden="1" customHeight="1" x14ac:dyDescent="0.35">
      <c r="A6" s="27" t="s">
        <v>78</v>
      </c>
      <c r="B6" s="27" t="s">
        <v>187</v>
      </c>
      <c r="C6" s="5" t="s">
        <v>36</v>
      </c>
      <c r="D6" s="27"/>
      <c r="E6" s="8" t="str">
        <f>IFERROR(INDEX(הגדרות!$I$2:$I$47,MATCH(B6,הגדרות!$H$2:$H$47,0)),"")</f>
        <v>9095-00</v>
      </c>
      <c r="F6" s="8" t="s">
        <v>157</v>
      </c>
      <c r="G6" s="8"/>
      <c r="H6" s="8" t="s">
        <v>38</v>
      </c>
      <c r="I6" s="8" t="s">
        <v>39</v>
      </c>
      <c r="J6" s="8" t="s">
        <v>40</v>
      </c>
      <c r="K6" s="8" t="s">
        <v>40</v>
      </c>
      <c r="L6" s="8" t="s">
        <v>40</v>
      </c>
      <c r="M6" s="8" t="s">
        <v>40</v>
      </c>
      <c r="N6" s="8"/>
      <c r="O6" s="8" t="s">
        <v>2</v>
      </c>
      <c r="P6" s="8"/>
      <c r="Q6" s="8" t="s">
        <v>40</v>
      </c>
      <c r="R6" s="8"/>
      <c r="S6" s="8"/>
      <c r="T6" s="8" t="s">
        <v>41</v>
      </c>
      <c r="U6" s="8" t="s">
        <v>356</v>
      </c>
      <c r="V6" s="8"/>
      <c r="W6" s="8"/>
      <c r="X6" s="8"/>
      <c r="Y6" s="8"/>
      <c r="Z6" t="str">
        <f>IFERROR(INDEX(הגדרות!$B$2:$B$17,MATCH(H6,הגדרות!$A$2:$A$17,0)),"")</f>
        <v>מיוער</v>
      </c>
      <c r="AA6">
        <f>IFERROR(INDEX(הגדרות!$C$2:$C$17,MATCH(H6,הגדרות!$A$2:$A$17,0)),"")</f>
        <v>0</v>
      </c>
      <c r="AB6" t="str">
        <f>IFERROR(INDEX(הגדרות!$B$2:$B$17,MATCH(I6,הגדרות!$A$2:$A$17,0)),"")</f>
        <v>מדברי</v>
      </c>
      <c r="AC6">
        <f>IFERROR(INDEX(הגדרות!$C$2:$C$17,MATCH(I6,הגדרות!$A$2:$A$17,0)),"")</f>
        <v>0</v>
      </c>
      <c r="AD6" t="e">
        <f>IF(AND(מלאי!D128&lt;&gt;"",OR(#REF!="הכל",מלאי!Z128=#REF!,מלאי!AA128=#REF!,מלאי!AB128=#REF!,מלאי!AC128=#REF!),OR(#REF!="הכל",מלאי!A128=#REF!),OR(#REF!="הכל",מלאי!B128=#REF!),OR(#REF!="הכל",מלאי!F128=#REF!,מלאי!G128=#REF!),OR(#REF!="הכל",מלאי!T128=#REF!),OR(#REF!="הכל",מלאי!Q128=#REF!),OR(#REF!="הכל",מלאי!J128=#REF!),OR(#REF!="הכל",מלאי!L128=#REF!),OR(#REF!="הכל",מלאי!O128=#REF!),OR(#REF!="הכל",מלאי!R128=#REF!),OR(#REF!="הכל",#REF!="",מלאי!W128=#REF!),OR(#REF!="הכל",#REF!="",ISNUMBER(SEARCH(#REF!,מלאי!C128)))),1,0)</f>
        <v>#REF!</v>
      </c>
      <c r="AE6" t="e">
        <f>IF(AND(מלאי!D128&lt;&gt;"",OR(#REF!="הכל",מלאי!Z128=#REF!,מלאי!AA128=#REF!,מלאי!AB128=#REF!,מלאי!AC128=#REF!),OR(#REF!="הכל",מלאי!A128=#REF!),OR(#REF!="הכל",מלאי!B128=#REF!),OR(#REF!="הכל",מלאי!F128=#REF!,מלאי!G128=#REF!),OR(#REF!="הכל",מלאי!T128=#REF!),OR(#REF!="הכל",מלאי!Q128=#REF!),OR(#REF!="הכל",מלאי!J128=#REF!),OR(#REF!="הכל",מלאי!L128=#REF!),OR(#REF!="הכל",מלאי!O128=#REF!),OR(#REF!="הכל",מלאי!R128=#REF!),OR(#REF!="הכל",#REF!="",מלאי!W128=#REF!),OR(#REF!="הכל",#REF!="",ISNUMBER(SEARCH(#REF!,מלאי!C128))),OR(#REF!="הכל",מלאי!#REF!=#REF!)),1,0)</f>
        <v>#REF!</v>
      </c>
      <c r="AF6" t="e">
        <f>IF(AD6=1,COUNTIF($AD$3:$AD6,1),"")</f>
        <v>#REF!</v>
      </c>
      <c r="AG6" t="e">
        <f>IF(AE6=1,COUNTIF($AE$3:$AE6,1),"")</f>
        <v>#REF!</v>
      </c>
    </row>
    <row r="7" spans="1:33" ht="15" hidden="1" customHeight="1" x14ac:dyDescent="0.35">
      <c r="A7" s="4" t="s">
        <v>34</v>
      </c>
      <c r="B7" s="4" t="s">
        <v>166</v>
      </c>
      <c r="C7" s="12" t="s">
        <v>36</v>
      </c>
      <c r="D7" s="29" t="s">
        <v>306</v>
      </c>
      <c r="E7" s="4" t="str">
        <f>IFERROR(INDEX(הגדרות!$I$2:$I$47,MATCH(B7,הגדרות!$H$2:$H$47,0)),"")</f>
        <v>7051-00</v>
      </c>
      <c r="F7" s="5" t="s">
        <v>51</v>
      </c>
      <c r="G7" s="4"/>
      <c r="H7" s="4" t="s">
        <v>165</v>
      </c>
      <c r="I7" s="4"/>
      <c r="J7" s="5" t="s">
        <v>40</v>
      </c>
      <c r="K7" s="5" t="s">
        <v>40</v>
      </c>
      <c r="L7" s="5" t="s">
        <v>40</v>
      </c>
      <c r="M7" s="5" t="s">
        <v>40</v>
      </c>
      <c r="N7" s="5" t="s">
        <v>2</v>
      </c>
      <c r="O7" s="4"/>
      <c r="P7" s="12" t="s">
        <v>316</v>
      </c>
      <c r="Q7" s="4"/>
      <c r="R7" s="4"/>
      <c r="S7" s="4"/>
      <c r="T7" s="4" t="s">
        <v>41</v>
      </c>
      <c r="U7" s="4"/>
      <c r="V7" s="4"/>
      <c r="W7" s="4"/>
      <c r="X7" s="4"/>
      <c r="Y7" s="4"/>
      <c r="Z7" t="str">
        <f>IFERROR(INDEX(הגדרות!$B$2:$B$17,MATCH(H7,הגדרות!$A$2:$A$17,0)),"")</f>
        <v>שלג</v>
      </c>
      <c r="AA7">
        <f>IFERROR(INDEX(הגדרות!$C$2:$C$17,MATCH(H7,הגדרות!$A$2:$A$17,0)),"")</f>
        <v>0</v>
      </c>
      <c r="AB7" t="str">
        <f>IFERROR(INDEX(הגדרות!$B$2:$B$17,MATCH(I7,הגדרות!$A$2:$A$17,0)),"")</f>
        <v/>
      </c>
      <c r="AC7" t="str">
        <f>IFERROR(INDEX(הגדרות!$C$2:$C$17,MATCH(I7,הגדרות!$A$2:$A$17,0)),"")</f>
        <v/>
      </c>
      <c r="AD7" t="e">
        <f>IF(AND(מלאי!D96&lt;&gt;"",OR(#REF!="הכל",מלאי!Z96=#REF!,מלאי!AA96=#REF!,מלאי!AB96=#REF!,מלאי!AC96=#REF!),OR(#REF!="הכל",מלאי!A96=#REF!),OR(#REF!="הכל",מלאי!B96=#REF!),OR(#REF!="הכל",מלאי!F96=#REF!,מלאי!G96=#REF!),OR(#REF!="הכל",מלאי!T96=#REF!),OR(#REF!="הכל",מלאי!Q96=#REF!),OR(#REF!="הכל",מלאי!J96=#REF!),OR(#REF!="הכל",מלאי!L96=#REF!),OR(#REF!="הכל",מלאי!O96=#REF!),OR(#REF!="הכל",מלאי!R96=#REF!),OR(#REF!="הכל",#REF!="",מלאי!W96=#REF!),OR(#REF!="הכל",#REF!="",ISNUMBER(SEARCH(#REF!,מלאי!C96)))),1,0)</f>
        <v>#REF!</v>
      </c>
      <c r="AE7" t="e">
        <f>IF(AND(מלאי!D96&lt;&gt;"",OR(#REF!="הכל",מלאי!Z96=#REF!,מלאי!AA96=#REF!,מלאי!AB96=#REF!,מלאי!AC96=#REF!),OR(#REF!="הכל",מלאי!A96=#REF!),OR(#REF!="הכל",מלאי!B96=#REF!),OR(#REF!="הכל",מלאי!F96=#REF!,מלאי!G96=#REF!),OR(#REF!="הכל",מלאי!T96=#REF!),OR(#REF!="הכל",מלאי!Q96=#REF!),OR(#REF!="הכל",מלאי!J96=#REF!),OR(#REF!="הכל",מלאי!L96=#REF!),OR(#REF!="הכל",מלאי!O96=#REF!),OR(#REF!="הכל",מלאי!R96=#REF!),OR(#REF!="הכל",#REF!="",מלאי!W96=#REF!),OR(#REF!="הכל",#REF!="",ISNUMBER(SEARCH(#REF!,מלאי!C96))),OR(#REF!="הכל",מלאי!#REF!=#REF!)),1,0)</f>
        <v>#REF!</v>
      </c>
      <c r="AF7" t="e">
        <f>IF(AD7=1,COUNTIF($AD$3:$AD7,1),"")</f>
        <v>#REF!</v>
      </c>
      <c r="AG7" t="e">
        <f>IF(AE7=1,COUNTIF($AE$3:$AE7,1),"")</f>
        <v>#REF!</v>
      </c>
    </row>
    <row r="8" spans="1:33" ht="15" hidden="1" customHeight="1" x14ac:dyDescent="0.35">
      <c r="A8" s="8" t="s">
        <v>34</v>
      </c>
      <c r="B8" s="35" t="s">
        <v>166</v>
      </c>
      <c r="C8" s="12" t="s">
        <v>36</v>
      </c>
      <c r="D8" s="29" t="s">
        <v>308</v>
      </c>
      <c r="E8" s="5" t="str">
        <f>IFERROR(INDEX(הגדרות!$I$2:$I$47,MATCH(B8,הגדרות!$H$2:$H$47,0)),"")</f>
        <v>7051-00</v>
      </c>
      <c r="F8" s="5" t="s">
        <v>51</v>
      </c>
      <c r="G8" s="5"/>
      <c r="H8" s="5" t="s">
        <v>165</v>
      </c>
      <c r="I8" s="5"/>
      <c r="J8" s="5" t="s">
        <v>40</v>
      </c>
      <c r="K8" s="5" t="s">
        <v>40</v>
      </c>
      <c r="L8" s="5" t="s">
        <v>40</v>
      </c>
      <c r="M8" s="5" t="s">
        <v>40</v>
      </c>
      <c r="N8" s="5" t="s">
        <v>40</v>
      </c>
      <c r="O8" s="5"/>
      <c r="P8" s="5"/>
      <c r="Q8" s="5"/>
      <c r="R8" s="5"/>
      <c r="S8" s="5"/>
      <c r="T8" s="5" t="s">
        <v>41</v>
      </c>
      <c r="U8" s="5"/>
      <c r="V8" s="5"/>
      <c r="W8" s="5"/>
      <c r="X8" s="5"/>
      <c r="Y8" s="5"/>
      <c r="Z8" t="str">
        <f>IFERROR(INDEX(הגדרות!$B$2:$B$17,MATCH(H8,הגדרות!$A$2:$A$17,0)),"")</f>
        <v>שלג</v>
      </c>
      <c r="AA8">
        <f>IFERROR(INDEX(הגדרות!$C$2:$C$17,MATCH(H8,הגדרות!$A$2:$A$17,0)),"")</f>
        <v>0</v>
      </c>
      <c r="AB8" t="str">
        <f>IFERROR(INDEX(הגדרות!$B$2:$B$17,MATCH(I8,הגדרות!$A$2:$A$17,0)),"")</f>
        <v/>
      </c>
      <c r="AC8" t="str">
        <f>IFERROR(INDEX(הגדרות!$C$2:$C$17,MATCH(I8,הגדרות!$A$2:$A$17,0)),"")</f>
        <v/>
      </c>
      <c r="AD8" t="e">
        <f>IF(AND(מלאי!D97&lt;&gt;"",OR(#REF!="הכל",מלאי!Z97=#REF!,מלאי!AA97=#REF!,מלאי!AB97=#REF!,מלאי!AC97=#REF!),OR(#REF!="הכל",מלאי!A97=#REF!),OR(#REF!="הכל",מלאי!B97=#REF!),OR(#REF!="הכל",מלאי!F97=#REF!,מלאי!G97=#REF!),OR(#REF!="הכל",מלאי!T97=#REF!),OR(#REF!="הכל",מלאי!Q97=#REF!),OR(#REF!="הכל",מלאי!J97=#REF!),OR(#REF!="הכל",מלאי!L97=#REF!),OR(#REF!="הכל",מלאי!O97=#REF!),OR(#REF!="הכל",מלאי!R97=#REF!),OR(#REF!="הכל",#REF!="",מלאי!W97=#REF!),OR(#REF!="הכל",#REF!="",ISNUMBER(SEARCH(#REF!,מלאי!C97)))),1,0)</f>
        <v>#REF!</v>
      </c>
      <c r="AE8" t="e">
        <f>IF(AND(מלאי!D97&lt;&gt;"",OR(#REF!="הכל",מלאי!Z97=#REF!,מלאי!AA97=#REF!,מלאי!AB97=#REF!,מלאי!AC97=#REF!),OR(#REF!="הכל",מלאי!A97=#REF!),OR(#REF!="הכל",מלאי!B97=#REF!),OR(#REF!="הכל",מלאי!F97=#REF!,מלאי!G97=#REF!),OR(#REF!="הכל",מלאי!T97=#REF!),OR(#REF!="הכל",מלאי!Q97=#REF!),OR(#REF!="הכל",מלאי!J97=#REF!),OR(#REF!="הכל",מלאי!L97=#REF!),OR(#REF!="הכל",מלאי!O97=#REF!),OR(#REF!="הכל",מלאי!R97=#REF!),OR(#REF!="הכל",#REF!="",מלאי!W97=#REF!),OR(#REF!="הכל",#REF!="",ISNUMBER(SEARCH(#REF!,מלאי!C97))),OR(#REF!="הכל",מלאי!#REF!=#REF!)),1,0)</f>
        <v>#REF!</v>
      </c>
      <c r="AF8" t="e">
        <f>IF(AD8=1,COUNTIF($AD$3:$AD8,1),"")</f>
        <v>#REF!</v>
      </c>
      <c r="AG8" t="e">
        <f>IF(AE8=1,COUNTIF($AE$3:$AE8,1),"")</f>
        <v>#REF!</v>
      </c>
    </row>
    <row r="9" spans="1:33" ht="15" hidden="1" customHeight="1" x14ac:dyDescent="0.35">
      <c r="A9" s="8" t="s">
        <v>34</v>
      </c>
      <c r="B9" s="5" t="s">
        <v>166</v>
      </c>
      <c r="C9" s="12" t="s">
        <v>36</v>
      </c>
      <c r="D9" s="29" t="s">
        <v>309</v>
      </c>
      <c r="E9" s="5" t="str">
        <f>IFERROR(INDEX(הגדרות!$I$2:$I$47,MATCH(B9,הגדרות!$H$2:$H$47,0)),"")</f>
        <v>7051-00</v>
      </c>
      <c r="F9" s="5" t="s">
        <v>51</v>
      </c>
      <c r="G9" s="5"/>
      <c r="H9" s="5" t="s">
        <v>165</v>
      </c>
      <c r="I9" s="5"/>
      <c r="J9" s="5" t="s">
        <v>40</v>
      </c>
      <c r="K9" s="5" t="s">
        <v>40</v>
      </c>
      <c r="L9" s="5" t="s">
        <v>40</v>
      </c>
      <c r="M9" s="5" t="s">
        <v>40</v>
      </c>
      <c r="N9" s="5" t="s">
        <v>40</v>
      </c>
      <c r="O9" s="5"/>
      <c r="P9" s="5"/>
      <c r="Q9" s="5"/>
      <c r="R9" s="5"/>
      <c r="S9" s="5"/>
      <c r="T9" s="5" t="s">
        <v>41</v>
      </c>
      <c r="U9" s="5"/>
      <c r="V9" s="5"/>
      <c r="W9" s="5"/>
      <c r="X9" s="5"/>
      <c r="Y9" s="5"/>
      <c r="Z9" t="str">
        <f>IFERROR(INDEX(הגדרות!$B$2:$B$17,MATCH(H9,הגדרות!$A$2:$A$17,0)),"")</f>
        <v>שלג</v>
      </c>
      <c r="AA9">
        <f>IFERROR(INDEX(הגדרות!$C$2:$C$17,MATCH(H9,הגדרות!$A$2:$A$17,0)),"")</f>
        <v>0</v>
      </c>
      <c r="AB9" t="str">
        <f>IFERROR(INDEX(הגדרות!$B$2:$B$17,MATCH(I9,הגדרות!$A$2:$A$17,0)),"")</f>
        <v/>
      </c>
      <c r="AC9" t="str">
        <f>IFERROR(INDEX(הגדרות!$C$2:$C$17,MATCH(I9,הגדרות!$A$2:$A$17,0)),"")</f>
        <v/>
      </c>
      <c r="AD9" t="e">
        <f>IF(AND(מלאי!D98&lt;&gt;"",OR(#REF!="הכל",מלאי!Z98=#REF!,מלאי!AA98=#REF!,מלאי!AB98=#REF!,מלאי!AC98=#REF!),OR(#REF!="הכל",מלאי!A98=#REF!),OR(#REF!="הכל",מלאי!B98=#REF!),OR(#REF!="הכל",מלאי!F98=#REF!,מלאי!G98=#REF!),OR(#REF!="הכל",מלאי!T98=#REF!),OR(#REF!="הכל",מלאי!Q98=#REF!),OR(#REF!="הכל",מלאי!J98=#REF!),OR(#REF!="הכל",מלאי!L98=#REF!),OR(#REF!="הכל",מלאי!O98=#REF!),OR(#REF!="הכל",מלאי!R98=#REF!),OR(#REF!="הכל",#REF!="",מלאי!W98=#REF!),OR(#REF!="הכל",#REF!="",ISNUMBER(SEARCH(#REF!,מלאי!C98)))),1,0)</f>
        <v>#REF!</v>
      </c>
      <c r="AE9" t="e">
        <f>IF(AND(מלאי!D98&lt;&gt;"",OR(#REF!="הכל",מלאי!Z98=#REF!,מלאי!AA98=#REF!,מלאי!AB98=#REF!,מלאי!AC98=#REF!),OR(#REF!="הכל",מלאי!A98=#REF!),OR(#REF!="הכל",מלאי!B98=#REF!),OR(#REF!="הכל",מלאי!F98=#REF!,מלאי!G98=#REF!),OR(#REF!="הכל",מלאי!T98=#REF!),OR(#REF!="הכל",מלאי!Q98=#REF!),OR(#REF!="הכל",מלאי!J98=#REF!),OR(#REF!="הכל",מלאי!L98=#REF!),OR(#REF!="הכל",מלאי!O98=#REF!),OR(#REF!="הכל",מלאי!R98=#REF!),OR(#REF!="הכל",#REF!="",מלאי!W98=#REF!),OR(#REF!="הכל",#REF!="",ISNUMBER(SEARCH(#REF!,מלאי!C98))),OR(#REF!="הכל",מלאי!#REF!=#REF!)),1,0)</f>
        <v>#REF!</v>
      </c>
      <c r="AF9" t="e">
        <f>IF(AD9=1,COUNTIF($AD$3:$AD9,1),"")</f>
        <v>#REF!</v>
      </c>
      <c r="AG9" t="e">
        <f>IF(AE9=1,COUNTIF($AE$3:$AE9,1),"")</f>
        <v>#REF!</v>
      </c>
    </row>
    <row r="10" spans="1:33" ht="15" hidden="1" customHeight="1" x14ac:dyDescent="0.35">
      <c r="A10" s="4" t="s">
        <v>34</v>
      </c>
      <c r="B10" s="12" t="s">
        <v>166</v>
      </c>
      <c r="C10" s="12" t="s">
        <v>36</v>
      </c>
      <c r="D10" s="29" t="s">
        <v>318</v>
      </c>
      <c r="E10" s="4" t="str">
        <f>IFERROR(INDEX(הגדרות!$I$2:$I$47,MATCH(B10,הגדרות!$H$2:$H$47,0)),"")</f>
        <v>7051-00</v>
      </c>
      <c r="F10" s="4" t="s">
        <v>51</v>
      </c>
      <c r="G10" s="4"/>
      <c r="H10" s="4" t="s">
        <v>162</v>
      </c>
      <c r="I10" s="4"/>
      <c r="J10" s="5" t="s">
        <v>40</v>
      </c>
      <c r="K10" s="5" t="s">
        <v>40</v>
      </c>
      <c r="L10" s="5" t="s">
        <v>40</v>
      </c>
      <c r="M10" s="5" t="s">
        <v>40</v>
      </c>
      <c r="N10" s="5" t="s">
        <v>40</v>
      </c>
      <c r="O10" s="4"/>
      <c r="P10" s="4"/>
      <c r="Q10" s="4"/>
      <c r="R10" s="4"/>
      <c r="S10" s="4"/>
      <c r="T10" s="4" t="s">
        <v>41</v>
      </c>
      <c r="U10" s="4"/>
      <c r="V10" s="4"/>
      <c r="W10" s="4"/>
      <c r="X10" s="4"/>
      <c r="Y10" s="4"/>
      <c r="Z10" t="str">
        <f>IFERROR(INDEX(הגדרות!$B$2:$B$17,MATCH(H10,הגדרות!$A$2:$A$17,0)),"")</f>
        <v>שלג</v>
      </c>
      <c r="AA10">
        <f>IFERROR(INDEX(הגדרות!$C$2:$C$17,MATCH(H10,הגדרות!$A$2:$A$17,0)),"")</f>
        <v>0</v>
      </c>
      <c r="AB10" t="str">
        <f>IFERROR(INDEX(הגדרות!$B$2:$B$17,MATCH(I10,הגדרות!$A$2:$A$17,0)),"")</f>
        <v/>
      </c>
      <c r="AC10" t="str">
        <f>IFERROR(INDEX(הגדרות!$C$2:$C$17,MATCH(I10,הגדרות!$A$2:$A$17,0)),"")</f>
        <v/>
      </c>
      <c r="AD10" t="e">
        <f>IF(AND(מלאי!D93&lt;&gt;"",OR(#REF!="הכל",מלאי!Z99=#REF!,מלאי!AA99=#REF!,מלאי!AB99=#REF!,מלאי!AC99=#REF!),OR(#REF!="הכל",מלאי!A99=#REF!),OR(#REF!="הכל",מלאי!B99=#REF!),OR(#REF!="הכל",מלאי!F99=#REF!,מלאי!G99=#REF!),OR(#REF!="הכל",מלאי!T99=#REF!),OR(#REF!="הכל",מלאי!Q99=#REF!),OR(#REF!="הכל",מלאי!J99=#REF!),OR(#REF!="הכל",מלאי!L99=#REF!),OR(#REF!="הכל",מלאי!O99=#REF!),OR(#REF!="הכל",מלאי!R99=#REF!),OR(#REF!="הכל",#REF!="",מלאי!W99=#REF!),OR(#REF!="הכל",#REF!="",ISNUMBER(SEARCH(#REF!,מלאי!C99)))),1,0)</f>
        <v>#REF!</v>
      </c>
      <c r="AE10" t="e">
        <f>IF(AND(מלאי!D93&lt;&gt;"",OR(#REF!="הכל",מלאי!Z99=#REF!,מלאי!AA99=#REF!,מלאי!AB99=#REF!,מלאי!AC99=#REF!),OR(#REF!="הכל",מלאי!A99=#REF!),OR(#REF!="הכל",מלאי!B99=#REF!),OR(#REF!="הכל",מלאי!F99=#REF!,מלאי!G99=#REF!),OR(#REF!="הכל",מלאי!T99=#REF!),OR(#REF!="הכל",מלאי!Q99=#REF!),OR(#REF!="הכל",מלאי!J99=#REF!),OR(#REF!="הכל",מלאי!L99=#REF!),OR(#REF!="הכל",מלאי!O99=#REF!),OR(#REF!="הכל",מלאי!R99=#REF!),OR(#REF!="הכל",#REF!="",מלאי!W99=#REF!),OR(#REF!="הכל",#REF!="",ISNUMBER(SEARCH(#REF!,מלאי!C99))),OR(#REF!="הכל",מלאי!#REF!=#REF!)),1,0)</f>
        <v>#REF!</v>
      </c>
      <c r="AF10" t="e">
        <f>IF(AD10=1,COUNTIF($AD$3:$AD10,1),"")</f>
        <v>#REF!</v>
      </c>
      <c r="AG10" t="e">
        <f>IF(AE10=1,COUNTIF($AE$3:$AE10,1),"")</f>
        <v>#REF!</v>
      </c>
    </row>
    <row r="11" spans="1:33" ht="15" hidden="1" customHeight="1" x14ac:dyDescent="0.35">
      <c r="A11" s="4" t="s">
        <v>34</v>
      </c>
      <c r="B11" s="35" t="s">
        <v>166</v>
      </c>
      <c r="C11" s="12" t="s">
        <v>36</v>
      </c>
      <c r="D11" s="29" t="s">
        <v>319</v>
      </c>
      <c r="E11" s="5" t="str">
        <f>IFERROR(INDEX(הגדרות!$I$2:$I$47,MATCH(B11,הגדרות!$H$2:$H$47,0)),"")</f>
        <v>7051-00</v>
      </c>
      <c r="F11" s="5" t="s">
        <v>51</v>
      </c>
      <c r="G11" s="5"/>
      <c r="H11" s="5" t="s">
        <v>162</v>
      </c>
      <c r="I11" s="5"/>
      <c r="J11" s="5" t="s">
        <v>40</v>
      </c>
      <c r="K11" s="5" t="s">
        <v>40</v>
      </c>
      <c r="L11" s="5" t="s">
        <v>40</v>
      </c>
      <c r="M11" s="5" t="s">
        <v>40</v>
      </c>
      <c r="N11" s="5" t="s">
        <v>2</v>
      </c>
      <c r="O11" s="5"/>
      <c r="P11" s="12" t="s">
        <v>316</v>
      </c>
      <c r="Q11" s="5"/>
      <c r="R11" s="5"/>
      <c r="S11" s="5"/>
      <c r="T11" s="4" t="s">
        <v>41</v>
      </c>
      <c r="U11" s="5"/>
      <c r="V11" s="5"/>
      <c r="W11" s="5"/>
      <c r="X11" s="5"/>
      <c r="Y11" s="5"/>
      <c r="Z11" t="str">
        <f>IFERROR(INDEX(הגדרות!$B$2:$B$17,MATCH(H11,הגדרות!$A$2:$A$17,0)),"")</f>
        <v>שלג</v>
      </c>
      <c r="AA11">
        <f>IFERROR(INDEX(הגדרות!$C$2:$C$17,MATCH(H11,הגדרות!$A$2:$A$17,0)),"")</f>
        <v>0</v>
      </c>
      <c r="AB11" t="str">
        <f>IFERROR(INDEX(הגדרות!$B$2:$B$17,MATCH(I11,הגדרות!$A$2:$A$17,0)),"")</f>
        <v/>
      </c>
      <c r="AC11" t="str">
        <f>IFERROR(INDEX(הגדרות!$C$2:$C$17,MATCH(I11,הגדרות!$A$2:$A$17,0)),"")</f>
        <v/>
      </c>
      <c r="AD11" t="e">
        <f>IF(AND(מלאי!D100&lt;&gt;"",OR(#REF!="הכל",מלאי!Z100=#REF!,מלאי!AA100=#REF!,מלאי!AB100=#REF!,מלאי!AC100=#REF!),OR(#REF!="הכל",מלאי!A100=#REF!),OR(#REF!="הכל",מלאי!B100=#REF!),OR(#REF!="הכל",מלאי!F100=#REF!,מלאי!G100=#REF!),OR(#REF!="הכל",מלאי!T100=#REF!),OR(#REF!="הכל",מלאי!Q100=#REF!),OR(#REF!="הכל",מלאי!J100=#REF!),OR(#REF!="הכל",מלאי!L100=#REF!),OR(#REF!="הכל",מלאי!O100=#REF!),OR(#REF!="הכל",מלאי!R100=#REF!),OR(#REF!="הכל",#REF!="",מלאי!W100=#REF!),OR(#REF!="הכל",#REF!="",ISNUMBER(SEARCH(#REF!,מלאי!C100)))),1,0)</f>
        <v>#REF!</v>
      </c>
      <c r="AE11" t="e">
        <f>IF(AND(מלאי!D100&lt;&gt;"",OR(#REF!="הכל",מלאי!Z100=#REF!,מלאי!AA100=#REF!,מלאי!AB100=#REF!,מלאי!AC100=#REF!),OR(#REF!="הכל",מלאי!A100=#REF!),OR(#REF!="הכל",מלאי!B100=#REF!),OR(#REF!="הכל",מלאי!F100=#REF!,מלאי!G100=#REF!),OR(#REF!="הכל",מלאי!T100=#REF!),OR(#REF!="הכל",מלאי!Q100=#REF!),OR(#REF!="הכל",מלאי!J100=#REF!),OR(#REF!="הכל",מלאי!L100=#REF!),OR(#REF!="הכל",מלאי!O100=#REF!),OR(#REF!="הכל",מלאי!R100=#REF!),OR(#REF!="הכל",#REF!="",מלאי!W100=#REF!),OR(#REF!="הכל",#REF!="",ISNUMBER(SEARCH(#REF!,מלאי!C100))),OR(#REF!="הכל",מלאי!#REF!=#REF!)),1,0)</f>
        <v>#REF!</v>
      </c>
      <c r="AF11" t="e">
        <f>IF(AD11=1,COUNTIF($AD$3:$AD11,1),"")</f>
        <v>#REF!</v>
      </c>
      <c r="AG11" t="e">
        <f>IF(AE11=1,COUNTIF($AE$3:$AE11,1),"")</f>
        <v>#REF!</v>
      </c>
    </row>
    <row r="12" spans="1:33" ht="15" hidden="1" customHeight="1" x14ac:dyDescent="0.35">
      <c r="A12" s="18" t="s">
        <v>34</v>
      </c>
      <c r="B12" s="17" t="s">
        <v>166</v>
      </c>
      <c r="C12" s="18" t="s">
        <v>36</v>
      </c>
      <c r="D12" s="29" t="s">
        <v>370</v>
      </c>
      <c r="E12" s="17" t="str">
        <f>IFERROR(INDEX(הגדרות!$I$2:$I$47,MATCH(B12,הגדרות!$H$2:$H$47,0)),"")</f>
        <v>7051-00</v>
      </c>
      <c r="F12" s="17" t="s">
        <v>51</v>
      </c>
      <c r="G12" s="17"/>
      <c r="H12" s="17" t="s">
        <v>162</v>
      </c>
      <c r="I12" s="17"/>
      <c r="J12" s="17" t="s">
        <v>40</v>
      </c>
      <c r="K12" s="17" t="s">
        <v>40</v>
      </c>
      <c r="L12" s="17" t="s">
        <v>40</v>
      </c>
      <c r="M12" s="17" t="s">
        <v>40</v>
      </c>
      <c r="N12" s="17" t="s">
        <v>40</v>
      </c>
      <c r="O12" s="17"/>
      <c r="P12" s="18"/>
      <c r="Q12" s="17"/>
      <c r="R12" s="17"/>
      <c r="S12" s="17"/>
      <c r="T12" s="18" t="s">
        <v>41</v>
      </c>
      <c r="U12" s="17"/>
      <c r="V12" s="17"/>
      <c r="W12" s="17"/>
      <c r="X12" s="17"/>
      <c r="Y12" s="17"/>
      <c r="Z12" t="str">
        <f>IFERROR(INDEX(הגדרות!$B$2:$B$17,MATCH(H12,הגדרות!$A$2:$A$17,0)),"")</f>
        <v>שלג</v>
      </c>
      <c r="AA12">
        <f>IFERROR(INDEX(הגדרות!$C$2:$C$17,MATCH(H12,הגדרות!$A$2:$A$17,0)),"")</f>
        <v>0</v>
      </c>
      <c r="AB12" t="str">
        <f>IFERROR(INDEX(הגדרות!$B$2:$B$17,MATCH(I12,הגדרות!$A$2:$A$17,0)),"")</f>
        <v/>
      </c>
      <c r="AC12" t="str">
        <f>IFERROR(INDEX(הגדרות!$C$2:$C$17,MATCH(I12,הגדרות!$A$2:$A$17,0)),"")</f>
        <v/>
      </c>
      <c r="AD12" t="e">
        <f>IF(AND(מלאי!D149&lt;&gt;"",OR(#REF!="הכל",מלאי!Z149=#REF!,מלאי!AA149=#REF!,מלאי!AB149=#REF!,מלאי!AC149=#REF!),OR(#REF!="הכל",מלאי!A149=#REF!),OR(#REF!="הכל",מלאי!B149=#REF!),OR(#REF!="הכל",מלאי!F149=#REF!,מלאי!G149=#REF!),OR(#REF!="הכל",מלאי!T149=#REF!),OR(#REF!="הכל",מלאי!Q149=#REF!),OR(#REF!="הכל",מלאי!J149=#REF!),OR(#REF!="הכל",מלאי!L149=#REF!),OR(#REF!="הכל",מלאי!O149=#REF!),OR(#REF!="הכל",מלאי!R149=#REF!),OR(#REF!="הכל",#REF!="",מלאי!W149=#REF!),OR(#REF!="הכל",#REF!="",ISNUMBER(SEARCH(#REF!,מלאי!C149)))),1,0)</f>
        <v>#REF!</v>
      </c>
      <c r="AE12" t="e">
        <f>IF(AND(מלאי!D149&lt;&gt;"",OR(#REF!="הכל",מלאי!Z149=#REF!,מלאי!AA149=#REF!,מלאי!AB149=#REF!,מלאי!AC149=#REF!),OR(#REF!="הכל",מלאי!A149=#REF!),OR(#REF!="הכל",מלאי!B149=#REF!),OR(#REF!="הכל",מלאי!F149=#REF!,מלאי!G149=#REF!),OR(#REF!="הכל",מלאי!T149=#REF!),OR(#REF!="הכל",מלאי!Q149=#REF!),OR(#REF!="הכל",מלאי!J149=#REF!),OR(#REF!="הכל",מלאי!L149=#REF!),OR(#REF!="הכל",מלאי!O149=#REF!),OR(#REF!="הכל",מלאי!R149=#REF!),OR(#REF!="הכל",#REF!="",מלאי!W149=#REF!),OR(#REF!="הכל",#REF!="",ISNUMBER(SEARCH(#REF!,מלאי!C149))),OR(#REF!="הכל",מלאי!#REF!=#REF!)),1,0)</f>
        <v>#REF!</v>
      </c>
      <c r="AF12" t="e">
        <f>IF(AD12=1,COUNTIF($AD$3:$AD12,1),"")</f>
        <v>#REF!</v>
      </c>
      <c r="AG12" t="e">
        <f>IF(AE12=1,COUNTIF($AE$3:$AE12,1),"")</f>
        <v>#REF!</v>
      </c>
    </row>
    <row r="13" spans="1:33" ht="15" hidden="1" customHeight="1" x14ac:dyDescent="0.35">
      <c r="A13" s="18" t="s">
        <v>34</v>
      </c>
      <c r="B13" s="17" t="s">
        <v>166</v>
      </c>
      <c r="C13" s="18" t="s">
        <v>36</v>
      </c>
      <c r="D13" s="29" t="s">
        <v>376</v>
      </c>
      <c r="E13" s="17" t="str">
        <f>IFERROR(INDEX(הגדרות!$I$2:$I$47,MATCH(B13,הגדרות!$H$2:$H$47,0)),"")</f>
        <v>7051-00</v>
      </c>
      <c r="F13" s="17" t="s">
        <v>51</v>
      </c>
      <c r="G13" s="17"/>
      <c r="H13" s="17" t="s">
        <v>165</v>
      </c>
      <c r="I13" s="17"/>
      <c r="J13" s="17" t="s">
        <v>40</v>
      </c>
      <c r="K13" s="17" t="s">
        <v>40</v>
      </c>
      <c r="L13" s="17" t="s">
        <v>40</v>
      </c>
      <c r="M13" s="17" t="s">
        <v>40</v>
      </c>
      <c r="N13" s="17" t="s">
        <v>40</v>
      </c>
      <c r="O13" s="17"/>
      <c r="P13" s="18"/>
      <c r="Q13" s="17"/>
      <c r="R13" s="17"/>
      <c r="S13" s="17"/>
      <c r="T13" s="18" t="s">
        <v>41</v>
      </c>
      <c r="U13" s="17"/>
      <c r="V13" s="17"/>
      <c r="W13" s="17"/>
      <c r="X13" s="17"/>
      <c r="Y13" s="17"/>
      <c r="Z13" t="str">
        <f>IFERROR(INDEX(הגדרות!$B$2:$B$17,MATCH(H13,הגדרות!$A$2:$A$17,0)),"")</f>
        <v>שלג</v>
      </c>
      <c r="AA13">
        <f>IFERROR(INDEX(הגדרות!$C$2:$C$17,MATCH(H13,הגדרות!$A$2:$A$17,0)),"")</f>
        <v>0</v>
      </c>
      <c r="AB13" t="str">
        <f>IFERROR(INDEX(הגדרות!$B$2:$B$17,MATCH(I13,הגדרות!$A$2:$A$17,0)),"")</f>
        <v/>
      </c>
      <c r="AC13" t="str">
        <f>IFERROR(INDEX(הגדרות!$C$2:$C$17,MATCH(I13,הגדרות!$A$2:$A$17,0)),"")</f>
        <v/>
      </c>
      <c r="AD13" t="e">
        <f>IF(AND(מלאי!D154&lt;&gt;"",OR(#REF!="הכל",מלאי!Z154=#REF!,מלאי!AA154=#REF!,מלאי!AB154=#REF!,מלאי!AC154=#REF!),OR(#REF!="הכל",מלאי!A154=#REF!),OR(#REF!="הכל",מלאי!B154=#REF!),OR(#REF!="הכל",מלאי!F154=#REF!,מלאי!G154=#REF!),OR(#REF!="הכל",מלאי!T154=#REF!),OR(#REF!="הכל",מלאי!Q154=#REF!),OR(#REF!="הכל",מלאי!J154=#REF!),OR(#REF!="הכל",מלאי!L154=#REF!),OR(#REF!="הכל",מלאי!O154=#REF!),OR(#REF!="הכל",מלאי!R154=#REF!),OR(#REF!="הכל",#REF!="",מלאי!W154=#REF!),OR(#REF!="הכל",#REF!="",ISNUMBER(SEARCH(#REF!,מלאי!C154)))),1,0)</f>
        <v>#REF!</v>
      </c>
      <c r="AE13" t="e">
        <f>IF(AND(מלאי!D154&lt;&gt;"",OR(#REF!="הכל",מלאי!Z154=#REF!,מלאי!AA154=#REF!,מלאי!AB154=#REF!,מלאי!AC154=#REF!),OR(#REF!="הכל",מלאי!A154=#REF!),OR(#REF!="הכל",מלאי!B154=#REF!),OR(#REF!="הכל",מלאי!F154=#REF!,מלאי!G154=#REF!),OR(#REF!="הכל",מלאי!T154=#REF!),OR(#REF!="הכל",מלאי!Q154=#REF!),OR(#REF!="הכל",מלאי!J154=#REF!),OR(#REF!="הכל",מלאי!L154=#REF!),OR(#REF!="הכל",מלאי!O154=#REF!),OR(#REF!="הכל",מלאי!R154=#REF!),OR(#REF!="הכל",#REF!="",מלאי!W154=#REF!),OR(#REF!="הכל",#REF!="",ISNUMBER(SEARCH(#REF!,מלאי!C154))),OR(#REF!="הכל",מלאי!#REF!=#REF!)),1,0)</f>
        <v>#REF!</v>
      </c>
      <c r="AF13" t="e">
        <f>IF(AD13=1,COUNTIF($AD$3:$AD13,1),"")</f>
        <v>#REF!</v>
      </c>
      <c r="AG13" t="e">
        <f>IF(AE13=1,COUNTIF($AE$3:$AE13,1),"")</f>
        <v>#REF!</v>
      </c>
    </row>
    <row r="14" spans="1:33" ht="15" hidden="1" customHeight="1" x14ac:dyDescent="0.35">
      <c r="A14" s="5" t="s">
        <v>34</v>
      </c>
      <c r="B14" s="35" t="s">
        <v>169</v>
      </c>
      <c r="C14" s="12" t="s">
        <v>36</v>
      </c>
      <c r="D14" s="29" t="s">
        <v>322</v>
      </c>
      <c r="E14" s="4" t="str">
        <f>IFERROR(INDEX(הגדרות!$I$2:$I$47,MATCH(B14,הגדרות!$H$2:$H$47,0)),"")</f>
        <v>7052-00</v>
      </c>
      <c r="F14" s="5" t="s">
        <v>51</v>
      </c>
      <c r="G14" s="4"/>
      <c r="H14" s="4" t="s">
        <v>165</v>
      </c>
      <c r="I14" s="4"/>
      <c r="J14" s="5" t="s">
        <v>40</v>
      </c>
      <c r="K14" s="5" t="s">
        <v>40</v>
      </c>
      <c r="L14" s="5" t="s">
        <v>40</v>
      </c>
      <c r="M14" s="5" t="s">
        <v>40</v>
      </c>
      <c r="N14" s="5" t="s">
        <v>40</v>
      </c>
      <c r="O14" s="4"/>
      <c r="P14" s="4"/>
      <c r="Q14" s="4"/>
      <c r="R14" s="4"/>
      <c r="S14" s="4"/>
      <c r="T14" s="5" t="s">
        <v>41</v>
      </c>
      <c r="U14" s="4"/>
      <c r="V14" s="4"/>
      <c r="W14" s="4"/>
      <c r="X14" s="4"/>
      <c r="Y14" s="4"/>
      <c r="Z14" t="str">
        <f>IFERROR(INDEX(הגדרות!$B$2:$B$17,MATCH(H14,הגדרות!$A$2:$A$17,0)),"")</f>
        <v>שלג</v>
      </c>
      <c r="AA14">
        <f>IFERROR(INDEX(הגדרות!$C$2:$C$17,MATCH(H14,הגדרות!$A$2:$A$17,0)),"")</f>
        <v>0</v>
      </c>
      <c r="AB14" t="str">
        <f>IFERROR(INDEX(הגדרות!$B$2:$B$17,MATCH(I14,הגדרות!$A$2:$A$17,0)),"")</f>
        <v/>
      </c>
      <c r="AC14" t="str">
        <f>IFERROR(INDEX(הגדרות!$C$2:$C$17,MATCH(I14,הגדרות!$A$2:$A$17,0)),"")</f>
        <v/>
      </c>
      <c r="AD14" t="e">
        <f>IF(AND(מלאי!D101&lt;&gt;"",OR(#REF!="הכל",מלאי!Z101=#REF!,מלאי!AA101=#REF!,מלאי!AB101=#REF!,מלאי!AC101=#REF!),OR(#REF!="הכל",מלאי!A101=#REF!),OR(#REF!="הכל",מלאי!B101=#REF!),OR(#REF!="הכל",מלאי!F101=#REF!,מלאי!G101=#REF!),OR(#REF!="הכל",מלאי!T101=#REF!),OR(#REF!="הכל",מלאי!Q101=#REF!),OR(#REF!="הכל",מלאי!J101=#REF!),OR(#REF!="הכל",מלאי!L101=#REF!),OR(#REF!="הכל",מלאי!O101=#REF!),OR(#REF!="הכל",מלאי!R101=#REF!),OR(#REF!="הכל",#REF!="",מלאי!W101=#REF!),OR(#REF!="הכל",#REF!="",ISNUMBER(SEARCH(#REF!,מלאי!C101)))),1,0)</f>
        <v>#REF!</v>
      </c>
      <c r="AE14" t="e">
        <f>IF(AND(מלאי!D101&lt;&gt;"",OR(#REF!="הכל",מלאי!Z101=#REF!,מלאי!AA101=#REF!,מלאי!AB101=#REF!,מלאי!AC101=#REF!),OR(#REF!="הכל",מלאי!A101=#REF!),OR(#REF!="הכל",מלאי!B101=#REF!),OR(#REF!="הכל",מלאי!F101=#REF!,מלאי!G101=#REF!),OR(#REF!="הכל",מלאי!T101=#REF!),OR(#REF!="הכל",מלאי!Q101=#REF!),OR(#REF!="הכל",מלאי!J101=#REF!),OR(#REF!="הכל",מלאי!L101=#REF!),OR(#REF!="הכל",מלאי!O101=#REF!),OR(#REF!="הכל",מלאי!R101=#REF!),OR(#REF!="הכל",#REF!="",מלאי!W101=#REF!),OR(#REF!="הכל",#REF!="",ISNUMBER(SEARCH(#REF!,מלאי!C101))),OR(#REF!="הכל",מלאי!#REF!=#REF!)),1,0)</f>
        <v>#REF!</v>
      </c>
      <c r="AF14" t="e">
        <f>IF(AD14=1,COUNTIF($AD$3:$AD14,1),"")</f>
        <v>#REF!</v>
      </c>
      <c r="AG14" t="e">
        <f>IF(AE14=1,COUNTIF($AE$3:$AE14,1),"")</f>
        <v>#REF!</v>
      </c>
    </row>
    <row r="15" spans="1:33" ht="15" hidden="1" customHeight="1" x14ac:dyDescent="0.35">
      <c r="A15" s="4" t="s">
        <v>34</v>
      </c>
      <c r="B15" s="5" t="s">
        <v>169</v>
      </c>
      <c r="C15" s="12" t="s">
        <v>36</v>
      </c>
      <c r="D15" s="29" t="s">
        <v>325</v>
      </c>
      <c r="E15" s="5" t="str">
        <f>IFERROR(INDEX(הגדרות!$I$2:$I$47,MATCH(B15,הגדרות!$H$2:$H$47,0)),"")</f>
        <v>7052-00</v>
      </c>
      <c r="F15" s="5" t="s">
        <v>51</v>
      </c>
      <c r="G15" s="5"/>
      <c r="H15" s="5" t="s">
        <v>162</v>
      </c>
      <c r="I15" s="5"/>
      <c r="J15" s="5" t="s">
        <v>40</v>
      </c>
      <c r="K15" s="5" t="s">
        <v>40</v>
      </c>
      <c r="L15" s="5" t="s">
        <v>40</v>
      </c>
      <c r="M15" s="5" t="s">
        <v>40</v>
      </c>
      <c r="N15" s="5" t="s">
        <v>2</v>
      </c>
      <c r="O15" s="5"/>
      <c r="P15" s="12" t="s">
        <v>316</v>
      </c>
      <c r="Q15" s="5"/>
      <c r="R15" s="5"/>
      <c r="S15" s="5"/>
      <c r="T15" s="4" t="s">
        <v>41</v>
      </c>
      <c r="U15" s="5"/>
      <c r="V15" s="5"/>
      <c r="W15" s="5"/>
      <c r="X15" s="5"/>
      <c r="Y15" s="5"/>
      <c r="Z15" t="str">
        <f>IFERROR(INDEX(הגדרות!$B$2:$B$17,MATCH(H15,הגדרות!$A$2:$A$17,0)),"")</f>
        <v>שלג</v>
      </c>
      <c r="AA15">
        <f>IFERROR(INDEX(הגדרות!$C$2:$C$17,MATCH(H15,הגדרות!$A$2:$A$17,0)),"")</f>
        <v>0</v>
      </c>
      <c r="AB15" t="str">
        <f>IFERROR(INDEX(הגדרות!$B$2:$B$17,MATCH(I15,הגדרות!$A$2:$A$17,0)),"")</f>
        <v/>
      </c>
      <c r="AC15" t="str">
        <f>IFERROR(INDEX(הגדרות!$C$2:$C$17,MATCH(I15,הגדרות!$A$2:$A$17,0)),"")</f>
        <v/>
      </c>
      <c r="AD15" t="e">
        <f>IF(AND(מלאי!D102&lt;&gt;"",OR(#REF!="הכל",מלאי!Z102=#REF!,מלאי!AA102=#REF!,מלאי!AB102=#REF!,מלאי!AC102=#REF!),OR(#REF!="הכל",מלאי!A102=#REF!),OR(#REF!="הכל",מלאי!B102=#REF!),OR(#REF!="הכל",מלאי!F102=#REF!,מלאי!G102=#REF!),OR(#REF!="הכל",מלאי!T102=#REF!),OR(#REF!="הכל",מלאי!Q102=#REF!),OR(#REF!="הכל",מלאי!J102=#REF!),OR(#REF!="הכל",מלאי!L102=#REF!),OR(#REF!="הכל",מלאי!O102=#REF!),OR(#REF!="הכל",מלאי!R102=#REF!),OR(#REF!="הכל",#REF!="",מלאי!W102=#REF!),OR(#REF!="הכל",#REF!="",ISNUMBER(SEARCH(#REF!,מלאי!C102)))),1,0)</f>
        <v>#REF!</v>
      </c>
      <c r="AE15" t="e">
        <f>IF(AND(מלאי!D102&lt;&gt;"",OR(#REF!="הכל",מלאי!Z102=#REF!,מלאי!AA102=#REF!,מלאי!AB102=#REF!,מלאי!AC102=#REF!),OR(#REF!="הכל",מלאי!A102=#REF!),OR(#REF!="הכל",מלאי!B102=#REF!),OR(#REF!="הכל",מלאי!F102=#REF!,מלאי!G102=#REF!),OR(#REF!="הכל",מלאי!T102=#REF!),OR(#REF!="הכל",מלאי!Q102=#REF!),OR(#REF!="הכל",מלאי!J102=#REF!),OR(#REF!="הכל",מלאי!L102=#REF!),OR(#REF!="הכל",מלאי!O102=#REF!),OR(#REF!="הכל",מלאי!R102=#REF!),OR(#REF!="הכל",#REF!="",מלאי!W102=#REF!),OR(#REF!="הכל",#REF!="",ISNUMBER(SEARCH(#REF!,מלאי!C102))),OR(#REF!="הכל",מלאי!#REF!=#REF!)),1,0)</f>
        <v>#REF!</v>
      </c>
      <c r="AF15" t="e">
        <f>IF(AD15=1,COUNTIF($AD$3:$AD15,1),"")</f>
        <v>#REF!</v>
      </c>
      <c r="AG15" t="e">
        <f>IF(AE15=1,COUNTIF($AE$3:$AE15,1),"")</f>
        <v>#REF!</v>
      </c>
    </row>
    <row r="16" spans="1:33" ht="23.25" hidden="1" customHeight="1" x14ac:dyDescent="0.35">
      <c r="A16" s="4" t="s">
        <v>34</v>
      </c>
      <c r="B16" s="5" t="s">
        <v>169</v>
      </c>
      <c r="C16" s="12" t="s">
        <v>36</v>
      </c>
      <c r="D16" s="29" t="s">
        <v>328</v>
      </c>
      <c r="E16" s="5" t="str">
        <f>IFERROR(INDEX(הגדרות!$I$2:$I$47,MATCH(B16,הגדרות!$H$2:$H$47,0)),"")</f>
        <v>7052-00</v>
      </c>
      <c r="F16" s="5" t="s">
        <v>51</v>
      </c>
      <c r="G16" s="5"/>
      <c r="H16" s="11" t="s">
        <v>165</v>
      </c>
      <c r="I16" s="5"/>
      <c r="J16" s="5" t="s">
        <v>40</v>
      </c>
      <c r="K16" s="5" t="s">
        <v>40</v>
      </c>
      <c r="L16" s="5" t="s">
        <v>40</v>
      </c>
      <c r="M16" s="5" t="s">
        <v>40</v>
      </c>
      <c r="N16" s="5" t="s">
        <v>2</v>
      </c>
      <c r="O16" s="5"/>
      <c r="P16" s="12" t="s">
        <v>316</v>
      </c>
      <c r="Q16" s="5"/>
      <c r="R16" s="5"/>
      <c r="S16" s="5"/>
      <c r="T16" s="4" t="s">
        <v>41</v>
      </c>
      <c r="U16" s="5"/>
      <c r="V16" s="5"/>
      <c r="W16" s="5"/>
      <c r="X16" s="5"/>
      <c r="Y16" s="5"/>
      <c r="Z16" t="str">
        <f>IFERROR(INDEX(הגדרות!$B$2:$B$17,MATCH(H16,הגדרות!$A$2:$A$17,0)),"")</f>
        <v>שלג</v>
      </c>
      <c r="AA16">
        <f>IFERROR(INDEX(הגדרות!$C$2:$C$17,MATCH(H16,הגדרות!$A$2:$A$17,0)),"")</f>
        <v>0</v>
      </c>
      <c r="AB16" t="str">
        <f>IFERROR(INDEX(הגדרות!$B$2:$B$17,MATCH(I16,הגדרות!$A$2:$A$17,0)),"")</f>
        <v/>
      </c>
      <c r="AC16" t="str">
        <f>IFERROR(INDEX(הגדרות!$C$2:$C$17,MATCH(I16,הגדרות!$A$2:$A$17,0)),"")</f>
        <v/>
      </c>
      <c r="AD16" t="e">
        <f>IF(AND(מלאי!D110&lt;&gt;"",OR(#REF!="הכל",מלאי!Z110=#REF!,מלאי!AA110=#REF!,מלאי!AB110=#REF!,מלאי!AC110=#REF!),OR(#REF!="הכל",מלאי!A110=#REF!),OR(#REF!="הכל",מלאי!B110=#REF!),OR(#REF!="הכל",מלאי!F110=#REF!,מלאי!G110=#REF!),OR(#REF!="הכל",מלאי!T110=#REF!),OR(#REF!="הכל",מלאי!Q110=#REF!),OR(#REF!="הכל",מלאי!J110=#REF!),OR(#REF!="הכל",מלאי!L110=#REF!),OR(#REF!="הכל",מלאי!O110=#REF!),OR(#REF!="הכל",מלאי!R110=#REF!),OR(#REF!="הכל",#REF!="",מלאי!W110=#REF!),OR(#REF!="הכל",#REF!="",ISNUMBER(SEARCH(#REF!,מלאי!C110)))),1,0)</f>
        <v>#REF!</v>
      </c>
      <c r="AE16" t="e">
        <f>IF(AND(מלאי!D110&lt;&gt;"",OR(#REF!="הכל",מלאי!Z110=#REF!,מלאי!AA110=#REF!,מלאי!AB110=#REF!,מלאי!AC110=#REF!),OR(#REF!="הכל",מלאי!A110=#REF!),OR(#REF!="הכל",מלאי!B110=#REF!),OR(#REF!="הכל",מלאי!F110=#REF!,מלאי!G110=#REF!),OR(#REF!="הכל",מלאי!T110=#REF!),OR(#REF!="הכל",מלאי!Q110=#REF!),OR(#REF!="הכל",מלאי!J110=#REF!),OR(#REF!="הכל",מלאי!L110=#REF!),OR(#REF!="הכל",מלאי!O110=#REF!),OR(#REF!="הכל",מלאי!R110=#REF!),OR(#REF!="הכל",#REF!="",מלאי!W110=#REF!),OR(#REF!="הכל",#REF!="",ISNUMBER(SEARCH(#REF!,מלאי!C110))),OR(#REF!="הכל",מלאי!#REF!=#REF!)),1,0)</f>
        <v>#REF!</v>
      </c>
      <c r="AF16" t="e">
        <f>IF(AD16=1,COUNTIF($AD$3:$AD16,1),"")</f>
        <v>#REF!</v>
      </c>
      <c r="AG16" t="e">
        <f>IF(AE16=1,COUNTIF($AE$3:$AE16,1),"")</f>
        <v>#REF!</v>
      </c>
    </row>
    <row r="17" spans="1:33" ht="23.25" hidden="1" customHeight="1" x14ac:dyDescent="0.35">
      <c r="A17" s="17" t="s">
        <v>34</v>
      </c>
      <c r="B17" s="18" t="s">
        <v>169</v>
      </c>
      <c r="C17" s="18" t="s">
        <v>36</v>
      </c>
      <c r="D17" s="29" t="s">
        <v>372</v>
      </c>
      <c r="E17" s="18" t="str">
        <f>IFERROR(INDEX(הגדרות!$I$2:$I$47,MATCH(B17,הגדרות!$H$2:$H$47,0)),"")</f>
        <v>7052-00</v>
      </c>
      <c r="F17" s="17" t="s">
        <v>51</v>
      </c>
      <c r="G17" s="18"/>
      <c r="H17" s="17" t="s">
        <v>162</v>
      </c>
      <c r="I17" s="18"/>
      <c r="J17" s="17" t="s">
        <v>40</v>
      </c>
      <c r="K17" s="17" t="s">
        <v>40</v>
      </c>
      <c r="L17" s="17" t="s">
        <v>40</v>
      </c>
      <c r="M17" s="17" t="s">
        <v>40</v>
      </c>
      <c r="N17" s="17" t="s">
        <v>40</v>
      </c>
      <c r="O17" s="18"/>
      <c r="P17" s="18"/>
      <c r="Q17" s="18"/>
      <c r="R17" s="18"/>
      <c r="S17" s="18"/>
      <c r="T17" s="17" t="s">
        <v>41</v>
      </c>
      <c r="U17" s="18"/>
      <c r="V17" s="18"/>
      <c r="W17" s="18"/>
      <c r="X17" s="18"/>
      <c r="Y17" s="18"/>
      <c r="Z17" t="str">
        <f>IFERROR(INDEX(הגדרות!$B$2:$B$17,MATCH(H17,הגדרות!$A$2:$A$17,0)),"")</f>
        <v>שלג</v>
      </c>
      <c r="AA17">
        <f>IFERROR(INDEX(הגדרות!$C$2:$C$17,MATCH(H17,הגדרות!$A$2:$A$17,0)),"")</f>
        <v>0</v>
      </c>
      <c r="AB17" t="str">
        <f>IFERROR(INDEX(הגדרות!$B$2:$B$17,MATCH(I17,הגדרות!$A$2:$A$17,0)),"")</f>
        <v/>
      </c>
      <c r="AC17" t="str">
        <f>IFERROR(INDEX(הגדרות!$C$2:$C$17,MATCH(I17,הגדרות!$A$2:$A$17,0)),"")</f>
        <v/>
      </c>
      <c r="AD17" t="e">
        <f>IF(AND(מלאי!D150&lt;&gt;"",OR(#REF!="הכל",מלאי!Z150=#REF!,מלאי!AA150=#REF!,מלאי!AB150=#REF!,מלאי!AC150=#REF!),OR(#REF!="הכל",מלאי!A150=#REF!),OR(#REF!="הכל",מלאי!B150=#REF!),OR(#REF!="הכל",מלאי!F150=#REF!,מלאי!G150=#REF!),OR(#REF!="הכל",מלאי!T150=#REF!),OR(#REF!="הכל",מלאי!Q150=#REF!),OR(#REF!="הכל",מלאי!J150=#REF!),OR(#REF!="הכל",מלאי!L150=#REF!),OR(#REF!="הכל",מלאי!O150=#REF!),OR(#REF!="הכל",מלאי!R150=#REF!),OR(#REF!="הכל",#REF!="",מלאי!W150=#REF!),OR(#REF!="הכל",#REF!="",ISNUMBER(SEARCH(#REF!,מלאי!C150)))),1,0)</f>
        <v>#REF!</v>
      </c>
      <c r="AE17" t="e">
        <f>IF(AND(מלאי!D150&lt;&gt;"",OR(#REF!="הכל",מלאי!Z150=#REF!,מלאי!AA150=#REF!,מלאי!AB150=#REF!,מלאי!AC150=#REF!),OR(#REF!="הכל",מלאי!A150=#REF!),OR(#REF!="הכל",מלאי!B150=#REF!),OR(#REF!="הכל",מלאי!F150=#REF!,מלאי!G150=#REF!),OR(#REF!="הכל",מלאי!T150=#REF!),OR(#REF!="הכל",מלאי!Q150=#REF!),OR(#REF!="הכל",מלאי!J150=#REF!),OR(#REF!="הכל",מלאי!L150=#REF!),OR(#REF!="הכל",מלאי!O150=#REF!),OR(#REF!="הכל",מלאי!R150=#REF!),OR(#REF!="הכל",#REF!="",מלאי!W150=#REF!),OR(#REF!="הכל",#REF!="",ISNUMBER(SEARCH(#REF!,מלאי!C150))),OR(#REF!="הכל",מלאי!#REF!=#REF!)),1,0)</f>
        <v>#REF!</v>
      </c>
      <c r="AF17" t="e">
        <f>IF(AD17=1,COUNTIF($AD$3:$AD17,1),"")</f>
        <v>#REF!</v>
      </c>
      <c r="AG17" t="e">
        <f>IF(AE17=1,COUNTIF($AE$3:$AE17,1),"")</f>
        <v>#REF!</v>
      </c>
    </row>
    <row r="18" spans="1:33" ht="23.25" hidden="1" customHeight="1" x14ac:dyDescent="0.35">
      <c r="A18" s="17" t="s">
        <v>34</v>
      </c>
      <c r="B18" s="18" t="s">
        <v>169</v>
      </c>
      <c r="C18" s="18" t="s">
        <v>36</v>
      </c>
      <c r="D18" s="29" t="s">
        <v>371</v>
      </c>
      <c r="E18" s="18" t="str">
        <f>IFERROR(INDEX(הגדרות!$I$2:$I$47,MATCH(B18,הגדרות!$H$2:$H$47,0)),"")</f>
        <v>7052-00</v>
      </c>
      <c r="F18" s="17" t="s">
        <v>51</v>
      </c>
      <c r="G18" s="18"/>
      <c r="H18" s="17" t="s">
        <v>165</v>
      </c>
      <c r="I18" s="18"/>
      <c r="J18" s="17" t="s">
        <v>40</v>
      </c>
      <c r="K18" s="17" t="s">
        <v>40</v>
      </c>
      <c r="L18" s="17" t="s">
        <v>40</v>
      </c>
      <c r="M18" s="17" t="s">
        <v>40</v>
      </c>
      <c r="N18" s="17" t="s">
        <v>40</v>
      </c>
      <c r="O18" s="18"/>
      <c r="P18" s="18"/>
      <c r="Q18" s="18"/>
      <c r="R18" s="18"/>
      <c r="S18" s="18"/>
      <c r="T18" s="17" t="s">
        <v>41</v>
      </c>
      <c r="U18" s="18"/>
      <c r="V18" s="18"/>
      <c r="W18" s="18"/>
      <c r="X18" s="18"/>
      <c r="Y18" s="18"/>
      <c r="Z18" t="str">
        <f>IFERROR(INDEX(הגדרות!$B$2:$B$17,MATCH(H18,הגדרות!$A$2:$A$17,0)),"")</f>
        <v>שלג</v>
      </c>
      <c r="AA18">
        <f>IFERROR(INDEX(הגדרות!$C$2:$C$17,MATCH(H18,הגדרות!$A$2:$A$17,0)),"")</f>
        <v>0</v>
      </c>
      <c r="AB18" t="str">
        <f>IFERROR(INDEX(הגדרות!$B$2:$B$17,MATCH(I18,הגדרות!$A$2:$A$17,0)),"")</f>
        <v/>
      </c>
      <c r="AC18" t="str">
        <f>IFERROR(INDEX(הגדרות!$C$2:$C$17,MATCH(I18,הגדרות!$A$2:$A$17,0)),"")</f>
        <v/>
      </c>
      <c r="AD18" t="e">
        <f>IF(AND(מלאי!D155&lt;&gt;"",OR(#REF!="הכל",מלאי!Z155=#REF!,מלאי!AA155=#REF!,מלאי!AB155=#REF!,מלאי!AC155=#REF!),OR(#REF!="הכל",מלאי!A155=#REF!),OR(#REF!="הכל",מלאי!B155=#REF!),OR(#REF!="הכל",מלאי!F155=#REF!,מלאי!G155=#REF!),OR(#REF!="הכל",מלאי!T155=#REF!),OR(#REF!="הכל",מלאי!Q155=#REF!),OR(#REF!="הכל",מלאי!J155=#REF!),OR(#REF!="הכל",מלאי!L155=#REF!),OR(#REF!="הכל",מלאי!O155=#REF!),OR(#REF!="הכל",מלאי!R155=#REF!),OR(#REF!="הכל",#REF!="",מלאי!W155=#REF!),OR(#REF!="הכל",#REF!="",ISNUMBER(SEARCH(#REF!,מלאי!C155)))),1,0)</f>
        <v>#REF!</v>
      </c>
      <c r="AE18" t="e">
        <f>IF(AND(מלאי!D155&lt;&gt;"",OR(#REF!="הכל",מלאי!Z155=#REF!,מלאי!AA155=#REF!,מלאי!AB155=#REF!,מלאי!AC155=#REF!),OR(#REF!="הכל",מלאי!A155=#REF!),OR(#REF!="הכל",מלאי!B155=#REF!),OR(#REF!="הכל",מלאי!F155=#REF!,מלאי!G155=#REF!),OR(#REF!="הכל",מלאי!T155=#REF!),OR(#REF!="הכל",מלאי!Q155=#REF!),OR(#REF!="הכל",מלאי!J155=#REF!),OR(#REF!="הכל",מלאי!L155=#REF!),OR(#REF!="הכל",מלאי!O155=#REF!),OR(#REF!="הכל",מלאי!R155=#REF!),OR(#REF!="הכל",#REF!="",מלאי!W155=#REF!),OR(#REF!="הכל",#REF!="",ISNUMBER(SEARCH(#REF!,מלאי!C155))),OR(#REF!="הכל",מלאי!#REF!=#REF!)),1,0)</f>
        <v>#REF!</v>
      </c>
      <c r="AF18" t="e">
        <f>IF(AD18=1,COUNTIF($AD$3:$AD18,1),"")</f>
        <v>#REF!</v>
      </c>
      <c r="AG18" t="e">
        <f>IF(AE18=1,COUNTIF($AE$3:$AE18,1),"")</f>
        <v>#REF!</v>
      </c>
    </row>
    <row r="19" spans="1:33" ht="23.25" hidden="1" customHeight="1" x14ac:dyDescent="0.35">
      <c r="A19" s="5" t="s">
        <v>34</v>
      </c>
      <c r="B19" s="29" t="s">
        <v>172</v>
      </c>
      <c r="C19" s="12" t="s">
        <v>36</v>
      </c>
      <c r="D19" s="29" t="s">
        <v>321</v>
      </c>
      <c r="E19" s="5">
        <f>IFERROR(INDEX(הגדרות!$I$2:$I$47,MATCH(B19,הגדרות!$H$2:$H$47,0)),"")</f>
        <v>0</v>
      </c>
      <c r="F19" s="5" t="s">
        <v>51</v>
      </c>
      <c r="G19" s="5"/>
      <c r="H19" s="29" t="s">
        <v>162</v>
      </c>
      <c r="I19" s="5"/>
      <c r="J19" s="5" t="s">
        <v>40</v>
      </c>
      <c r="K19" s="5" t="s">
        <v>40</v>
      </c>
      <c r="L19" s="5" t="s">
        <v>40</v>
      </c>
      <c r="M19" s="5" t="s">
        <v>40</v>
      </c>
      <c r="N19" s="5" t="s">
        <v>2</v>
      </c>
      <c r="O19" s="5"/>
      <c r="P19" s="5"/>
      <c r="Q19" s="5"/>
      <c r="R19" s="5"/>
      <c r="S19" s="5"/>
      <c r="T19" s="4" t="s">
        <v>41</v>
      </c>
      <c r="U19" s="5"/>
      <c r="V19" s="5"/>
      <c r="W19" s="5"/>
      <c r="X19" s="5"/>
      <c r="Y19" s="5"/>
      <c r="Z19" t="str">
        <f>IFERROR(INDEX(הגדרות!$B$2:$B$17,MATCH(H19,הגדרות!$A$2:$A$17,0)),"")</f>
        <v>שלג</v>
      </c>
      <c r="AA19">
        <f>IFERROR(INDEX(הגדרות!$C$2:$C$17,MATCH(H19,הגדרות!$A$2:$A$17,0)),"")</f>
        <v>0</v>
      </c>
      <c r="AB19" t="str">
        <f>IFERROR(INDEX(הגדרות!$B$2:$B$17,MATCH(I19,הגדרות!$A$2:$A$17,0)),"")</f>
        <v/>
      </c>
      <c r="AC19" t="str">
        <f>IFERROR(INDEX(הגדרות!$C$2:$C$17,MATCH(I19,הגדרות!$A$2:$A$17,0)),"")</f>
        <v/>
      </c>
      <c r="AD19" t="e">
        <f>IF(AND(מלאי!#REF!&lt;&gt;"",OR(#REF!="הכל",מלאי!Z93=#REF!,מלאי!AA93=#REF!,מלאי!AB93=#REF!,מלאי!AC93=#REF!),OR(#REF!="הכל",מלאי!A93=#REF!),OR(#REF!="הכל",מלאי!B93=#REF!),OR(#REF!="הכל",מלאי!F93=#REF!,מלאי!G93=#REF!),OR(#REF!="הכל",מלאי!T93=#REF!),OR(#REF!="הכל",מלאי!Q93=#REF!),OR(#REF!="הכל",מלאי!J93=#REF!),OR(#REF!="הכל",מלאי!L93=#REF!),OR(#REF!="הכל",מלאי!O93=#REF!),OR(#REF!="הכל",מלאי!R93=#REF!),OR(#REF!="הכל",#REF!="",מלאי!W93=#REF!),OR(#REF!="הכל",#REF!="",ISNUMBER(SEARCH(#REF!,מלאי!C93)))),1,0)</f>
        <v>#REF!</v>
      </c>
      <c r="AE19" t="e">
        <f>IF(AND(מלאי!#REF!&lt;&gt;"",OR(#REF!="הכל",מלאי!Z93=#REF!,מלאי!AA93=#REF!,מלאי!AB93=#REF!,מלאי!AC93=#REF!),OR(#REF!="הכל",מלאי!A93=#REF!),OR(#REF!="הכל",מלאי!B93=#REF!),OR(#REF!="הכל",מלאי!F93=#REF!,מלאי!G93=#REF!),OR(#REF!="הכל",מלאי!T93=#REF!),OR(#REF!="הכל",מלאי!Q93=#REF!),OR(#REF!="הכל",מלאי!J93=#REF!),OR(#REF!="הכל",מלאי!L93=#REF!),OR(#REF!="הכל",מלאי!O93=#REF!),OR(#REF!="הכל",מלאי!R93=#REF!),OR(#REF!="הכל",#REF!="",מלאי!W93=#REF!),OR(#REF!="הכל",#REF!="",ISNUMBER(SEARCH(#REF!,מלאי!C93))),OR(#REF!="הכל",מלאי!#REF!=#REF!)),1,0)</f>
        <v>#REF!</v>
      </c>
      <c r="AF19" t="e">
        <f>IF(AD19=1,COUNTIF($AD$3:$AD19,1),"")</f>
        <v>#REF!</v>
      </c>
      <c r="AG19" t="e">
        <f>IF(AE19=1,COUNTIF($AE$3:$AE19,1),"")</f>
        <v>#REF!</v>
      </c>
    </row>
    <row r="20" spans="1:33" ht="23.25" hidden="1" customHeight="1" x14ac:dyDescent="0.35">
      <c r="A20" s="4" t="s">
        <v>34</v>
      </c>
      <c r="B20" s="4" t="s">
        <v>172</v>
      </c>
      <c r="C20" s="12" t="s">
        <v>36</v>
      </c>
      <c r="D20" s="29" t="s">
        <v>320</v>
      </c>
      <c r="E20" s="4">
        <f>IFERROR(INDEX(הגדרות!$I$2:$I$47,MATCH(B20,הגדרות!$H$2:$H$47,0)),"")</f>
        <v>0</v>
      </c>
      <c r="F20" s="5" t="s">
        <v>51</v>
      </c>
      <c r="G20" s="4"/>
      <c r="H20" s="5" t="s">
        <v>162</v>
      </c>
      <c r="I20" s="4"/>
      <c r="J20" s="5" t="s">
        <v>40</v>
      </c>
      <c r="K20" s="5" t="s">
        <v>40</v>
      </c>
      <c r="L20" s="5" t="s">
        <v>40</v>
      </c>
      <c r="M20" s="5" t="s">
        <v>40</v>
      </c>
      <c r="N20" s="5" t="s">
        <v>40</v>
      </c>
      <c r="O20" s="4"/>
      <c r="P20" s="4"/>
      <c r="Q20" s="4"/>
      <c r="R20" s="4"/>
      <c r="S20" s="4"/>
      <c r="T20" s="5" t="s">
        <v>41</v>
      </c>
      <c r="U20" s="4"/>
      <c r="V20" s="4"/>
      <c r="W20" s="4"/>
      <c r="X20" s="4"/>
      <c r="Y20" s="4"/>
      <c r="Z20" t="str">
        <f>IFERROR(INDEX(הגדרות!$B$2:$B$17,MATCH(H20,הגדרות!$A$2:$A$17,0)),"")</f>
        <v>שלג</v>
      </c>
      <c r="AA20">
        <f>IFERROR(INDEX(הגדרות!$C$2:$C$17,MATCH(H20,הגדרות!$A$2:$A$17,0)),"")</f>
        <v>0</v>
      </c>
      <c r="AB20" t="str">
        <f>IFERROR(INDEX(הגדרות!$B$2:$B$17,MATCH(I20,הגדרות!$A$2:$A$17,0)),"")</f>
        <v/>
      </c>
      <c r="AC20" t="str">
        <f>IFERROR(INDEX(הגדרות!$C$2:$C$17,MATCH(I20,הגדרות!$A$2:$A$17,0)),"")</f>
        <v/>
      </c>
      <c r="AD20" t="e">
        <f>IF(AND(מלאי!D99&lt;&gt;"",OR(#REF!="הכל",מלאי!Z94=#REF!,מלאי!AA94=#REF!,מלאי!AB94=#REF!,מלאי!AC94=#REF!),OR(#REF!="הכל",מלאי!A94=#REF!),OR(#REF!="הכל",מלאי!B94=#REF!),OR(#REF!="הכל",מלאי!F94=#REF!,מלאי!G94=#REF!),OR(#REF!="הכל",מלאי!T94=#REF!),OR(#REF!="הכל",מלאי!Q94=#REF!),OR(#REF!="הכל",מלאי!J94=#REF!),OR(#REF!="הכל",מלאי!L94=#REF!),OR(#REF!="הכל",מלאי!O94=#REF!),OR(#REF!="הכל",מלאי!R94=#REF!),OR(#REF!="הכל",#REF!="",מלאי!W94=#REF!),OR(#REF!="הכל",#REF!="",ISNUMBER(SEARCH(#REF!,מלאי!C94)))),1,0)</f>
        <v>#REF!</v>
      </c>
      <c r="AE20" t="e">
        <f>IF(AND(מלאי!D99&lt;&gt;"",OR(#REF!="הכל",מלאי!Z94=#REF!,מלאי!AA94=#REF!,מלאי!AB94=#REF!,מלאי!AC94=#REF!),OR(#REF!="הכל",מלאי!A94=#REF!),OR(#REF!="הכל",מלאי!B94=#REF!),OR(#REF!="הכל",מלאי!F94=#REF!,מלאי!G94=#REF!),OR(#REF!="הכל",מלאי!T94=#REF!),OR(#REF!="הכל",מלאי!Q94=#REF!),OR(#REF!="הכל",מלאי!J94=#REF!),OR(#REF!="הכל",מלאי!L94=#REF!),OR(#REF!="הכל",מלאי!O94=#REF!),OR(#REF!="הכל",מלאי!R94=#REF!),OR(#REF!="הכל",#REF!="",מלאי!W94=#REF!),OR(#REF!="הכל",#REF!="",ISNUMBER(SEARCH(#REF!,מלאי!C94))),OR(#REF!="הכל",מלאי!#REF!=#REF!)),1,0)</f>
        <v>#REF!</v>
      </c>
      <c r="AF20" t="e">
        <f>IF(AD20=1,COUNTIF($AD$3:$AD20,1),"")</f>
        <v>#REF!</v>
      </c>
      <c r="AG20" t="e">
        <f>IF(AE20=1,COUNTIF($AE$3:$AE20,1),"")</f>
        <v>#REF!</v>
      </c>
    </row>
    <row r="21" spans="1:33" ht="23.25" hidden="1" customHeight="1" x14ac:dyDescent="0.35">
      <c r="A21" s="5" t="s">
        <v>34</v>
      </c>
      <c r="B21" s="5" t="s">
        <v>172</v>
      </c>
      <c r="C21" s="12" t="s">
        <v>36</v>
      </c>
      <c r="D21" s="29" t="s">
        <v>305</v>
      </c>
      <c r="E21" s="5">
        <f>IFERROR(INDEX(הגדרות!$I$2:$I$47,MATCH(B21,הגדרות!$H$2:$H$47,0)),"")</f>
        <v>0</v>
      </c>
      <c r="F21" s="5" t="s">
        <v>51</v>
      </c>
      <c r="G21" s="5"/>
      <c r="H21" s="5" t="s">
        <v>165</v>
      </c>
      <c r="I21" s="5"/>
      <c r="J21" s="5" t="s">
        <v>40</v>
      </c>
      <c r="K21" s="5" t="s">
        <v>40</v>
      </c>
      <c r="L21" s="5" t="s">
        <v>40</v>
      </c>
      <c r="M21" s="5" t="s">
        <v>40</v>
      </c>
      <c r="N21" s="5" t="s">
        <v>40</v>
      </c>
      <c r="O21" s="5"/>
      <c r="P21" s="5"/>
      <c r="Q21" s="5"/>
      <c r="R21" s="5"/>
      <c r="S21" s="5"/>
      <c r="T21" s="4" t="s">
        <v>41</v>
      </c>
      <c r="U21" s="5"/>
      <c r="V21" s="5"/>
      <c r="W21" s="5"/>
      <c r="X21" s="5"/>
      <c r="Y21" s="5"/>
      <c r="Z21" t="str">
        <f>IFERROR(INDEX(הגדרות!$B$2:$B$17,MATCH(H21,הגדרות!$A$2:$A$17,0)),"")</f>
        <v>שלג</v>
      </c>
      <c r="AA21">
        <f>IFERROR(INDEX(הגדרות!$C$2:$C$17,MATCH(H21,הגדרות!$A$2:$A$17,0)),"")</f>
        <v>0</v>
      </c>
      <c r="AB21" t="str">
        <f>IFERROR(INDEX(הגדרות!$B$2:$B$17,MATCH(I21,הגדרות!$A$2:$A$17,0)),"")</f>
        <v/>
      </c>
      <c r="AC21" t="str">
        <f>IFERROR(INDEX(הגדרות!$C$2:$C$17,MATCH(I21,הגדרות!$A$2:$A$17,0)),"")</f>
        <v/>
      </c>
      <c r="AD21" t="e">
        <f>IF(AND(מלאי!D95&lt;&gt;"",OR(#REF!="הכל",מלאי!Z95=#REF!,מלאי!AA95=#REF!,מלאי!AB95=#REF!,מלאי!AC95=#REF!),OR(#REF!="הכל",מלאי!A95=#REF!),OR(#REF!="הכל",מלאי!B95=#REF!),OR(#REF!="הכל",מלאי!F95=#REF!,מלאי!G95=#REF!),OR(#REF!="הכל",מלאי!T95=#REF!),OR(#REF!="הכל",מלאי!Q95=#REF!),OR(#REF!="הכל",מלאי!J95=#REF!),OR(#REF!="הכל",מלאי!L95=#REF!),OR(#REF!="הכל",מלאי!O95=#REF!),OR(#REF!="הכל",מלאי!R95=#REF!),OR(#REF!="הכל",#REF!="",מלאי!W95=#REF!),OR(#REF!="הכל",#REF!="",ISNUMBER(SEARCH(#REF!,מלאי!C95)))),1,0)</f>
        <v>#REF!</v>
      </c>
      <c r="AE21" t="e">
        <f>IF(AND(מלאי!D95&lt;&gt;"",OR(#REF!="הכל",מלאי!Z95=#REF!,מלאי!AA95=#REF!,מלאי!AB95=#REF!,מלאי!AC95=#REF!),OR(#REF!="הכל",מלאי!A95=#REF!),OR(#REF!="הכל",מלאי!B95=#REF!),OR(#REF!="הכל",מלאי!F95=#REF!,מלאי!G95=#REF!),OR(#REF!="הכל",מלאי!T95=#REF!),OR(#REF!="הכל",מלאי!Q95=#REF!),OR(#REF!="הכל",מלאי!J95=#REF!),OR(#REF!="הכל",מלאי!L95=#REF!),OR(#REF!="הכל",מלאי!O95=#REF!),OR(#REF!="הכל",מלאי!R95=#REF!),OR(#REF!="הכל",#REF!="",מלאי!W95=#REF!),OR(#REF!="הכל",#REF!="",ISNUMBER(SEARCH(#REF!,מלאי!C95))),OR(#REF!="הכל",מלאי!#REF!=#REF!)),1,0)</f>
        <v>#REF!</v>
      </c>
      <c r="AF21" t="e">
        <f>IF(AD21=1,COUNTIF($AD$3:$AD21,1),"")</f>
        <v>#REF!</v>
      </c>
      <c r="AG21" t="e">
        <f>IF(AE21=1,COUNTIF($AE$3:$AE21,1),"")</f>
        <v>#REF!</v>
      </c>
    </row>
    <row r="22" spans="1:33" ht="23.25" hidden="1" customHeight="1" x14ac:dyDescent="0.35">
      <c r="A22" s="5" t="s">
        <v>34</v>
      </c>
      <c r="B22" s="5" t="s">
        <v>172</v>
      </c>
      <c r="C22" s="12" t="s">
        <v>36</v>
      </c>
      <c r="D22" s="29" t="s">
        <v>391</v>
      </c>
      <c r="E22" s="5">
        <f>IFERROR(INDEX(הגדרות!$I$2:$I$47,MATCH(B22,הגדרות!$H$2:$H$47,0)),"")</f>
        <v>0</v>
      </c>
      <c r="F22" s="4" t="s">
        <v>51</v>
      </c>
      <c r="G22" s="5"/>
      <c r="H22" s="5" t="s">
        <v>165</v>
      </c>
      <c r="I22" s="5"/>
      <c r="J22" s="5" t="s">
        <v>40</v>
      </c>
      <c r="K22" s="5" t="s">
        <v>40</v>
      </c>
      <c r="L22" s="5" t="s">
        <v>40</v>
      </c>
      <c r="M22" s="5" t="s">
        <v>40</v>
      </c>
      <c r="N22" s="5" t="s">
        <v>2</v>
      </c>
      <c r="O22" s="5"/>
      <c r="P22" s="12" t="s">
        <v>316</v>
      </c>
      <c r="Q22" s="5"/>
      <c r="R22" s="5"/>
      <c r="S22" s="5"/>
      <c r="T22" s="4" t="s">
        <v>41</v>
      </c>
      <c r="U22" s="5"/>
      <c r="V22" s="5"/>
      <c r="W22" s="5"/>
      <c r="X22" s="5"/>
      <c r="Y22" s="5"/>
      <c r="Z22" t="str">
        <f>IFERROR(INDEX(הגדרות!$B$2:$B$17,MATCH(H22,הגדרות!$A$2:$A$17,0)),"")</f>
        <v>שלג</v>
      </c>
      <c r="AA22">
        <f>IFERROR(INDEX(הגדרות!$C$2:$C$17,MATCH(H22,הגדרות!$A$2:$A$17,0)),"")</f>
        <v>0</v>
      </c>
      <c r="AB22" t="str">
        <f>IFERROR(INDEX(הגדרות!$B$2:$B$17,MATCH(I22,הגדרות!$A$2:$A$17,0)),"")</f>
        <v/>
      </c>
      <c r="AC22" t="str">
        <f>IFERROR(INDEX(הגדרות!$C$2:$C$17,MATCH(I22,הגדרות!$A$2:$A$17,0)),"")</f>
        <v/>
      </c>
      <c r="AD22" t="e">
        <f>IF(AND(מלאי!D108&lt;&gt;"",OR(#REF!="הכל",מלאי!Z108=#REF!,מלאי!AA108=#REF!,מלאי!AB108=#REF!,מלאי!AC108=#REF!),OR(#REF!="הכל",מלאי!A108=#REF!),OR(#REF!="הכל",מלאי!B108=#REF!),OR(#REF!="הכל",מלאי!F108=#REF!,מלאי!G108=#REF!),OR(#REF!="הכל",מלאי!T108=#REF!),OR(#REF!="הכל",מלאי!Q108=#REF!),OR(#REF!="הכל",מלאי!J108=#REF!),OR(#REF!="הכל",מלאי!L108=#REF!),OR(#REF!="הכל",מלאי!O108=#REF!),OR(#REF!="הכל",מלאי!R108=#REF!),OR(#REF!="הכל",#REF!="",מלאי!W108=#REF!),OR(#REF!="הכל",#REF!="",ISNUMBER(SEARCH(#REF!,מלאי!C108)))),1,0)</f>
        <v>#REF!</v>
      </c>
      <c r="AE22" t="e">
        <f>IF(AND(מלאי!D108&lt;&gt;"",OR(#REF!="הכל",מלאי!Z108=#REF!,מלאי!AA108=#REF!,מלאי!AB108=#REF!,מלאי!AC108=#REF!),OR(#REF!="הכל",מלאי!A108=#REF!),OR(#REF!="הכל",מלאי!B108=#REF!),OR(#REF!="הכל",מלאי!F108=#REF!,מלאי!G108=#REF!),OR(#REF!="הכל",מלאי!T108=#REF!),OR(#REF!="הכל",מלאי!Q108=#REF!),OR(#REF!="הכל",מלאי!J108=#REF!),OR(#REF!="הכל",מלאי!L108=#REF!),OR(#REF!="הכל",מלאי!O108=#REF!),OR(#REF!="הכל",מלאי!R108=#REF!),OR(#REF!="הכל",#REF!="",מלאי!W108=#REF!),OR(#REF!="הכל",#REF!="",ISNUMBER(SEARCH(#REF!,מלאי!C108))),OR(#REF!="הכל",מלאי!#REF!=#REF!)),1,0)</f>
        <v>#REF!</v>
      </c>
      <c r="AF22" t="e">
        <f>IF(AD22=1,COUNTIF($AD$3:$AD22,1),"")</f>
        <v>#REF!</v>
      </c>
      <c r="AG22" t="e">
        <f>IF(AE22=1,COUNTIF($AE$3:$AE22,1),"")</f>
        <v>#REF!</v>
      </c>
    </row>
    <row r="23" spans="1:33" ht="23.25" hidden="1" customHeight="1" x14ac:dyDescent="0.35">
      <c r="A23" s="5" t="s">
        <v>34</v>
      </c>
      <c r="B23" s="5" t="s">
        <v>172</v>
      </c>
      <c r="C23" s="12" t="s">
        <v>36</v>
      </c>
      <c r="D23" s="29" t="s">
        <v>329</v>
      </c>
      <c r="E23" s="5">
        <f>IFERROR(INDEX(הגדרות!$I$2:$I$47,MATCH(B23,הגדרות!$H$2:$H$47,0)),"")</f>
        <v>0</v>
      </c>
      <c r="F23" s="4" t="s">
        <v>51</v>
      </c>
      <c r="G23" s="5"/>
      <c r="H23" s="5" t="s">
        <v>165</v>
      </c>
      <c r="I23" s="5"/>
      <c r="J23" s="5" t="s">
        <v>40</v>
      </c>
      <c r="K23" s="5" t="s">
        <v>40</v>
      </c>
      <c r="L23" s="5" t="s">
        <v>40</v>
      </c>
      <c r="M23" s="5" t="s">
        <v>40</v>
      </c>
      <c r="N23" s="5" t="s">
        <v>40</v>
      </c>
      <c r="O23" s="5"/>
      <c r="P23" s="12"/>
      <c r="Q23" s="5"/>
      <c r="R23" s="5"/>
      <c r="S23" s="5"/>
      <c r="T23" s="4" t="s">
        <v>41</v>
      </c>
      <c r="U23" s="5"/>
      <c r="V23" s="5"/>
      <c r="W23" s="5"/>
      <c r="X23" s="5"/>
      <c r="Y23" s="5"/>
      <c r="Z23" t="str">
        <f>IFERROR(INDEX(הגדרות!$B$2:$B$17,MATCH(H23,הגדרות!$A$2:$A$17,0)),"")</f>
        <v>שלג</v>
      </c>
      <c r="AA23">
        <f>IFERROR(INDEX(הגדרות!$C$2:$C$17,MATCH(H23,הגדרות!$A$2:$A$17,0)),"")</f>
        <v>0</v>
      </c>
      <c r="AB23" t="str">
        <f>IFERROR(INDEX(הגדרות!$B$2:$B$17,MATCH(I23,הגדרות!$A$2:$A$17,0)),"")</f>
        <v/>
      </c>
      <c r="AC23" t="str">
        <f>IFERROR(INDEX(הגדרות!$C$2:$C$17,MATCH(I23,הגדרות!$A$2:$A$17,0)),"")</f>
        <v/>
      </c>
      <c r="AD23" t="e">
        <f>IF(AND(מלאי!D111&lt;&gt;"",OR(#REF!="הכל",מלאי!Z111=#REF!,מלאי!AA111=#REF!,מלאי!AB111=#REF!,מלאי!AC111=#REF!),OR(#REF!="הכל",מלאי!A111=#REF!),OR(#REF!="הכל",מלאי!B111=#REF!),OR(#REF!="הכל",מלאי!F111=#REF!,מלאי!G111=#REF!),OR(#REF!="הכל",מלאי!T111=#REF!),OR(#REF!="הכל",מלאי!Q111=#REF!),OR(#REF!="הכל",מלאי!J111=#REF!),OR(#REF!="הכל",מלאי!L111=#REF!),OR(#REF!="הכל",מלאי!O111=#REF!),OR(#REF!="הכל",מלאי!R111=#REF!),OR(#REF!="הכל",#REF!="",מלאי!W111=#REF!),OR(#REF!="הכל",#REF!="",ISNUMBER(SEARCH(#REF!,מלאי!C111)))),1,0)</f>
        <v>#REF!</v>
      </c>
      <c r="AE23" t="e">
        <f>IF(AND(מלאי!D111&lt;&gt;"",OR(#REF!="הכל",מלאי!Z111=#REF!,מלאי!AA111=#REF!,מלאי!AB111=#REF!,מלאי!AC111=#REF!),OR(#REF!="הכל",מלאי!A111=#REF!),OR(#REF!="הכל",מלאי!B111=#REF!),OR(#REF!="הכל",מלאי!F111=#REF!,מלאי!G111=#REF!),OR(#REF!="הכל",מלאי!T111=#REF!),OR(#REF!="הכל",מלאי!Q111=#REF!),OR(#REF!="הכל",מלאי!J111=#REF!),OR(#REF!="הכל",מלאי!L111=#REF!),OR(#REF!="הכל",מלאי!O111=#REF!),OR(#REF!="הכל",מלאי!R111=#REF!),OR(#REF!="הכל",#REF!="",מלאי!W111=#REF!),OR(#REF!="הכל",#REF!="",ISNUMBER(SEARCH(#REF!,מלאי!C111))),OR(#REF!="הכל",מלאי!#REF!=#REF!)),1,0)</f>
        <v>#REF!</v>
      </c>
      <c r="AF23" t="e">
        <f>IF(AD23=1,COUNTIF($AD$3:$AD23,1),"")</f>
        <v>#REF!</v>
      </c>
      <c r="AG23" t="e">
        <f>IF(AE23=1,COUNTIF($AE$3:$AE23,1),"")</f>
        <v>#REF!</v>
      </c>
    </row>
    <row r="24" spans="1:33" ht="15" hidden="1" customHeight="1" x14ac:dyDescent="0.35">
      <c r="A24" s="18" t="s">
        <v>34</v>
      </c>
      <c r="B24" s="18" t="s">
        <v>172</v>
      </c>
      <c r="C24" s="18" t="s">
        <v>36</v>
      </c>
      <c r="D24" s="29" t="s">
        <v>374</v>
      </c>
      <c r="E24" s="18">
        <f>IFERROR(INDEX(הגדרות!$I$2:$I$47,MATCH(B24,הגדרות!$H$2:$H$47,0)),"")</f>
        <v>0</v>
      </c>
      <c r="F24" s="17" t="s">
        <v>51</v>
      </c>
      <c r="G24" s="18"/>
      <c r="H24" s="17" t="s">
        <v>162</v>
      </c>
      <c r="I24" s="18"/>
      <c r="J24" s="17" t="s">
        <v>40</v>
      </c>
      <c r="K24" s="17" t="s">
        <v>40</v>
      </c>
      <c r="L24" s="17" t="s">
        <v>40</v>
      </c>
      <c r="M24" s="17" t="s">
        <v>40</v>
      </c>
      <c r="N24" s="17" t="s">
        <v>40</v>
      </c>
      <c r="O24" s="18"/>
      <c r="P24" s="18"/>
      <c r="Q24" s="18"/>
      <c r="R24" s="18"/>
      <c r="S24" s="18"/>
      <c r="T24" s="17" t="s">
        <v>41</v>
      </c>
      <c r="U24" s="18"/>
      <c r="V24" s="18"/>
      <c r="W24" s="18"/>
      <c r="X24" s="18"/>
      <c r="Y24" s="18"/>
      <c r="Z24" t="str">
        <f>IFERROR(INDEX(הגדרות!$B$2:$B$17,MATCH(H24,הגדרות!$A$2:$A$17,0)),"")</f>
        <v>שלג</v>
      </c>
      <c r="AA24">
        <f>IFERROR(INDEX(הגדרות!$C$2:$C$17,MATCH(H24,הגדרות!$A$2:$A$17,0)),"")</f>
        <v>0</v>
      </c>
      <c r="AB24" t="str">
        <f>IFERROR(INDEX(הגדרות!$B$2:$B$17,MATCH(I24,הגדרות!$A$2:$A$17,0)),"")</f>
        <v/>
      </c>
      <c r="AC24" t="str">
        <f>IFERROR(INDEX(הגדרות!$C$2:$C$17,MATCH(I24,הגדרות!$A$2:$A$17,0)),"")</f>
        <v/>
      </c>
      <c r="AD24" t="e">
        <f>IF(AND(מלאי!D156&lt;&gt;"",OR(#REF!="הכל",מלאי!Z151=#REF!,מלאי!AA151=#REF!,מלאי!AB151=#REF!,מלאי!AC151=#REF!),OR(#REF!="הכל",מלאי!A151=#REF!),OR(#REF!="הכל",מלאי!B151=#REF!),OR(#REF!="הכל",מלאי!F151=#REF!,מלאי!G151=#REF!),OR(#REF!="הכל",מלאי!T151=#REF!),OR(#REF!="הכל",מלאי!Q151=#REF!),OR(#REF!="הכל",מלאי!J151=#REF!),OR(#REF!="הכל",מלאי!L151=#REF!),OR(#REF!="הכל",מלאי!O151=#REF!),OR(#REF!="הכל",מלאי!R151=#REF!),OR(#REF!="הכל",#REF!="",מלאי!W151=#REF!),OR(#REF!="הכל",#REF!="",ISNUMBER(SEARCH(#REF!,מלאי!C151)))),1,0)</f>
        <v>#REF!</v>
      </c>
      <c r="AE24" t="e">
        <f>IF(AND(מלאי!D156&lt;&gt;"",OR(#REF!="הכל",מלאי!Z151=#REF!,מלאי!AA151=#REF!,מלאי!AB151=#REF!,מלאי!AC151=#REF!),OR(#REF!="הכל",מלאי!A151=#REF!),OR(#REF!="הכל",מלאי!B151=#REF!),OR(#REF!="הכל",מלאי!F151=#REF!,מלאי!G151=#REF!),OR(#REF!="הכל",מלאי!T151=#REF!),OR(#REF!="הכל",מלאי!Q151=#REF!),OR(#REF!="הכל",מלאי!J151=#REF!),OR(#REF!="הכל",מלאי!L151=#REF!),OR(#REF!="הכל",מלאי!O151=#REF!),OR(#REF!="הכל",מלאי!R151=#REF!),OR(#REF!="הכל",#REF!="",מלאי!W151=#REF!),OR(#REF!="הכל",#REF!="",ISNUMBER(SEARCH(#REF!,מלאי!C151))),OR(#REF!="הכל",מלאי!#REF!=#REF!)),1,0)</f>
        <v>#REF!</v>
      </c>
      <c r="AF24" t="e">
        <f>IF(AD24=1,COUNTIF($AD$3:$AD24,1),"")</f>
        <v>#REF!</v>
      </c>
      <c r="AG24" t="e">
        <f>IF(AE24=1,COUNTIF($AE$3:$AE24,1),"")</f>
        <v>#REF!</v>
      </c>
    </row>
    <row r="25" spans="1:33" ht="15" hidden="1" customHeight="1" x14ac:dyDescent="0.35">
      <c r="A25" s="18" t="s">
        <v>34</v>
      </c>
      <c r="B25" s="18" t="s">
        <v>172</v>
      </c>
      <c r="C25" s="18" t="s">
        <v>36</v>
      </c>
      <c r="D25" s="29" t="s">
        <v>377</v>
      </c>
      <c r="E25" s="18">
        <f>IFERROR(INDEX(הגדרות!$I$2:$I$47,MATCH(B25,הגדרות!$H$2:$H$47,0)),"")</f>
        <v>0</v>
      </c>
      <c r="F25" s="29" t="s">
        <v>51</v>
      </c>
      <c r="G25" s="18"/>
      <c r="H25" s="17" t="s">
        <v>165</v>
      </c>
      <c r="I25" s="18"/>
      <c r="J25" s="17" t="s">
        <v>40</v>
      </c>
      <c r="K25" s="17" t="s">
        <v>40</v>
      </c>
      <c r="L25" s="17" t="s">
        <v>40</v>
      </c>
      <c r="M25" s="17" t="s">
        <v>40</v>
      </c>
      <c r="N25" s="17" t="s">
        <v>40</v>
      </c>
      <c r="O25" s="18"/>
      <c r="P25" s="18"/>
      <c r="Q25" s="18"/>
      <c r="R25" s="18"/>
      <c r="S25" s="18"/>
      <c r="T25" s="17" t="s">
        <v>41</v>
      </c>
      <c r="U25" s="18"/>
      <c r="V25" s="18"/>
      <c r="W25" s="18"/>
      <c r="X25" s="18"/>
      <c r="Y25" s="18"/>
      <c r="Z25" t="str">
        <f>IFERROR(INDEX(הגדרות!$B$2:$B$17,MATCH(H25,הגדרות!$A$2:$A$17,0)),"")</f>
        <v>שלג</v>
      </c>
      <c r="AA25">
        <f>IFERROR(INDEX(הגדרות!$C$2:$C$17,MATCH(H25,הגדרות!$A$2:$A$17,0)),"")</f>
        <v>0</v>
      </c>
      <c r="AB25" t="str">
        <f>IFERROR(INDEX(הגדרות!$B$2:$B$17,MATCH(I25,הגדרות!$A$2:$A$17,0)),"")</f>
        <v/>
      </c>
      <c r="AC25" t="str">
        <f>IFERROR(INDEX(הגדרות!$C$2:$C$17,MATCH(I25,הגדרות!$A$2:$A$17,0)),"")</f>
        <v/>
      </c>
      <c r="AD25" t="e">
        <f>IF(AND(מלאי!D161&lt;&gt;"",OR(#REF!="הכל",מלאי!Z156=#REF!,מלאי!AA156=#REF!,מלאי!AB156=#REF!,מלאי!AC156=#REF!),OR(#REF!="הכל",מלאי!A156=#REF!),OR(#REF!="הכל",מלאי!B156=#REF!),OR(#REF!="הכל",מלאי!F156=#REF!,מלאי!G156=#REF!),OR(#REF!="הכל",מלאי!T156=#REF!),OR(#REF!="הכל",מלאי!Q156=#REF!),OR(#REF!="הכל",מלאי!J156=#REF!),OR(#REF!="הכל",מלאי!L156=#REF!),OR(#REF!="הכל",מלאי!O156=#REF!),OR(#REF!="הכל",מלאי!R156=#REF!),OR(#REF!="הכל",#REF!="",מלאי!W156=#REF!),OR(#REF!="הכל",#REF!="",ISNUMBER(SEARCH(#REF!,מלאי!C156)))),1,0)</f>
        <v>#REF!</v>
      </c>
      <c r="AE25" t="e">
        <f>IF(AND(מלאי!D161&lt;&gt;"",OR(#REF!="הכל",מלאי!Z156=#REF!,מלאי!AA156=#REF!,מלאי!AB156=#REF!,מלאי!AC156=#REF!),OR(#REF!="הכל",מלאי!A156=#REF!),OR(#REF!="הכל",מלאי!B156=#REF!),OR(#REF!="הכל",מלאי!F156=#REF!,מלאי!G156=#REF!),OR(#REF!="הכל",מלאי!T156=#REF!),OR(#REF!="הכל",מלאי!Q156=#REF!),OR(#REF!="הכל",מלאי!J156=#REF!),OR(#REF!="הכל",מלאי!L156=#REF!),OR(#REF!="הכל",מלאי!O156=#REF!),OR(#REF!="הכל",מלאי!R156=#REF!),OR(#REF!="הכל",#REF!="",מלאי!W156=#REF!),OR(#REF!="הכל",#REF!="",ISNUMBER(SEARCH(#REF!,מלאי!C156))),OR(#REF!="הכל",מלאי!#REF!=#REF!)),1,0)</f>
        <v>#REF!</v>
      </c>
      <c r="AF25" t="e">
        <f>IF(AD25=1,COUNTIF($AD$3:$AD25,1),"")</f>
        <v>#REF!</v>
      </c>
      <c r="AG25" t="e">
        <f>IF(AE25=1,COUNTIF($AE$3:$AE25,1),"")</f>
        <v>#REF!</v>
      </c>
    </row>
    <row r="26" spans="1:33" ht="15" hidden="1" customHeight="1" x14ac:dyDescent="0.35">
      <c r="A26" s="4" t="s">
        <v>86</v>
      </c>
      <c r="B26" s="29" t="s">
        <v>175</v>
      </c>
      <c r="C26" s="12" t="s">
        <v>36</v>
      </c>
      <c r="D26" s="11" t="s">
        <v>312</v>
      </c>
      <c r="E26" s="4">
        <f>IFERROR(INDEX(הגדרות!$I$2:$I$47,MATCH(B26,הגדרות!$H$2:$H$47,0)),"")</f>
        <v>0</v>
      </c>
      <c r="F26" s="4" t="s">
        <v>51</v>
      </c>
      <c r="G26" s="4"/>
      <c r="H26" s="4" t="s">
        <v>165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 t="s">
        <v>41</v>
      </c>
      <c r="U26" s="4"/>
      <c r="V26" s="4"/>
      <c r="W26" s="4"/>
      <c r="X26" s="4"/>
      <c r="Y26" s="4"/>
      <c r="Z26" t="str">
        <f>IFERROR(INDEX(הגדרות!$B$2:$B$17,MATCH(H26,הגדרות!$A$2:$A$17,0)),"")</f>
        <v>שלג</v>
      </c>
      <c r="AA26">
        <f>IFERROR(INDEX(הגדרות!$C$2:$C$17,MATCH(H26,הגדרות!$A$2:$A$17,0)),"")</f>
        <v>0</v>
      </c>
      <c r="AB26" t="str">
        <f>IFERROR(INDEX(הגדרות!$B$2:$B$17,MATCH(I26,הגדרות!$A$2:$A$17,0)),"")</f>
        <v/>
      </c>
      <c r="AC26" t="str">
        <f>IFERROR(INDEX(הגדרות!$C$2:$C$17,MATCH(I26,הגדרות!$A$2:$A$17,0)),"")</f>
        <v/>
      </c>
      <c r="AD26" t="e">
        <f>IF(AND(מלאי!D105&lt;&gt;"",OR(#REF!="הכל",מלאי!Z105=#REF!,מלאי!AA105=#REF!,מלאי!AB105=#REF!,מלאי!AC105=#REF!),OR(#REF!="הכל",מלאי!A105=#REF!),OR(#REF!="הכל",מלאי!B105=#REF!),OR(#REF!="הכל",מלאי!F105=#REF!,מלאי!G105=#REF!),OR(#REF!="הכל",מלאי!T105=#REF!),OR(#REF!="הכל",מלאי!Q105=#REF!),OR(#REF!="הכל",מלאי!J105=#REF!),OR(#REF!="הכל",מלאי!L105=#REF!),OR(#REF!="הכל",מלאי!O105=#REF!),OR(#REF!="הכל",מלאי!R105=#REF!),OR(#REF!="הכל",#REF!="",מלאי!W105=#REF!),OR(#REF!="הכל",#REF!="",ISNUMBER(SEARCH(#REF!,מלאי!C105)))),1,0)</f>
        <v>#REF!</v>
      </c>
      <c r="AE26" t="e">
        <f>IF(AND(מלאי!D105&lt;&gt;"",OR(#REF!="הכל",מלאי!Z105=#REF!,מלאי!AA105=#REF!,מלאי!AB105=#REF!,מלאי!AC105=#REF!),OR(#REF!="הכל",מלאי!A105=#REF!),OR(#REF!="הכל",מלאי!B105=#REF!),OR(#REF!="הכל",מלאי!F105=#REF!,מלאי!G105=#REF!),OR(#REF!="הכל",מלאי!T105=#REF!),OR(#REF!="הכל",מלאי!Q105=#REF!),OR(#REF!="הכל",מלאי!J105=#REF!),OR(#REF!="הכל",מלאי!L105=#REF!),OR(#REF!="הכל",מלאי!O105=#REF!),OR(#REF!="הכל",מלאי!R105=#REF!),OR(#REF!="הכל",#REF!="",מלאי!W105=#REF!),OR(#REF!="הכל",#REF!="",ISNUMBER(SEARCH(#REF!,מלאי!C105))),OR(#REF!="הכל",מלאי!#REF!=#REF!)),1,0)</f>
        <v>#REF!</v>
      </c>
      <c r="AF26" t="e">
        <f>IF(AD26=1,COUNTIF($AD$3:$AD26,1),"")</f>
        <v>#REF!</v>
      </c>
      <c r="AG26" t="e">
        <f>IF(AE26=1,COUNTIF($AE$3:$AE26,1),"")</f>
        <v>#REF!</v>
      </c>
    </row>
    <row r="27" spans="1:33" ht="15" hidden="1" customHeight="1" x14ac:dyDescent="0.35">
      <c r="A27" s="5" t="s">
        <v>159</v>
      </c>
      <c r="B27" s="5" t="s">
        <v>222</v>
      </c>
      <c r="C27" s="5"/>
      <c r="D27" s="5" t="s">
        <v>469</v>
      </c>
      <c r="E27" s="5" t="str">
        <f>IFERROR(INDEX(הגדרות!$I$2:$I$47,MATCH(B27,הגדרות!$H$2:$H$47,0)),"")</f>
        <v>7009-01</v>
      </c>
      <c r="F27" s="5" t="s">
        <v>37</v>
      </c>
      <c r="G27" s="5"/>
      <c r="H27" s="5" t="s">
        <v>39</v>
      </c>
      <c r="I27" s="5"/>
      <c r="J27" s="5" t="s">
        <v>40</v>
      </c>
      <c r="K27" s="5"/>
      <c r="L27" s="5"/>
      <c r="M27" s="5"/>
      <c r="N27" s="5"/>
      <c r="O27" s="5"/>
      <c r="P27" s="5"/>
      <c r="Q27" s="5"/>
      <c r="R27" s="5"/>
      <c r="S27" s="5"/>
      <c r="T27" s="5" t="s">
        <v>41</v>
      </c>
      <c r="U27" s="5"/>
      <c r="V27" s="5"/>
      <c r="W27" s="5"/>
      <c r="X27" s="5"/>
      <c r="Y27" s="5"/>
      <c r="Z27" t="str">
        <f>IFERROR(INDEX(הגדרות!$B$2:$B$17,MATCH(H27,הגדרות!$A$2:$A$17,0)),"")</f>
        <v>מדברי</v>
      </c>
      <c r="AA27">
        <f>IFERROR(INDEX(הגדרות!$C$2:$C$17,MATCH(H27,הגדרות!$A$2:$A$17,0)),"")</f>
        <v>0</v>
      </c>
      <c r="AB27" t="str">
        <f>IFERROR(INDEX(הגדרות!$B$2:$B$17,MATCH(I27,הגדרות!$A$2:$A$17,0)),"")</f>
        <v/>
      </c>
      <c r="AC27" t="str">
        <f>IFERROR(INDEX(הגדרות!$C$2:$C$17,MATCH(I27,הגדרות!$A$2:$A$17,0)),"")</f>
        <v/>
      </c>
      <c r="AD27" t="e">
        <f>IF(AND(מלאי!D182&lt;&gt;"",OR(#REF!="הכל",מלאי!Z182=#REF!,מלאי!AA182=#REF!,מלאי!AB182=#REF!,מלאי!AC182=#REF!),OR(#REF!="הכל",מלאי!A182=#REF!),OR(#REF!="הכל",מלאי!B182=#REF!),OR(#REF!="הכל",מלאי!F182=#REF!,מלאי!G182=#REF!),OR(#REF!="הכל",מלאי!T182=#REF!),OR(#REF!="הכל",מלאי!Q182=#REF!),OR(#REF!="הכל",מלאי!J182=#REF!),OR(#REF!="הכל",מלאי!L182=#REF!),OR(#REF!="הכל",מלאי!O182=#REF!),OR(#REF!="הכל",מלאי!R182=#REF!),OR(#REF!="הכל",#REF!="",מלאי!W182=#REF!),OR(#REF!="הכל",#REF!="",ISNUMBER(SEARCH(#REF!,מלאי!C182)))),1,0)</f>
        <v>#REF!</v>
      </c>
      <c r="AE27" t="e">
        <f>IF(AND(מלאי!D182&lt;&gt;"",OR(#REF!="הכל",מלאי!Z182=#REF!,מלאי!AA182=#REF!,מלאי!AB182=#REF!,מלאי!AC182=#REF!),OR(#REF!="הכל",מלאי!A182=#REF!),OR(#REF!="הכל",מלאי!B182=#REF!),OR(#REF!="הכל",מלאי!F182=#REF!,מלאי!G182=#REF!),OR(#REF!="הכל",מלאי!T182=#REF!),OR(#REF!="הכל",מלאי!Q182=#REF!),OR(#REF!="הכל",מלאי!J182=#REF!),OR(#REF!="הכל",מלאי!L182=#REF!),OR(#REF!="הכל",מלאי!O182=#REF!),OR(#REF!="הכל",מלאי!R182=#REF!),OR(#REF!="הכל",#REF!="",מלאי!W182=#REF!),OR(#REF!="הכל",#REF!="",ISNUMBER(SEARCH(#REF!,מלאי!C182))),OR(#REF!="הכל",מלאי!#REF!=#REF!)),1,0)</f>
        <v>#REF!</v>
      </c>
      <c r="AF27" t="e">
        <f>IF(AD27=1,COUNTIF($AD$3:$AD27,1),"")</f>
        <v>#REF!</v>
      </c>
      <c r="AG27" t="e">
        <f>IF(AE27=1,COUNTIF($AE$3:$AE27,1),"")</f>
        <v>#REF!</v>
      </c>
    </row>
    <row r="28" spans="1:33" ht="15" hidden="1" customHeight="1" x14ac:dyDescent="0.35">
      <c r="A28" s="5" t="s">
        <v>159</v>
      </c>
      <c r="B28" s="5" t="s">
        <v>222</v>
      </c>
      <c r="C28" s="5"/>
      <c r="D28" s="5" t="s">
        <v>470</v>
      </c>
      <c r="E28" s="5" t="str">
        <f>IFERROR(INDEX(הגדרות!$I$2:$I$47,MATCH(B28,הגדרות!$H$2:$H$47,0)),"")</f>
        <v>7009-01</v>
      </c>
      <c r="F28" s="5" t="s">
        <v>37</v>
      </c>
      <c r="G28" s="5"/>
      <c r="H28" s="5" t="s">
        <v>72</v>
      </c>
      <c r="I28" s="5"/>
      <c r="J28" s="5" t="s">
        <v>40</v>
      </c>
      <c r="K28" s="5"/>
      <c r="L28" s="5"/>
      <c r="M28" s="5"/>
      <c r="N28" s="5"/>
      <c r="O28" s="5"/>
      <c r="P28" s="5"/>
      <c r="Q28" s="5"/>
      <c r="R28" s="5"/>
      <c r="S28" s="5"/>
      <c r="T28" s="5" t="s">
        <v>41</v>
      </c>
      <c r="U28" s="5"/>
      <c r="V28" s="5"/>
      <c r="W28" s="5"/>
      <c r="X28" s="5"/>
      <c r="Y28" s="5"/>
      <c r="Z28" t="str">
        <f>IFERROR(INDEX(הגדרות!$B$2:$B$17,MATCH(H28,הגדרות!$A$2:$A$17,0)),"")</f>
        <v>מיוער</v>
      </c>
      <c r="AA28">
        <f>IFERROR(INDEX(הגדרות!$C$2:$C$17,MATCH(H28,הגדרות!$A$2:$A$17,0)),"")</f>
        <v>0</v>
      </c>
      <c r="AB28" t="str">
        <f>IFERROR(INDEX(הגדרות!$B$2:$B$17,MATCH(I28,הגדרות!$A$2:$A$17,0)),"")</f>
        <v/>
      </c>
      <c r="AC28" t="str">
        <f>IFERROR(INDEX(הגדרות!$C$2:$C$17,MATCH(I28,הגדרות!$A$2:$A$17,0)),"")</f>
        <v/>
      </c>
      <c r="AD28" t="e">
        <f>IF(AND(מלאי!D183&lt;&gt;"",OR(#REF!="הכל",מלאי!Z183=#REF!,מלאי!AA183=#REF!,מלאי!AB183=#REF!,מלאי!AC183=#REF!),OR(#REF!="הכל",מלאי!A183=#REF!),OR(#REF!="הכל",מלאי!B183=#REF!),OR(#REF!="הכל",מלאי!F183=#REF!,מלאי!G183=#REF!),OR(#REF!="הכל",מלאי!T183=#REF!),OR(#REF!="הכל",מלאי!Q183=#REF!),OR(#REF!="הכל",מלאי!J183=#REF!),OR(#REF!="הכל",מלאי!L183=#REF!),OR(#REF!="הכל",מלאי!O183=#REF!),OR(#REF!="הכל",מלאי!R183=#REF!),OR(#REF!="הכל",#REF!="",מלאי!W183=#REF!),OR(#REF!="הכל",#REF!="",ISNUMBER(SEARCH(#REF!,מלאי!C183)))),1,0)</f>
        <v>#REF!</v>
      </c>
      <c r="AE28" t="e">
        <f>IF(AND(מלאי!D183&lt;&gt;"",OR(#REF!="הכל",מלאי!Z183=#REF!,מלאי!AA183=#REF!,מלאי!AB183=#REF!,מלאי!AC183=#REF!),OR(#REF!="הכל",מלאי!A183=#REF!),OR(#REF!="הכל",מלאי!B183=#REF!),OR(#REF!="הכל",מלאי!F183=#REF!,מלאי!G183=#REF!),OR(#REF!="הכל",מלאי!T183=#REF!),OR(#REF!="הכל",מלאי!Q183=#REF!),OR(#REF!="הכל",מלאי!J183=#REF!),OR(#REF!="הכל",מלאי!L183=#REF!),OR(#REF!="הכל",מלאי!O183=#REF!),OR(#REF!="הכל",מלאי!R183=#REF!),OR(#REF!="הכל",#REF!="",מלאי!W183=#REF!),OR(#REF!="הכל",#REF!="",ISNUMBER(SEARCH(#REF!,מלאי!C183))),OR(#REF!="הכל",מלאי!#REF!=#REF!)),1,0)</f>
        <v>#REF!</v>
      </c>
      <c r="AF28" t="e">
        <f>IF(AD28=1,COUNTIF($AD$3:$AD28,1),"")</f>
        <v>#REF!</v>
      </c>
      <c r="AG28" t="e">
        <f>IF(AE28=1,COUNTIF($AE$3:$AE28,1),"")</f>
        <v>#REF!</v>
      </c>
    </row>
    <row r="29" spans="1:33" ht="15" hidden="1" customHeight="1" x14ac:dyDescent="0.35">
      <c r="A29" s="5" t="s">
        <v>159</v>
      </c>
      <c r="B29" s="5" t="s">
        <v>222</v>
      </c>
      <c r="C29" s="5"/>
      <c r="D29" s="5" t="s">
        <v>471</v>
      </c>
      <c r="E29" s="5" t="str">
        <f>IFERROR(INDEX(הגדרות!$I$2:$I$47,MATCH(B29,הגדרות!$H$2:$H$47,0)),"")</f>
        <v>7009-01</v>
      </c>
      <c r="F29" s="5" t="s">
        <v>37</v>
      </c>
      <c r="G29" s="5"/>
      <c r="H29" s="5" t="s">
        <v>39</v>
      </c>
      <c r="I29" s="5"/>
      <c r="J29" s="5" t="s">
        <v>40</v>
      </c>
      <c r="K29" s="5"/>
      <c r="L29" s="5"/>
      <c r="M29" s="5"/>
      <c r="N29" s="5"/>
      <c r="O29" s="5"/>
      <c r="P29" s="5"/>
      <c r="Q29" s="5"/>
      <c r="R29" s="5"/>
      <c r="S29" s="5"/>
      <c r="T29" s="5" t="s">
        <v>41</v>
      </c>
      <c r="U29" s="5"/>
      <c r="V29" s="5"/>
      <c r="W29" s="5"/>
      <c r="X29" s="5"/>
      <c r="Y29" s="5"/>
      <c r="Z29" t="str">
        <f>IFERROR(INDEX(הגדרות!$B$2:$B$17,MATCH(H29,הגדרות!$A$2:$A$17,0)),"")</f>
        <v>מדברי</v>
      </c>
      <c r="AA29">
        <f>IFERROR(INDEX(הגדרות!$C$2:$C$17,MATCH(H29,הגדרות!$A$2:$A$17,0)),"")</f>
        <v>0</v>
      </c>
      <c r="AB29" t="str">
        <f>IFERROR(INDEX(הגדרות!$B$2:$B$17,MATCH(I29,הגדרות!$A$2:$A$17,0)),"")</f>
        <v/>
      </c>
      <c r="AC29" t="str">
        <f>IFERROR(INDEX(הגדרות!$C$2:$C$17,MATCH(I29,הגדרות!$A$2:$A$17,0)),"")</f>
        <v/>
      </c>
      <c r="AD29" t="e">
        <f>IF(AND(מלאי!D184&lt;&gt;"",OR(#REF!="הכל",מלאי!Z184=#REF!,מלאי!AA184=#REF!,מלאי!AB184=#REF!,מלאי!AC184=#REF!),OR(#REF!="הכל",מלאי!A184=#REF!),OR(#REF!="הכל",מלאי!B184=#REF!),OR(#REF!="הכל",מלאי!F184=#REF!,מלאי!G184=#REF!),OR(#REF!="הכל",מלאי!T184=#REF!),OR(#REF!="הכל",מלאי!Q184=#REF!),OR(#REF!="הכל",מלאי!J184=#REF!),OR(#REF!="הכל",מלאי!L184=#REF!),OR(#REF!="הכל",מלאי!O184=#REF!),OR(#REF!="הכל",מלאי!R184=#REF!),OR(#REF!="הכל",#REF!="",מלאי!W184=#REF!),OR(#REF!="הכל",#REF!="",ISNUMBER(SEARCH(#REF!,מלאי!C184)))),1,0)</f>
        <v>#REF!</v>
      </c>
      <c r="AE29" t="e">
        <f>IF(AND(מלאי!D184&lt;&gt;"",OR(#REF!="הכל",מלאי!Z184=#REF!,מלאי!AA184=#REF!,מלאי!AB184=#REF!,מלאי!AC184=#REF!),OR(#REF!="הכל",מלאי!A184=#REF!),OR(#REF!="הכל",מלאי!B184=#REF!),OR(#REF!="הכל",מלאי!F184=#REF!,מלאי!G184=#REF!),OR(#REF!="הכל",מלאי!T184=#REF!),OR(#REF!="הכל",מלאי!Q184=#REF!),OR(#REF!="הכל",מלאי!J184=#REF!),OR(#REF!="הכל",מלאי!L184=#REF!),OR(#REF!="הכל",מלאי!O184=#REF!),OR(#REF!="הכל",מלאי!R184=#REF!),OR(#REF!="הכל",#REF!="",מלאי!W184=#REF!),OR(#REF!="הכל",#REF!="",ISNUMBER(SEARCH(#REF!,מלאי!C184))),OR(#REF!="הכל",מלאי!#REF!=#REF!)),1,0)</f>
        <v>#REF!</v>
      </c>
      <c r="AF29" t="e">
        <f>IF(AD29=1,COUNTIF($AD$3:$AD29,1),"")</f>
        <v>#REF!</v>
      </c>
      <c r="AG29" t="e">
        <f>IF(AE29=1,COUNTIF($AE$3:$AE29,1),"")</f>
        <v>#REF!</v>
      </c>
    </row>
    <row r="30" spans="1:33" ht="15" hidden="1" customHeight="1" x14ac:dyDescent="0.35">
      <c r="A30" s="5" t="s">
        <v>159</v>
      </c>
      <c r="B30" s="5" t="s">
        <v>222</v>
      </c>
      <c r="C30" s="5"/>
      <c r="D30" s="5" t="s">
        <v>472</v>
      </c>
      <c r="E30" s="5" t="str">
        <f>IFERROR(INDEX(הגדרות!$I$2:$I$47,MATCH(B30,הגדרות!$H$2:$H$47,0)),"")</f>
        <v>7009-01</v>
      </c>
      <c r="F30" s="5" t="s">
        <v>37</v>
      </c>
      <c r="G30" s="5"/>
      <c r="H30" s="5" t="s">
        <v>72</v>
      </c>
      <c r="I30" s="5"/>
      <c r="J30" s="5" t="s">
        <v>40</v>
      </c>
      <c r="K30" s="5"/>
      <c r="L30" s="5"/>
      <c r="M30" s="5"/>
      <c r="N30" s="5"/>
      <c r="O30" s="5"/>
      <c r="P30" s="5"/>
      <c r="Q30" s="5"/>
      <c r="R30" s="5"/>
      <c r="S30" s="5"/>
      <c r="T30" s="5" t="s">
        <v>41</v>
      </c>
      <c r="U30" s="5"/>
      <c r="V30" s="5"/>
      <c r="W30" s="5"/>
      <c r="X30" s="5"/>
      <c r="Y30" s="5"/>
      <c r="Z30" t="str">
        <f>IFERROR(INDEX(הגדרות!$B$2:$B$17,MATCH(H30,הגדרות!$A$2:$A$17,0)),"")</f>
        <v>מיוער</v>
      </c>
      <c r="AA30">
        <f>IFERROR(INDEX(הגדרות!$C$2:$C$17,MATCH(H30,הגדרות!$A$2:$A$17,0)),"")</f>
        <v>0</v>
      </c>
      <c r="AB30" t="str">
        <f>IFERROR(INDEX(הגדרות!$B$2:$B$17,MATCH(I30,הגדרות!$A$2:$A$17,0)),"")</f>
        <v/>
      </c>
      <c r="AC30" t="str">
        <f>IFERROR(INDEX(הגדרות!$C$2:$C$17,MATCH(I30,הגדרות!$A$2:$A$17,0)),"")</f>
        <v/>
      </c>
      <c r="AD30" t="e">
        <f>IF(AND(מלאי!D185&lt;&gt;"",OR(#REF!="הכל",מלאי!Z185=#REF!,מלאי!AA185=#REF!,מלאי!AB185=#REF!,מלאי!AC185=#REF!),OR(#REF!="הכל",מלאי!A185=#REF!),OR(#REF!="הכל",מלאי!B185=#REF!),OR(#REF!="הכל",מלאי!F185=#REF!,מלאי!G185=#REF!),OR(#REF!="הכל",מלאי!T185=#REF!),OR(#REF!="הכל",מלאי!Q185=#REF!),OR(#REF!="הכל",מלאי!J185=#REF!),OR(#REF!="הכל",מלאי!L185=#REF!),OR(#REF!="הכל",מלאי!O185=#REF!),OR(#REF!="הכל",מלאי!R185=#REF!),OR(#REF!="הכל",#REF!="",מלאי!W185=#REF!),OR(#REF!="הכל",#REF!="",ISNUMBER(SEARCH(#REF!,מלאי!C185)))),1,0)</f>
        <v>#REF!</v>
      </c>
      <c r="AE30" t="e">
        <f>IF(AND(מלאי!D185&lt;&gt;"",OR(#REF!="הכל",מלאי!Z185=#REF!,מלאי!AA185=#REF!,מלאי!AB185=#REF!,מלאי!AC185=#REF!),OR(#REF!="הכל",מלאי!A185=#REF!),OR(#REF!="הכל",מלאי!B185=#REF!),OR(#REF!="הכל",מלאי!F185=#REF!,מלאי!G185=#REF!),OR(#REF!="הכל",מלאי!T185=#REF!),OR(#REF!="הכל",מלאי!Q185=#REF!),OR(#REF!="הכל",מלאי!J185=#REF!),OR(#REF!="הכל",מלאי!L185=#REF!),OR(#REF!="הכל",מלאי!O185=#REF!),OR(#REF!="הכל",מלאי!R185=#REF!),OR(#REF!="הכל",#REF!="",מלאי!W185=#REF!),OR(#REF!="הכל",#REF!="",ISNUMBER(SEARCH(#REF!,מלאי!C185))),OR(#REF!="הכל",מלאי!#REF!=#REF!)),1,0)</f>
        <v>#REF!</v>
      </c>
      <c r="AF30" t="e">
        <f>IF(AD30=1,COUNTIF($AD$3:$AD30,1),"")</f>
        <v>#REF!</v>
      </c>
      <c r="AG30" t="e">
        <f>IF(AE30=1,COUNTIF($AE$3:$AE30,1),"")</f>
        <v>#REF!</v>
      </c>
    </row>
    <row r="31" spans="1:33" ht="15" customHeight="1" x14ac:dyDescent="0.35">
      <c r="A31" s="4" t="s">
        <v>144</v>
      </c>
      <c r="B31" s="4" t="s">
        <v>192</v>
      </c>
      <c r="C31" s="4"/>
      <c r="D31" s="4" t="s">
        <v>415</v>
      </c>
      <c r="E31" s="4" t="str">
        <f>IFERROR(INDEX(הגדרות!$I$2:$I$47,MATCH(B31,הגדרות!$H$2:$H$47,0)),"")</f>
        <v>8006-00</v>
      </c>
      <c r="F31" s="4" t="s">
        <v>311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t="str">
        <f>IFERROR(INDEX(הגדרות!$B$2:$B$17,MATCH(H31,הגדרות!$A$2:$A$17,0)),"")</f>
        <v/>
      </c>
      <c r="AA31" t="str">
        <f>IFERROR(INDEX(הגדרות!$C$2:$C$17,MATCH(H31,הגדרות!$A$2:$A$17,0)),"")</f>
        <v/>
      </c>
      <c r="AB31" t="str">
        <f>IFERROR(INDEX(הגדרות!$B$2:$B$17,MATCH(I31,הגדרות!$A$2:$A$17,0)),"")</f>
        <v/>
      </c>
      <c r="AC31" t="str">
        <f>IFERROR(INDEX(הגדרות!$C$2:$C$17,MATCH(I31,הגדרות!$A$2:$A$17,0)),"")</f>
        <v/>
      </c>
      <c r="AD31" t="e">
        <f>IF(AND(מלאי!D165&lt;&gt;"",OR(#REF!="הכל",מלאי!Z165=#REF!,מלאי!AA165=#REF!,מלאי!AB165=#REF!,מלאי!AC165=#REF!),OR(#REF!="הכל",מלאי!A165=#REF!),OR(#REF!="הכל",מלאי!B165=#REF!),OR(#REF!="הכל",מלאי!F165=#REF!,מלאי!G165=#REF!),OR(#REF!="הכל",מלאי!T165=#REF!),OR(#REF!="הכל",מלאי!Q165=#REF!),OR(#REF!="הכל",מלאי!J165=#REF!),OR(#REF!="הכל",מלאי!L165=#REF!),OR(#REF!="הכל",מלאי!O165=#REF!),OR(#REF!="הכל",מלאי!R165=#REF!),OR(#REF!="הכל",#REF!="",מלאי!W165=#REF!),OR(#REF!="הכל",#REF!="",ISNUMBER(SEARCH(#REF!,מלאי!C165)))),1,0)</f>
        <v>#REF!</v>
      </c>
      <c r="AE31" t="e">
        <f>IF(AND(מלאי!D165&lt;&gt;"",OR(#REF!="הכל",מלאי!Z165=#REF!,מלאי!AA165=#REF!,מלאי!AB165=#REF!,מלאי!AC165=#REF!),OR(#REF!="הכל",מלאי!A165=#REF!),OR(#REF!="הכל",מלאי!B165=#REF!),OR(#REF!="הכל",מלאי!F165=#REF!,מלאי!G165=#REF!),OR(#REF!="הכל",מלאי!T165=#REF!),OR(#REF!="הכל",מלאי!Q165=#REF!),OR(#REF!="הכל",מלאי!J165=#REF!),OR(#REF!="הכל",מלאי!L165=#REF!),OR(#REF!="הכל",מלאי!O165=#REF!),OR(#REF!="הכל",מלאי!R165=#REF!),OR(#REF!="הכל",#REF!="",מלאי!W165=#REF!),OR(#REF!="הכל",#REF!="",ISNUMBER(SEARCH(#REF!,מלאי!C165))),OR(#REF!="הכל",מלאי!#REF!=#REF!)),1,0)</f>
        <v>#REF!</v>
      </c>
      <c r="AF31" t="e">
        <f>IF(AD31=1,COUNTIF($AD$3:$AD31,1),"")</f>
        <v>#REF!</v>
      </c>
      <c r="AG31" t="e">
        <f>IF(AE31=1,COUNTIF($AE$3:$AE31,1),"")</f>
        <v>#REF!</v>
      </c>
    </row>
    <row r="32" spans="1:33" ht="23.25" customHeight="1" x14ac:dyDescent="0.35">
      <c r="A32" s="5" t="s">
        <v>144</v>
      </c>
      <c r="B32" s="5" t="s">
        <v>192</v>
      </c>
      <c r="C32" s="5"/>
      <c r="D32" s="5" t="s">
        <v>467</v>
      </c>
      <c r="E32" s="5" t="str">
        <f>IFERROR(INDEX(הגדרות!$I$2:$I$47,MATCH(B32,הגדרות!$H$2:$H$47,0)),"")</f>
        <v>8006-00</v>
      </c>
      <c r="F32" s="5" t="s">
        <v>311</v>
      </c>
      <c r="G32" s="5"/>
      <c r="H32" s="5" t="s">
        <v>64</v>
      </c>
      <c r="I32" s="5"/>
      <c r="J32" s="5" t="s">
        <v>40</v>
      </c>
      <c r="K32" s="5"/>
      <c r="L32" s="5"/>
      <c r="M32" s="5"/>
      <c r="N32" s="5"/>
      <c r="O32" s="5"/>
      <c r="P32" s="5"/>
      <c r="Q32" s="5"/>
      <c r="R32" s="5"/>
      <c r="S32" s="5"/>
      <c r="T32" s="5" t="s">
        <v>41</v>
      </c>
      <c r="U32" s="5"/>
      <c r="V32" s="5"/>
      <c r="W32" s="5"/>
      <c r="X32" s="5"/>
      <c r="Y32" s="5"/>
      <c r="Z32" t="str">
        <f>IFERROR(INDEX(הגדרות!$B$2:$B$17,MATCH(H32,הגדרות!$A$2:$A$17,0)),"")</f>
        <v>ימי</v>
      </c>
      <c r="AA32">
        <f>IFERROR(INDEX(הגדרות!$C$2:$C$17,MATCH(H32,הגדרות!$A$2:$A$17,0)),"")</f>
        <v>0</v>
      </c>
      <c r="AB32" t="str">
        <f>IFERROR(INDEX(הגדרות!$B$2:$B$17,MATCH(I32,הגדרות!$A$2:$A$17,0)),"")</f>
        <v/>
      </c>
      <c r="AC32" t="str">
        <f>IFERROR(INDEX(הגדרות!$C$2:$C$17,MATCH(I32,הגדרות!$A$2:$A$17,0)),"")</f>
        <v/>
      </c>
      <c r="AD32" t="e">
        <f>IF(AND(מלאי!D180&lt;&gt;"",OR(#REF!="הכל",מלאי!Z180=#REF!,מלאי!AA180=#REF!,מלאי!AB180=#REF!,מלאי!AC180=#REF!),OR(#REF!="הכל",מלאי!A180=#REF!),OR(#REF!="הכל",מלאי!B180=#REF!),OR(#REF!="הכל",מלאי!F180=#REF!,מלאי!G180=#REF!),OR(#REF!="הכל",מלאי!T180=#REF!),OR(#REF!="הכל",מלאי!Q180=#REF!),OR(#REF!="הכל",מלאי!J180=#REF!),OR(#REF!="הכל",מלאי!L180=#REF!),OR(#REF!="הכל",מלאי!O180=#REF!),OR(#REF!="הכל",מלאי!R180=#REF!),OR(#REF!="הכל",#REF!="",מלאי!W180=#REF!),OR(#REF!="הכל",#REF!="",ISNUMBER(SEARCH(#REF!,מלאי!C180)))),1,0)</f>
        <v>#REF!</v>
      </c>
      <c r="AE32" t="e">
        <f>IF(AND(מלאי!D180&lt;&gt;"",OR(#REF!="הכל",מלאי!Z180=#REF!,מלאי!AA180=#REF!,מלאי!AB180=#REF!,מלאי!AC180=#REF!),OR(#REF!="הכל",מלאי!A180=#REF!),OR(#REF!="הכל",מלאי!B180=#REF!),OR(#REF!="הכל",מלאי!F180=#REF!,מלאי!G180=#REF!),OR(#REF!="הכל",מלאי!T180=#REF!),OR(#REF!="הכל",מלאי!Q180=#REF!),OR(#REF!="הכל",מלאי!J180=#REF!),OR(#REF!="הכל",מלאי!L180=#REF!),OR(#REF!="הכל",מלאי!O180=#REF!),OR(#REF!="הכל",מלאי!R180=#REF!),OR(#REF!="הכל",#REF!="",מלאי!W180=#REF!),OR(#REF!="הכל",#REF!="",ISNUMBER(SEARCH(#REF!,מלאי!C180))),OR(#REF!="הכל",מלאי!#REF!=#REF!)),1,0)</f>
        <v>#REF!</v>
      </c>
      <c r="AF32" t="e">
        <f>IF(AD32=1,COUNTIF($AD$3:$AD32,1),"")</f>
        <v>#REF!</v>
      </c>
      <c r="AG32" t="e">
        <f>IF(AE32=1,COUNTIF($AE$3:$AE32,1),"")</f>
        <v>#REF!</v>
      </c>
    </row>
    <row r="33" spans="1:33" ht="15" customHeight="1" x14ac:dyDescent="0.35">
      <c r="A33" s="5" t="s">
        <v>144</v>
      </c>
      <c r="B33" s="5" t="s">
        <v>192</v>
      </c>
      <c r="C33" s="5"/>
      <c r="D33" s="5" t="s">
        <v>468</v>
      </c>
      <c r="E33" s="5" t="str">
        <f>IFERROR(INDEX(הגדרות!$I$2:$I$47,MATCH(B33,הגדרות!$H$2:$H$47,0)),"")</f>
        <v>8006-00</v>
      </c>
      <c r="F33" s="5" t="s">
        <v>311</v>
      </c>
      <c r="G33" s="5"/>
      <c r="H33" s="5" t="s">
        <v>64</v>
      </c>
      <c r="I33" s="5"/>
      <c r="J33" s="5" t="s">
        <v>40</v>
      </c>
      <c r="K33" s="5"/>
      <c r="L33" s="5" t="s">
        <v>2</v>
      </c>
      <c r="M33" s="5"/>
      <c r="N33" s="5"/>
      <c r="O33" s="5"/>
      <c r="P33" s="5"/>
      <c r="Q33" s="5"/>
      <c r="R33" s="5"/>
      <c r="S33" s="5"/>
      <c r="T33" s="5" t="s">
        <v>41</v>
      </c>
      <c r="U33" s="5"/>
      <c r="V33" s="5"/>
      <c r="W33" s="5"/>
      <c r="X33" s="5"/>
      <c r="Y33" s="5"/>
      <c r="Z33" t="str">
        <f>IFERROR(INDEX(הגדרות!$B$2:$B$17,MATCH(H33,הגדרות!$A$2:$A$17,0)),"")</f>
        <v>ימי</v>
      </c>
      <c r="AA33">
        <f>IFERROR(INDEX(הגדרות!$C$2:$C$17,MATCH(H33,הגדרות!$A$2:$A$17,0)),"")</f>
        <v>0</v>
      </c>
      <c r="AB33" t="str">
        <f>IFERROR(INDEX(הגדרות!$B$2:$B$17,MATCH(I33,הגדרות!$A$2:$A$17,0)),"")</f>
        <v/>
      </c>
      <c r="AC33" t="str">
        <f>IFERROR(INDEX(הגדרות!$C$2:$C$17,MATCH(I33,הגדרות!$A$2:$A$17,0)),"")</f>
        <v/>
      </c>
      <c r="AD33" t="e">
        <f>IF(AND(מלאי!D181&lt;&gt;"",OR(#REF!="הכל",מלאי!Z181=#REF!,מלאי!AA181=#REF!,מלאי!AB181=#REF!,מלאי!AC181=#REF!),OR(#REF!="הכל",מלאי!A181=#REF!),OR(#REF!="הכל",מלאי!B181=#REF!),OR(#REF!="הכל",מלאי!F181=#REF!,מלאי!G181=#REF!),OR(#REF!="הכל",מלאי!T181=#REF!),OR(#REF!="הכל",מלאי!Q181=#REF!),OR(#REF!="הכל",מלאי!J181=#REF!),OR(#REF!="הכל",מלאי!L181=#REF!),OR(#REF!="הכל",מלאי!O181=#REF!),OR(#REF!="הכל",מלאי!R181=#REF!),OR(#REF!="הכל",#REF!="",מלאי!W181=#REF!),OR(#REF!="הכל",#REF!="",ISNUMBER(SEARCH(#REF!,מלאי!C181)))),1,0)</f>
        <v>#REF!</v>
      </c>
      <c r="AE33" t="e">
        <f>IF(AND(מלאי!D181&lt;&gt;"",OR(#REF!="הכל",מלאי!Z181=#REF!,מלאי!AA181=#REF!,מלאי!AB181=#REF!,מלאי!AC181=#REF!),OR(#REF!="הכל",מלאי!A181=#REF!),OR(#REF!="הכל",מלאי!B181=#REF!),OR(#REF!="הכל",מלאי!F181=#REF!,מלאי!G181=#REF!),OR(#REF!="הכל",מלאי!T181=#REF!),OR(#REF!="הכל",מלאי!Q181=#REF!),OR(#REF!="הכל",מלאי!J181=#REF!),OR(#REF!="הכל",מלאי!L181=#REF!),OR(#REF!="הכל",מלאי!O181=#REF!),OR(#REF!="הכל",מלאי!R181=#REF!),OR(#REF!="הכל",#REF!="",מלאי!W181=#REF!),OR(#REF!="הכל",#REF!="",ISNUMBER(SEARCH(#REF!,מלאי!C181))),OR(#REF!="הכל",מלאי!#REF!=#REF!)),1,0)</f>
        <v>#REF!</v>
      </c>
      <c r="AF33" t="e">
        <f>IF(AD33=1,COUNTIF($AD$3:$AD33,1),"")</f>
        <v>#REF!</v>
      </c>
      <c r="AG33" t="e">
        <f>IF(AE33=1,COUNTIF($AE$3:$AE33,1),"")</f>
        <v>#REF!</v>
      </c>
    </row>
    <row r="34" spans="1:33" ht="23.25" customHeight="1" x14ac:dyDescent="0.35">
      <c r="A34" s="5" t="s">
        <v>144</v>
      </c>
      <c r="B34" s="5" t="s">
        <v>192</v>
      </c>
      <c r="C34" s="5"/>
      <c r="D34" s="5" t="s">
        <v>477</v>
      </c>
      <c r="E34" s="5" t="str">
        <f>IFERROR(INDEX(הגדרות!$I$2:$I$47,MATCH(B34,הגדרות!$H$2:$H$47,0)),"")</f>
        <v>8006-00</v>
      </c>
      <c r="F34" s="5" t="s">
        <v>311</v>
      </c>
      <c r="G34" s="5"/>
      <c r="H34" s="5" t="s">
        <v>165</v>
      </c>
      <c r="I34" s="5"/>
      <c r="J34" s="5" t="s">
        <v>40</v>
      </c>
      <c r="K34" s="5"/>
      <c r="L34" s="5"/>
      <c r="M34" s="5"/>
      <c r="N34" s="5"/>
      <c r="O34" s="5"/>
      <c r="P34" s="5"/>
      <c r="Q34" s="5"/>
      <c r="R34" s="5"/>
      <c r="S34" s="5"/>
      <c r="T34" s="5" t="s">
        <v>41</v>
      </c>
      <c r="U34" s="5"/>
      <c r="V34" s="5"/>
      <c r="W34" s="5"/>
      <c r="X34" s="5"/>
      <c r="Y34" s="5"/>
      <c r="Z34" t="str">
        <f>IFERROR(INDEX(הגדרות!$B$2:$B$17,MATCH(H34,הגדרות!$A$2:$A$17,0)),"")</f>
        <v>שלג</v>
      </c>
      <c r="AA34">
        <f>IFERROR(INDEX(הגדרות!$C$2:$C$17,MATCH(H34,הגדרות!$A$2:$A$17,0)),"")</f>
        <v>0</v>
      </c>
      <c r="AB34" t="str">
        <f>IFERROR(INDEX(הגדרות!$B$2:$B$17,MATCH(I34,הגדרות!$A$2:$A$17,0)),"")</f>
        <v/>
      </c>
      <c r="AC34" t="str">
        <f>IFERROR(INDEX(הגדרות!$C$2:$C$17,MATCH(I34,הגדרות!$A$2:$A$17,0)),"")</f>
        <v/>
      </c>
      <c r="AD34" t="e">
        <f>IF(AND(מלאי!D189&lt;&gt;"",OR(#REF!="הכל",מלאי!Z189=#REF!,מלאי!AA189=#REF!,מלאי!AB189=#REF!,מלאי!AC189=#REF!),OR(#REF!="הכל",מלאי!A189=#REF!),OR(#REF!="הכל",מלאי!B189=#REF!),OR(#REF!="הכל",מלאי!F189=#REF!,מלאי!G189=#REF!),OR(#REF!="הכל",מלאי!T189=#REF!),OR(#REF!="הכל",מלאי!Q189=#REF!),OR(#REF!="הכל",מלאי!J189=#REF!),OR(#REF!="הכל",מלאי!L189=#REF!),OR(#REF!="הכל",מלאי!O189=#REF!),OR(#REF!="הכל",מלאי!R189=#REF!),OR(#REF!="הכל",#REF!="",מלאי!W189=#REF!),OR(#REF!="הכל",#REF!="",ISNUMBER(SEARCH(#REF!,מלאי!C189)))),1,0)</f>
        <v>#REF!</v>
      </c>
      <c r="AE34" t="e">
        <f>IF(AND(מלאי!D189&lt;&gt;"",OR(#REF!="הכל",מלאי!Z189=#REF!,מלאי!AA189=#REF!,מלאי!AB189=#REF!,מלאי!AC189=#REF!),OR(#REF!="הכל",מלאי!A189=#REF!),OR(#REF!="הכל",מלאי!B189=#REF!),OR(#REF!="הכל",מלאי!F189=#REF!,מלאי!G189=#REF!),OR(#REF!="הכל",מלאי!T189=#REF!),OR(#REF!="הכל",מלאי!Q189=#REF!),OR(#REF!="הכל",מלאי!J189=#REF!),OR(#REF!="הכל",מלאי!L189=#REF!),OR(#REF!="הכל",מלאי!O189=#REF!),OR(#REF!="הכל",מלאי!R189=#REF!),OR(#REF!="הכל",#REF!="",מלאי!W189=#REF!),OR(#REF!="הכל",#REF!="",ISNUMBER(SEARCH(#REF!,מלאי!C189))),OR(#REF!="הכל",מלאי!#REF!=#REF!)),1,0)</f>
        <v>#REF!</v>
      </c>
      <c r="AF34" t="e">
        <f>IF(AD34=1,COUNTIF($AD$3:$AD34,1),"")</f>
        <v>#REF!</v>
      </c>
      <c r="AG34" t="e">
        <f>IF(AE34=1,COUNTIF($AE$3:$AE34,1),"")</f>
        <v>#REF!</v>
      </c>
    </row>
    <row r="35" spans="1:33" ht="15" customHeight="1" x14ac:dyDescent="0.35">
      <c r="A35" s="5" t="s">
        <v>144</v>
      </c>
      <c r="B35" s="5" t="s">
        <v>198</v>
      </c>
      <c r="C35" s="4" t="s">
        <v>36</v>
      </c>
      <c r="D35" s="5" t="s">
        <v>454</v>
      </c>
      <c r="E35" s="5" t="str">
        <f>IFERROR(INDEX(הגדרות!$I$2:$I$47,MATCH(B35,הגדרות!$H$2:$H$47,0)),"")</f>
        <v>7022-00</v>
      </c>
      <c r="F35" s="4" t="s">
        <v>311</v>
      </c>
      <c r="G35" s="5"/>
      <c r="H35" s="5" t="s">
        <v>72</v>
      </c>
      <c r="I35" s="5"/>
      <c r="J35" s="5" t="s">
        <v>40</v>
      </c>
      <c r="K35" s="5"/>
      <c r="L35" s="5"/>
      <c r="M35" s="5"/>
      <c r="N35" s="5"/>
      <c r="O35" s="5"/>
      <c r="P35" s="5"/>
      <c r="Q35" s="5" t="s">
        <v>40</v>
      </c>
      <c r="R35" s="5"/>
      <c r="S35" s="5"/>
      <c r="T35" s="5" t="s">
        <v>41</v>
      </c>
      <c r="U35" s="5"/>
      <c r="V35" s="5"/>
      <c r="W35" s="5"/>
      <c r="X35" s="5"/>
      <c r="Y35" s="5"/>
      <c r="Z35" t="str">
        <f>IFERROR(INDEX(הגדרות!$B$2:$B$17,MATCH(H35,הגדרות!$A$2:$A$17,0)),"")</f>
        <v>מיוער</v>
      </c>
      <c r="AA35">
        <f>IFERROR(INDEX(הגדרות!$C$2:$C$17,MATCH(H35,הגדרות!$A$2:$A$17,0)),"")</f>
        <v>0</v>
      </c>
      <c r="AB35" t="str">
        <f>IFERROR(INDEX(הגדרות!$B$2:$B$17,MATCH(I35,הגדרות!$A$2:$A$17,0)),"")</f>
        <v/>
      </c>
      <c r="AC35" t="str">
        <f>IFERROR(INDEX(הגדרות!$C$2:$C$17,MATCH(I35,הגדרות!$A$2:$A$17,0)),"")</f>
        <v/>
      </c>
      <c r="AD35" t="e">
        <f>IF(AND(מלאי!D169&lt;&gt;"",OR(#REF!="הכל",מלאי!Z169=#REF!,מלאי!AA169=#REF!,מלאי!AB169=#REF!,מלאי!AC169=#REF!),OR(#REF!="הכל",מלאי!A169=#REF!),OR(#REF!="הכל",מלאי!B169=#REF!),OR(#REF!="הכל",מלאי!F169=#REF!,מלאי!G169=#REF!),OR(#REF!="הכל",מלאי!T169=#REF!),OR(#REF!="הכל",מלאי!Q169=#REF!),OR(#REF!="הכל",מלאי!J169=#REF!),OR(#REF!="הכל",מלאי!L169=#REF!),OR(#REF!="הכל",מלאי!O169=#REF!),OR(#REF!="הכל",מלאי!R169=#REF!),OR(#REF!="הכל",#REF!="",מלאי!W169=#REF!),OR(#REF!="הכל",#REF!="",ISNUMBER(SEARCH(#REF!,מלאי!C169)))),1,0)</f>
        <v>#REF!</v>
      </c>
      <c r="AE35" t="e">
        <f>IF(AND(מלאי!D169&lt;&gt;"",OR(#REF!="הכל",מלאי!Z169=#REF!,מלאי!AA169=#REF!,מלאי!AB169=#REF!,מלאי!AC169=#REF!),OR(#REF!="הכל",מלאי!A169=#REF!),OR(#REF!="הכל",מלאי!B169=#REF!),OR(#REF!="הכל",מלאי!F169=#REF!,מלאי!G169=#REF!),OR(#REF!="הכל",מלאי!T169=#REF!),OR(#REF!="הכל",מלאי!Q169=#REF!),OR(#REF!="הכל",מלאי!J169=#REF!),OR(#REF!="הכל",מלאי!L169=#REF!),OR(#REF!="הכל",מלאי!O169=#REF!),OR(#REF!="הכל",מלאי!R169=#REF!),OR(#REF!="הכל",#REF!="",מלאי!W169=#REF!),OR(#REF!="הכל",#REF!="",ISNUMBER(SEARCH(#REF!,מלאי!C169))),OR(#REF!="הכל",מלאי!#REF!=#REF!)),1,0)</f>
        <v>#REF!</v>
      </c>
      <c r="AF35" t="e">
        <f>IF(AD35=1,COUNTIF($AD$3:$AD35,1),"")</f>
        <v>#REF!</v>
      </c>
      <c r="AG35" t="e">
        <f>IF(AE35=1,COUNTIF($AE$3:$AE35,1),"")</f>
        <v>#REF!</v>
      </c>
    </row>
    <row r="36" spans="1:33" ht="15" customHeight="1" x14ac:dyDescent="0.35">
      <c r="A36" s="5" t="s">
        <v>144</v>
      </c>
      <c r="B36" s="5" t="s">
        <v>198</v>
      </c>
      <c r="C36" s="4" t="s">
        <v>36</v>
      </c>
      <c r="D36" s="5" t="s">
        <v>455</v>
      </c>
      <c r="E36" s="5" t="str">
        <f>IFERROR(INDEX(הגדרות!$I$2:$I$47,MATCH(B36,הגדרות!$H$2:$H$47,0)),"")</f>
        <v>7022-00</v>
      </c>
      <c r="F36" s="4" t="s">
        <v>311</v>
      </c>
      <c r="G36" s="5"/>
      <c r="H36" s="5" t="s">
        <v>64</v>
      </c>
      <c r="I36" s="5"/>
      <c r="J36" s="5" t="s">
        <v>40</v>
      </c>
      <c r="K36" s="5"/>
      <c r="L36" s="5"/>
      <c r="M36" s="5"/>
      <c r="N36" s="5"/>
      <c r="O36" s="5"/>
      <c r="P36" s="5"/>
      <c r="Q36" s="5" t="s">
        <v>40</v>
      </c>
      <c r="R36" s="5"/>
      <c r="S36" s="5"/>
      <c r="T36" s="5" t="s">
        <v>41</v>
      </c>
      <c r="U36" s="5"/>
      <c r="V36" s="5"/>
      <c r="W36" s="5"/>
      <c r="X36" s="5"/>
      <c r="Y36" s="5"/>
      <c r="Z36" t="str">
        <f>IFERROR(INDEX(הגדרות!$B$2:$B$17,MATCH(H36,הגדרות!$A$2:$A$17,0)),"")</f>
        <v>ימי</v>
      </c>
      <c r="AA36">
        <f>IFERROR(INDEX(הגדרות!$C$2:$C$17,MATCH(H36,הגדרות!$A$2:$A$17,0)),"")</f>
        <v>0</v>
      </c>
      <c r="AB36" t="str">
        <f>IFERROR(INDEX(הגדרות!$B$2:$B$17,MATCH(I36,הגדרות!$A$2:$A$17,0)),"")</f>
        <v/>
      </c>
      <c r="AC36" t="str">
        <f>IFERROR(INDEX(הגדרות!$C$2:$C$17,MATCH(I36,הגדרות!$A$2:$A$17,0)),"")</f>
        <v/>
      </c>
      <c r="AD36" t="e">
        <f>IF(AND(מלאי!D170&lt;&gt;"",OR(#REF!="הכל",מלאי!Z170=#REF!,מלאי!AA170=#REF!,מלאי!AB170=#REF!,מלאי!AC170=#REF!),OR(#REF!="הכל",מלאי!A170=#REF!),OR(#REF!="הכל",מלאי!B170=#REF!),OR(#REF!="הכל",מלאי!F170=#REF!,מלאי!G170=#REF!),OR(#REF!="הכל",מלאי!T170=#REF!),OR(#REF!="הכל",מלאי!Q170=#REF!),OR(#REF!="הכל",מלאי!J170=#REF!),OR(#REF!="הכל",מלאי!L170=#REF!),OR(#REF!="הכל",מלאי!O170=#REF!),OR(#REF!="הכל",מלאי!R170=#REF!),OR(#REF!="הכל",#REF!="",מלאי!W170=#REF!),OR(#REF!="הכל",#REF!="",ISNUMBER(SEARCH(#REF!,מלאי!C170)))),1,0)</f>
        <v>#REF!</v>
      </c>
      <c r="AE36" t="e">
        <f>IF(AND(מלאי!D170&lt;&gt;"",OR(#REF!="הכל",מלאי!Z170=#REF!,מלאי!AA170=#REF!,מלאי!AB170=#REF!,מלאי!AC170=#REF!),OR(#REF!="הכל",מלאי!A170=#REF!),OR(#REF!="הכל",מלאי!B170=#REF!),OR(#REF!="הכל",מלאי!F170=#REF!,מלאי!G170=#REF!),OR(#REF!="הכל",מלאי!T170=#REF!),OR(#REF!="הכל",מלאי!Q170=#REF!),OR(#REF!="הכל",מלאי!J170=#REF!),OR(#REF!="הכל",מלאי!L170=#REF!),OR(#REF!="הכל",מלאי!O170=#REF!),OR(#REF!="הכל",מלאי!R170=#REF!),OR(#REF!="הכל",#REF!="",מלאי!W170=#REF!),OR(#REF!="הכל",#REF!="",ISNUMBER(SEARCH(#REF!,מלאי!C170))),OR(#REF!="הכל",מלאי!#REF!=#REF!)),1,0)</f>
        <v>#REF!</v>
      </c>
      <c r="AF36" t="e">
        <f>IF(AD36=1,COUNTIF($AD$3:$AD36,1),"")</f>
        <v>#REF!</v>
      </c>
      <c r="AG36" t="e">
        <f>IF(AE36=1,COUNTIF($AE$3:$AE36,1),"")</f>
        <v>#REF!</v>
      </c>
    </row>
    <row r="37" spans="1:33" ht="15" customHeight="1" x14ac:dyDescent="0.35">
      <c r="A37" s="5" t="s">
        <v>144</v>
      </c>
      <c r="B37" s="5" t="s">
        <v>198</v>
      </c>
      <c r="C37" s="4" t="s">
        <v>36</v>
      </c>
      <c r="D37" s="5" t="s">
        <v>456</v>
      </c>
      <c r="E37" s="5" t="str">
        <f>IFERROR(INDEX(הגדרות!$I$2:$I$47,MATCH(B37,הגדרות!$H$2:$H$47,0)),"")</f>
        <v>7022-00</v>
      </c>
      <c r="F37" s="4" t="s">
        <v>311</v>
      </c>
      <c r="G37" s="5"/>
      <c r="H37" s="5" t="s">
        <v>64</v>
      </c>
      <c r="I37" s="5"/>
      <c r="J37" s="5" t="s">
        <v>40</v>
      </c>
      <c r="K37" s="5"/>
      <c r="L37" s="5"/>
      <c r="M37" s="5"/>
      <c r="N37" s="5"/>
      <c r="O37" s="5"/>
      <c r="P37" s="5"/>
      <c r="Q37" s="5" t="s">
        <v>40</v>
      </c>
      <c r="R37" s="5"/>
      <c r="S37" s="5"/>
      <c r="T37" s="5" t="s">
        <v>41</v>
      </c>
      <c r="U37" s="5"/>
      <c r="V37" s="5"/>
      <c r="W37" s="5"/>
      <c r="X37" s="5"/>
      <c r="Y37" s="5"/>
      <c r="Z37" t="str">
        <f>IFERROR(INDEX(הגדרות!$B$2:$B$17,MATCH(H37,הגדרות!$A$2:$A$17,0)),"")</f>
        <v>ימי</v>
      </c>
      <c r="AA37">
        <f>IFERROR(INDEX(הגדרות!$C$2:$C$17,MATCH(H37,הגדרות!$A$2:$A$17,0)),"")</f>
        <v>0</v>
      </c>
      <c r="AB37" t="str">
        <f>IFERROR(INDEX(הגדרות!$B$2:$B$17,MATCH(I37,הגדרות!$A$2:$A$17,0)),"")</f>
        <v/>
      </c>
      <c r="AC37" t="str">
        <f>IFERROR(INDEX(הגדרות!$C$2:$C$17,MATCH(I37,הגדרות!$A$2:$A$17,0)),"")</f>
        <v/>
      </c>
      <c r="AD37" t="e">
        <f>IF(AND(מלאי!D171&lt;&gt;"",OR(#REF!="הכל",מלאי!Z171=#REF!,מלאי!AA171=#REF!,מלאי!AB171=#REF!,מלאי!AC171=#REF!),OR(#REF!="הכל",מלאי!A171=#REF!),OR(#REF!="הכל",מלאי!B171=#REF!),OR(#REF!="הכל",מלאי!F171=#REF!,מלאי!G171=#REF!),OR(#REF!="הכל",מלאי!T171=#REF!),OR(#REF!="הכל",מלאי!Q171=#REF!),OR(#REF!="הכל",מלאי!J171=#REF!),OR(#REF!="הכל",מלאי!L171=#REF!),OR(#REF!="הכל",מלאי!O171=#REF!),OR(#REF!="הכל",מלאי!R171=#REF!),OR(#REF!="הכל",#REF!="",מלאי!W171=#REF!),OR(#REF!="הכל",#REF!="",ISNUMBER(SEARCH(#REF!,מלאי!C171)))),1,0)</f>
        <v>#REF!</v>
      </c>
      <c r="AE37" t="e">
        <f>IF(AND(מלאי!D171&lt;&gt;"",OR(#REF!="הכל",מלאי!Z171=#REF!,מלאי!AA171=#REF!,מלאי!AB171=#REF!,מלאי!AC171=#REF!),OR(#REF!="הכל",מלאי!A171=#REF!),OR(#REF!="הכל",מלאי!B171=#REF!),OR(#REF!="הכל",מלאי!F171=#REF!,מלאי!G171=#REF!),OR(#REF!="הכל",מלאי!T171=#REF!),OR(#REF!="הכל",מלאי!Q171=#REF!),OR(#REF!="הכל",מלאי!J171=#REF!),OR(#REF!="הכל",מלאי!L171=#REF!),OR(#REF!="הכל",מלאי!O171=#REF!),OR(#REF!="הכל",מלאי!R171=#REF!),OR(#REF!="הכל",#REF!="",מלאי!W171=#REF!),OR(#REF!="הכל",#REF!="",ISNUMBER(SEARCH(#REF!,מלאי!C171))),OR(#REF!="הכל",מלאי!#REF!=#REF!)),1,0)</f>
        <v>#REF!</v>
      </c>
      <c r="AF37" t="e">
        <f>IF(AD37=1,COUNTIF($AD$3:$AD37,1),"")</f>
        <v>#REF!</v>
      </c>
      <c r="AG37" t="e">
        <f>IF(AE37=1,COUNTIF($AE$3:$AE37,1),"")</f>
        <v>#REF!</v>
      </c>
    </row>
    <row r="38" spans="1:33" ht="15" hidden="1" customHeight="1" x14ac:dyDescent="0.35">
      <c r="A38" s="5" t="s">
        <v>34</v>
      </c>
      <c r="B38" s="29" t="s">
        <v>194</v>
      </c>
      <c r="C38" s="12" t="s">
        <v>36</v>
      </c>
      <c r="D38" s="29" t="s">
        <v>314</v>
      </c>
      <c r="E38" s="5" t="str">
        <f>IFERROR(INDEX(הגדרות!$I$2:$I$47,MATCH(B38,הגדרות!$H$2:$H$47,0)),"")</f>
        <v>5004-00</v>
      </c>
      <c r="F38" s="5" t="s">
        <v>37</v>
      </c>
      <c r="G38" s="5"/>
      <c r="H38" s="5" t="s">
        <v>162</v>
      </c>
      <c r="I38" s="5"/>
      <c r="J38" s="5" t="s">
        <v>40</v>
      </c>
      <c r="K38" s="5" t="s">
        <v>40</v>
      </c>
      <c r="L38" s="5" t="s">
        <v>40</v>
      </c>
      <c r="M38" s="5" t="s">
        <v>40</v>
      </c>
      <c r="N38" s="5" t="s">
        <v>40</v>
      </c>
      <c r="O38" s="5"/>
      <c r="P38" s="5"/>
      <c r="Q38" s="5"/>
      <c r="R38" s="5"/>
      <c r="S38" s="5"/>
      <c r="T38" s="4" t="s">
        <v>41</v>
      </c>
      <c r="U38" s="5"/>
      <c r="V38" s="5"/>
      <c r="W38" s="5"/>
      <c r="X38" s="5"/>
      <c r="Y38" s="5"/>
      <c r="Z38" t="str">
        <f>IFERROR(INDEX(הגדרות!$B$2:$B$17,MATCH(H38,הגדרות!$A$2:$A$17,0)),"")</f>
        <v>שלג</v>
      </c>
      <c r="AA38">
        <f>IFERROR(INDEX(הגדרות!$C$2:$C$17,MATCH(H38,הגדרות!$A$2:$A$17,0)),"")</f>
        <v>0</v>
      </c>
      <c r="AB38" t="str">
        <f>IFERROR(INDEX(הגדרות!$B$2:$B$17,MATCH(I38,הגדרות!$A$2:$A$17,0)),"")</f>
        <v/>
      </c>
      <c r="AC38" t="str">
        <f>IFERROR(INDEX(הגדרות!$C$2:$C$17,MATCH(I38,הגדרות!$A$2:$A$17,0)),"")</f>
        <v/>
      </c>
      <c r="AD38" t="e">
        <f>IF(AND(מלאי!D104&lt;&gt;"",OR(#REF!="הכל",מלאי!Z104=#REF!,מלאי!AA104=#REF!,מלאי!AB104=#REF!,מלאי!AC104=#REF!),OR(#REF!="הכל",מלאי!A104=#REF!),OR(#REF!="הכל",מלאי!B104=#REF!),OR(#REF!="הכל",מלאי!F104=#REF!,מלאי!G104=#REF!),OR(#REF!="הכל",מלאי!T104=#REF!),OR(#REF!="הכל",מלאי!Q104=#REF!),OR(#REF!="הכל",מלאי!J104=#REF!),OR(#REF!="הכל",מלאי!L104=#REF!),OR(#REF!="הכל",מלאי!O104=#REF!),OR(#REF!="הכל",מלאי!R104=#REF!),OR(#REF!="הכל",#REF!="",מלאי!W104=#REF!),OR(#REF!="הכל",#REF!="",ISNUMBER(SEARCH(#REF!,מלאי!C104)))),1,0)</f>
        <v>#REF!</v>
      </c>
      <c r="AE38" t="e">
        <f>IF(AND(מלאי!D104&lt;&gt;"",OR(#REF!="הכל",מלאי!Z104=#REF!,מלאי!AA104=#REF!,מלאי!AB104=#REF!,מלאי!AC104=#REF!),OR(#REF!="הכל",מלאי!A104=#REF!),OR(#REF!="הכל",מלאי!B104=#REF!),OR(#REF!="הכל",מלאי!F104=#REF!,מלאי!G104=#REF!),OR(#REF!="הכל",מלאי!T104=#REF!),OR(#REF!="הכל",מלאי!Q104=#REF!),OR(#REF!="הכל",מלאי!J104=#REF!),OR(#REF!="הכל",מלאי!L104=#REF!),OR(#REF!="הכל",מלאי!O104=#REF!),OR(#REF!="הכל",מלאי!R104=#REF!),OR(#REF!="הכל",#REF!="",מלאי!W104=#REF!),OR(#REF!="הכל",#REF!="",ISNUMBER(SEARCH(#REF!,מלאי!C104))),OR(#REF!="הכל",מלאי!#REF!=#REF!)),1,0)</f>
        <v>#REF!</v>
      </c>
      <c r="AF38" t="e">
        <f>IF(AD38=1,COUNTIF($AD$3:$AD38,1),"")</f>
        <v>#REF!</v>
      </c>
      <c r="AG38" t="e">
        <f>IF(AE38=1,COUNTIF($AE$3:$AE38,1),"")</f>
        <v>#REF!</v>
      </c>
    </row>
    <row r="39" spans="1:33" ht="15" hidden="1" customHeight="1" x14ac:dyDescent="0.35">
      <c r="A39" s="4" t="s">
        <v>34</v>
      </c>
      <c r="B39" s="4" t="s">
        <v>194</v>
      </c>
      <c r="C39" s="12" t="s">
        <v>36</v>
      </c>
      <c r="D39" s="11" t="s">
        <v>326</v>
      </c>
      <c r="E39" s="4" t="str">
        <f>IFERROR(INDEX(הגדרות!$I$2:$I$47,MATCH(B39,הגדרות!$H$2:$H$47,0)),"")</f>
        <v>5004-00</v>
      </c>
      <c r="F39" s="4" t="s">
        <v>51</v>
      </c>
      <c r="G39" s="4"/>
      <c r="H39" s="4" t="s">
        <v>165</v>
      </c>
      <c r="I39" s="4"/>
      <c r="J39" s="5" t="s">
        <v>40</v>
      </c>
      <c r="K39" s="5" t="s">
        <v>40</v>
      </c>
      <c r="L39" s="5" t="s">
        <v>40</v>
      </c>
      <c r="M39" s="5" t="s">
        <v>40</v>
      </c>
      <c r="N39" s="5" t="s">
        <v>40</v>
      </c>
      <c r="O39" s="4"/>
      <c r="P39" s="4" t="s">
        <v>324</v>
      </c>
      <c r="Q39" s="4"/>
      <c r="R39" s="4" t="s">
        <v>151</v>
      </c>
      <c r="S39" s="4"/>
      <c r="T39" s="4" t="s">
        <v>41</v>
      </c>
      <c r="U39" s="4"/>
      <c r="V39" s="4"/>
      <c r="W39" s="4"/>
      <c r="X39" s="4"/>
      <c r="Y39" s="4"/>
      <c r="Z39" t="str">
        <f>IFERROR(INDEX(הגדרות!$B$2:$B$17,MATCH(H39,הגדרות!$A$2:$A$17,0)),"")</f>
        <v>שלג</v>
      </c>
      <c r="AA39">
        <f>IFERROR(INDEX(הגדרות!$C$2:$C$17,MATCH(H39,הגדרות!$A$2:$A$17,0)),"")</f>
        <v>0</v>
      </c>
      <c r="AB39" t="str">
        <f>IFERROR(INDEX(הגדרות!$B$2:$B$17,MATCH(I39,הגדרות!$A$2:$A$17,0)),"")</f>
        <v/>
      </c>
      <c r="AC39" t="str">
        <f>IFERROR(INDEX(הגדרות!$C$2:$C$17,MATCH(I39,הגדרות!$A$2:$A$17,0)),"")</f>
        <v/>
      </c>
      <c r="AD39" t="e">
        <f>IF(AND(מלאי!D107&lt;&gt;"",OR(#REF!="הכל",מלאי!Z107=#REF!,מלאי!AA107=#REF!,מלאי!AB107=#REF!,מלאי!AC107=#REF!),OR(#REF!="הכל",מלאי!A107=#REF!),OR(#REF!="הכל",מלאי!B107=#REF!),OR(#REF!="הכל",מלאי!F107=#REF!,מלאי!G107=#REF!),OR(#REF!="הכל",מלאי!T107=#REF!),OR(#REF!="הכל",מלאי!Q107=#REF!),OR(#REF!="הכל",מלאי!J107=#REF!),OR(#REF!="הכל",מלאי!L107=#REF!),OR(#REF!="הכל",מלאי!O107=#REF!),OR(#REF!="הכל",מלאי!R107=#REF!),OR(#REF!="הכל",#REF!="",מלאי!W107=#REF!),OR(#REF!="הכל",#REF!="",ISNUMBER(SEARCH(#REF!,מלאי!C107)))),1,0)</f>
        <v>#REF!</v>
      </c>
      <c r="AE39" t="e">
        <f>IF(AND(מלאי!D107&lt;&gt;"",OR(#REF!="הכל",מלאי!Z107=#REF!,מלאי!AA107=#REF!,מלאי!AB107=#REF!,מלאי!AC107=#REF!),OR(#REF!="הכל",מלאי!A107=#REF!),OR(#REF!="הכל",מלאי!B107=#REF!),OR(#REF!="הכל",מלאי!F107=#REF!,מלאי!G107=#REF!),OR(#REF!="הכל",מלאי!T107=#REF!),OR(#REF!="הכל",מלאי!Q107=#REF!),OR(#REF!="הכל",מלאי!J107=#REF!),OR(#REF!="הכל",מלאי!L107=#REF!),OR(#REF!="הכל",מלאי!O107=#REF!),OR(#REF!="הכל",מלאי!R107=#REF!),OR(#REF!="הכל",#REF!="",מלאי!W107=#REF!),OR(#REF!="הכל",#REF!="",ISNUMBER(SEARCH(#REF!,מלאי!C107))),OR(#REF!="הכל",מלאי!#REF!=#REF!)),1,0)</f>
        <v>#REF!</v>
      </c>
      <c r="AF39" t="e">
        <f>IF(AD39=1,COUNTIF($AD$3:$AD39,1),"")</f>
        <v>#REF!</v>
      </c>
      <c r="AG39" t="e">
        <f>IF(AE39=1,COUNTIF($AE$3:$AE39,1),"")</f>
        <v>#REF!</v>
      </c>
    </row>
    <row r="40" spans="1:33" ht="15" hidden="1" customHeight="1" x14ac:dyDescent="0.35">
      <c r="A40" s="18" t="s">
        <v>34</v>
      </c>
      <c r="B40" s="18" t="s">
        <v>194</v>
      </c>
      <c r="C40" s="18" t="s">
        <v>36</v>
      </c>
      <c r="D40" s="17" t="s">
        <v>373</v>
      </c>
      <c r="E40" s="18" t="str">
        <f>IFERROR(INDEX(הגדרות!$I$2:$I$47,MATCH(B40,הגדרות!$H$2:$H$47,0)),"")</f>
        <v>5004-00</v>
      </c>
      <c r="F40" s="18" t="s">
        <v>51</v>
      </c>
      <c r="G40" s="18"/>
      <c r="H40" s="17" t="s">
        <v>162</v>
      </c>
      <c r="I40" s="18"/>
      <c r="J40" s="17" t="s">
        <v>40</v>
      </c>
      <c r="K40" s="17" t="s">
        <v>40</v>
      </c>
      <c r="L40" s="17" t="s">
        <v>40</v>
      </c>
      <c r="M40" s="17" t="s">
        <v>40</v>
      </c>
      <c r="N40" s="17" t="s">
        <v>40</v>
      </c>
      <c r="O40" s="18"/>
      <c r="P40" s="18"/>
      <c r="Q40" s="18"/>
      <c r="R40" s="18"/>
      <c r="S40" s="18"/>
      <c r="T40" s="18" t="s">
        <v>41</v>
      </c>
      <c r="U40" s="18"/>
      <c r="V40" s="18"/>
      <c r="W40" s="18"/>
      <c r="X40" s="18"/>
      <c r="Y40" s="18"/>
      <c r="Z40" t="str">
        <f>IFERROR(INDEX(הגדרות!$B$2:$B$17,MATCH(H40,הגדרות!$A$2:$A$17,0)),"")</f>
        <v>שלג</v>
      </c>
      <c r="AA40">
        <f>IFERROR(INDEX(הגדרות!$C$2:$C$17,MATCH(H40,הגדרות!$A$2:$A$17,0)),"")</f>
        <v>0</v>
      </c>
      <c r="AB40" t="str">
        <f>IFERROR(INDEX(הגדרות!$B$2:$B$17,MATCH(I40,הגדרות!$A$2:$A$17,0)),"")</f>
        <v/>
      </c>
      <c r="AC40" t="str">
        <f>IFERROR(INDEX(הגדרות!$C$2:$C$17,MATCH(I40,הגדרות!$A$2:$A$17,0)),"")</f>
        <v/>
      </c>
      <c r="AD40" t="e">
        <f>IF(AND(מלאי!D152&lt;&gt;"",OR(#REF!="הכל",מלאי!Z152=#REF!,מלאי!AA152=#REF!,מלאי!AB152=#REF!,מלאי!AC152=#REF!),OR(#REF!="הכל",מלאי!A152=#REF!),OR(#REF!="הכל",מלאי!B152=#REF!),OR(#REF!="הכל",מלאי!F152=#REF!,מלאי!G152=#REF!),OR(#REF!="הכל",מלאי!T152=#REF!),OR(#REF!="הכל",מלאי!Q152=#REF!),OR(#REF!="הכל",מלאי!J152=#REF!),OR(#REF!="הכל",מלאי!L152=#REF!),OR(#REF!="הכל",מלאי!O152=#REF!),OR(#REF!="הכל",מלאי!R152=#REF!),OR(#REF!="הכל",#REF!="",מלאי!W152=#REF!),OR(#REF!="הכל",#REF!="",ISNUMBER(SEARCH(#REF!,מלאי!C152)))),1,0)</f>
        <v>#REF!</v>
      </c>
      <c r="AE40" t="e">
        <f>IF(AND(מלאי!D152&lt;&gt;"",OR(#REF!="הכל",מלאי!Z152=#REF!,מלאי!AA152=#REF!,מלאי!AB152=#REF!,מלאי!AC152=#REF!),OR(#REF!="הכל",מלאי!A152=#REF!),OR(#REF!="הכל",מלאי!B152=#REF!),OR(#REF!="הכל",מלאי!F152=#REF!,מלאי!G152=#REF!),OR(#REF!="הכל",מלאי!T152=#REF!),OR(#REF!="הכל",מלאי!Q152=#REF!),OR(#REF!="הכל",מלאי!J152=#REF!),OR(#REF!="הכל",מלאי!L152=#REF!),OR(#REF!="הכל",מלאי!O152=#REF!),OR(#REF!="הכל",מלאי!R152=#REF!),OR(#REF!="הכל",#REF!="",מלאי!W152=#REF!),OR(#REF!="הכל",#REF!="",ISNUMBER(SEARCH(#REF!,מלאי!C152))),OR(#REF!="הכל",מלאי!#REF!=#REF!)),1,0)</f>
        <v>#REF!</v>
      </c>
      <c r="AF40" t="e">
        <f>IF(AD40=1,COUNTIF($AD$3:$AD40,1),"")</f>
        <v>#REF!</v>
      </c>
      <c r="AG40" t="e">
        <f>IF(AE40=1,COUNTIF($AE$3:$AE40,1),"")</f>
        <v>#REF!</v>
      </c>
    </row>
    <row r="41" spans="1:33" ht="15" hidden="1" customHeight="1" x14ac:dyDescent="0.35">
      <c r="A41" s="18" t="s">
        <v>34</v>
      </c>
      <c r="B41" s="18" t="s">
        <v>194</v>
      </c>
      <c r="C41" s="18" t="s">
        <v>36</v>
      </c>
      <c r="D41" s="17" t="s">
        <v>378</v>
      </c>
      <c r="E41" s="18" t="str">
        <f>IFERROR(INDEX(הגדרות!$I$2:$I$47,MATCH(B41,הגדרות!$H$2:$H$47,0)),"")</f>
        <v>5004-00</v>
      </c>
      <c r="F41" s="18" t="s">
        <v>51</v>
      </c>
      <c r="G41" s="18"/>
      <c r="H41" s="17" t="s">
        <v>165</v>
      </c>
      <c r="I41" s="18"/>
      <c r="J41" s="17" t="s">
        <v>40</v>
      </c>
      <c r="K41" s="17" t="s">
        <v>40</v>
      </c>
      <c r="L41" s="17" t="s">
        <v>40</v>
      </c>
      <c r="M41" s="17" t="s">
        <v>40</v>
      </c>
      <c r="N41" s="17" t="s">
        <v>40</v>
      </c>
      <c r="O41" s="18"/>
      <c r="P41" s="18"/>
      <c r="Q41" s="18"/>
      <c r="R41" s="18"/>
      <c r="S41" s="18"/>
      <c r="T41" s="18" t="s">
        <v>41</v>
      </c>
      <c r="U41" s="18"/>
      <c r="V41" s="18"/>
      <c r="W41" s="18"/>
      <c r="X41" s="18"/>
      <c r="Y41" s="18"/>
      <c r="Z41" t="str">
        <f>IFERROR(INDEX(הגדרות!$B$2:$B$17,MATCH(H41,הגדרות!$A$2:$A$17,0)),"")</f>
        <v>שלג</v>
      </c>
      <c r="AA41">
        <f>IFERROR(INDEX(הגדרות!$C$2:$C$17,MATCH(H41,הגדרות!$A$2:$A$17,0)),"")</f>
        <v>0</v>
      </c>
      <c r="AB41" t="str">
        <f>IFERROR(INDEX(הגדרות!$B$2:$B$17,MATCH(I41,הגדרות!$A$2:$A$17,0)),"")</f>
        <v/>
      </c>
      <c r="AC41" t="str">
        <f>IFERROR(INDEX(הגדרות!$C$2:$C$17,MATCH(I41,הגדרות!$A$2:$A$17,0)),"")</f>
        <v/>
      </c>
      <c r="AD41" t="e">
        <f>IF(AND(מלאי!D157&lt;&gt;"",OR(#REF!="הכל",מלאי!Z157=#REF!,מלאי!AA157=#REF!,מלאי!AB157=#REF!,מלאי!AC157=#REF!),OR(#REF!="הכל",מלאי!A157=#REF!),OR(#REF!="הכל",מלאי!B157=#REF!),OR(#REF!="הכל",מלאי!F157=#REF!,מלאי!G157=#REF!),OR(#REF!="הכל",מלאי!T157=#REF!),OR(#REF!="הכל",מלאי!Q157=#REF!),OR(#REF!="הכל",מלאי!J157=#REF!),OR(#REF!="הכל",מלאי!L157=#REF!),OR(#REF!="הכל",מלאי!O157=#REF!),OR(#REF!="הכל",מלאי!R157=#REF!),OR(#REF!="הכל",#REF!="",מלאי!W157=#REF!),OR(#REF!="הכל",#REF!="",ISNUMBER(SEARCH(#REF!,מלאי!C157)))),1,0)</f>
        <v>#REF!</v>
      </c>
      <c r="AE41" t="e">
        <f>IF(AND(מלאי!D157&lt;&gt;"",OR(#REF!="הכל",מלאי!Z157=#REF!,מלאי!AA157=#REF!,מלאי!AB157=#REF!,מלאי!AC157=#REF!),OR(#REF!="הכל",מלאי!A157=#REF!),OR(#REF!="הכל",מלאי!B157=#REF!),OR(#REF!="הכל",מלאי!F157=#REF!,מלאי!G157=#REF!),OR(#REF!="הכל",מלאי!T157=#REF!),OR(#REF!="הכל",מלאי!Q157=#REF!),OR(#REF!="הכל",מלאי!J157=#REF!),OR(#REF!="הכל",מלאי!L157=#REF!),OR(#REF!="הכל",מלאי!O157=#REF!),OR(#REF!="הכל",מלאי!R157=#REF!),OR(#REF!="הכל",#REF!="",מלאי!W157=#REF!),OR(#REF!="הכל",#REF!="",ISNUMBER(SEARCH(#REF!,מלאי!C157))),OR(#REF!="הכל",מלאי!#REF!=#REF!)),1,0)</f>
        <v>#REF!</v>
      </c>
      <c r="AF41" t="e">
        <f>IF(AD41=1,COUNTIF($AD$3:$AD41,1),"")</f>
        <v>#REF!</v>
      </c>
      <c r="AG41" t="e">
        <f>IF(AE41=1,COUNTIF($AE$3:$AE41,1),"")</f>
        <v>#REF!</v>
      </c>
    </row>
    <row r="42" spans="1:33" ht="15" hidden="1" customHeight="1" x14ac:dyDescent="0.35">
      <c r="A42" s="5" t="s">
        <v>34</v>
      </c>
      <c r="B42" s="5" t="s">
        <v>55</v>
      </c>
      <c r="C42" s="5" t="s">
        <v>36</v>
      </c>
      <c r="D42" s="5" t="s">
        <v>56</v>
      </c>
      <c r="E42" s="5" t="str">
        <f>IFERROR(INDEX(הגדרות!$I$2:$I$47,MATCH(B42,הגדרות!$H$2:$H$47,0)),"")</f>
        <v>7004-01</v>
      </c>
      <c r="F42" s="5" t="s">
        <v>37</v>
      </c>
      <c r="G42" s="5"/>
      <c r="H42" s="5" t="s">
        <v>38</v>
      </c>
      <c r="I42" s="5" t="s">
        <v>39</v>
      </c>
      <c r="J42" s="5" t="s">
        <v>40</v>
      </c>
      <c r="K42" s="5" t="s">
        <v>40</v>
      </c>
      <c r="L42" s="5" t="s">
        <v>40</v>
      </c>
      <c r="M42" s="5" t="s">
        <v>40</v>
      </c>
      <c r="N42" s="5"/>
      <c r="O42" s="5" t="s">
        <v>40</v>
      </c>
      <c r="P42" s="5"/>
      <c r="Q42" s="5" t="s">
        <v>2</v>
      </c>
      <c r="R42" s="5"/>
      <c r="S42" s="5" t="s">
        <v>2</v>
      </c>
      <c r="T42" s="5" t="s">
        <v>41</v>
      </c>
      <c r="U42" s="5"/>
      <c r="V42" s="5"/>
      <c r="W42" s="5"/>
      <c r="X42" s="5"/>
      <c r="Y42" s="5"/>
      <c r="Z42" t="str">
        <f>IFERROR(INDEX(הגדרות!$B$2:$B$17,MATCH(H42,הגדרות!$A$2:$A$17,0)),"")</f>
        <v>מיוער</v>
      </c>
      <c r="AA42">
        <f>IFERROR(INDEX(הגדרות!$C$2:$C$17,MATCH(H42,הגדרות!$A$2:$A$17,0)),"")</f>
        <v>0</v>
      </c>
      <c r="AB42" t="str">
        <f>IFERROR(INDEX(הגדרות!$B$2:$B$17,MATCH(I42,הגדרות!$A$2:$A$17,0)),"")</f>
        <v>מדברי</v>
      </c>
      <c r="AC42">
        <f>IFERROR(INDEX(הגדרות!$C$2:$C$17,MATCH(I42,הגדרות!$A$2:$A$17,0)),"")</f>
        <v>0</v>
      </c>
      <c r="AD42" t="e">
        <f>IF(AND(מלאי!D24&lt;&gt;"",OR(#REF!="הכל",מלאי!Z24=#REF!,מלאי!AA24=#REF!,מלאי!AB24=#REF!,מלאי!AC24=#REF!),OR(#REF!="הכל",מלאי!A24=#REF!),OR(#REF!="הכל",מלאי!B24=#REF!),OR(#REF!="הכל",מלאי!F24=#REF!,מלאי!G24=#REF!),OR(#REF!="הכל",מלאי!T24=#REF!),OR(#REF!="הכל",מלאי!Q24=#REF!),OR(#REF!="הכל",מלאי!J24=#REF!),OR(#REF!="הכל",מלאי!L24=#REF!),OR(#REF!="הכל",מלאי!O24=#REF!),OR(#REF!="הכל",מלאי!R24=#REF!),OR(#REF!="הכל",#REF!="",מלאי!W24=#REF!),OR(#REF!="הכל",#REF!="",ISNUMBER(SEARCH(#REF!,מלאי!C24)))),1,0)</f>
        <v>#REF!</v>
      </c>
      <c r="AE42" t="e">
        <f>IF(AND(מלאי!D24&lt;&gt;"",OR(#REF!="הכל",מלאי!Z24=#REF!,מלאי!AA24=#REF!,מלאי!AB24=#REF!,מלאי!AC24=#REF!),OR(#REF!="הכל",מלאי!A24=#REF!),OR(#REF!="הכל",מלאי!B24=#REF!),OR(#REF!="הכל",מלאי!F24=#REF!,מלאי!G24=#REF!),OR(#REF!="הכל",מלאי!T24=#REF!),OR(#REF!="הכל",מלאי!Q24=#REF!),OR(#REF!="הכל",מלאי!J24=#REF!),OR(#REF!="הכל",מלאי!L24=#REF!),OR(#REF!="הכל",מלאי!O24=#REF!),OR(#REF!="הכל",מלאי!R24=#REF!),OR(#REF!="הכל",#REF!="",מלאי!W24=#REF!),OR(#REF!="הכל",#REF!="",ISNUMBER(SEARCH(#REF!,מלאי!C24))),OR(#REF!="הכל",מלאי!#REF!=#REF!)),1,0)</f>
        <v>#REF!</v>
      </c>
      <c r="AF42" t="e">
        <f>IF(AD42=1,COUNTIF($AD$3:$AD42,1),"")</f>
        <v>#REF!</v>
      </c>
      <c r="AG42" t="e">
        <f>IF(AE42=1,COUNTIF($AE$3:$AE42,1),"")</f>
        <v>#REF!</v>
      </c>
    </row>
    <row r="43" spans="1:33" ht="15" hidden="1" customHeight="1" x14ac:dyDescent="0.35">
      <c r="A43" s="4" t="s">
        <v>34</v>
      </c>
      <c r="B43" s="4" t="s">
        <v>55</v>
      </c>
      <c r="C43" s="4" t="s">
        <v>36</v>
      </c>
      <c r="D43" s="4" t="s">
        <v>57</v>
      </c>
      <c r="E43" s="4" t="str">
        <f>IFERROR(INDEX(הגדרות!$I$2:$I$47,MATCH(B43,הגדרות!$H$2:$H$47,0)),"")</f>
        <v>7004-01</v>
      </c>
      <c r="F43" s="4" t="s">
        <v>37</v>
      </c>
      <c r="G43" s="4"/>
      <c r="H43" s="4" t="s">
        <v>38</v>
      </c>
      <c r="I43" s="4" t="s">
        <v>39</v>
      </c>
      <c r="J43" s="4" t="s">
        <v>40</v>
      </c>
      <c r="K43" s="4" t="s">
        <v>40</v>
      </c>
      <c r="L43" s="4" t="s">
        <v>40</v>
      </c>
      <c r="M43" s="4" t="s">
        <v>40</v>
      </c>
      <c r="N43" s="4"/>
      <c r="O43" s="4" t="s">
        <v>40</v>
      </c>
      <c r="P43" s="4"/>
      <c r="Q43" s="4" t="s">
        <v>2</v>
      </c>
      <c r="R43" s="4"/>
      <c r="S43" s="4" t="s">
        <v>2</v>
      </c>
      <c r="T43" s="4" t="s">
        <v>42</v>
      </c>
      <c r="U43" s="4"/>
      <c r="V43" s="4"/>
      <c r="W43" s="4"/>
      <c r="X43" s="4"/>
      <c r="Y43" s="4"/>
      <c r="Z43" t="str">
        <f>IFERROR(INDEX(הגדרות!$B$2:$B$17,MATCH(H43,הגדרות!$A$2:$A$17,0)),"")</f>
        <v>מיוער</v>
      </c>
      <c r="AA43">
        <f>IFERROR(INDEX(הגדרות!$C$2:$C$17,MATCH(H43,הגדרות!$A$2:$A$17,0)),"")</f>
        <v>0</v>
      </c>
      <c r="AB43" t="str">
        <f>IFERROR(INDEX(הגדרות!$B$2:$B$17,MATCH(I43,הגדרות!$A$2:$A$17,0)),"")</f>
        <v>מדברי</v>
      </c>
      <c r="AC43">
        <f>IFERROR(INDEX(הגדרות!$C$2:$C$17,MATCH(I43,הגדרות!$A$2:$A$17,0)),"")</f>
        <v>0</v>
      </c>
      <c r="AD43" t="e">
        <f>IF(AND(מלאי!D25&lt;&gt;"",OR(#REF!="הכל",מלאי!Z25=#REF!,מלאי!AA25=#REF!,מלאי!AB25=#REF!,מלאי!AC25=#REF!),OR(#REF!="הכל",מלאי!A25=#REF!),OR(#REF!="הכל",מלאי!B25=#REF!),OR(#REF!="הכל",מלאי!F25=#REF!,מלאי!G25=#REF!),OR(#REF!="הכל",מלאי!T25=#REF!),OR(#REF!="הכל",מלאי!Q25=#REF!),OR(#REF!="הכל",מלאי!J25=#REF!),OR(#REF!="הכל",מלאי!L25=#REF!),OR(#REF!="הכל",מלאי!O25=#REF!),OR(#REF!="הכל",מלאי!R25=#REF!),OR(#REF!="הכל",#REF!="",מלאי!W25=#REF!),OR(#REF!="הכל",#REF!="",ISNUMBER(SEARCH(#REF!,מלאי!C25)))),1,0)</f>
        <v>#REF!</v>
      </c>
      <c r="AE43" t="e">
        <f>IF(AND(מלאי!D25&lt;&gt;"",OR(#REF!="הכל",מלאי!Z25=#REF!,מלאי!AA25=#REF!,מלאי!AB25=#REF!,מלאי!AC25=#REF!),OR(#REF!="הכל",מלאי!A25=#REF!),OR(#REF!="הכל",מלאי!B25=#REF!),OR(#REF!="הכל",מלאי!F25=#REF!,מלאי!G25=#REF!),OR(#REF!="הכל",מלאי!T25=#REF!),OR(#REF!="הכל",מלאי!Q25=#REF!),OR(#REF!="הכל",מלאי!J25=#REF!),OR(#REF!="הכל",מלאי!L25=#REF!),OR(#REF!="הכל",מלאי!O25=#REF!),OR(#REF!="הכל",מלאי!R25=#REF!),OR(#REF!="הכל",#REF!="",מלאי!W25=#REF!),OR(#REF!="הכל",#REF!="",ISNUMBER(SEARCH(#REF!,מלאי!C25))),OR(#REF!="הכל",מלאי!#REF!=#REF!)),1,0)</f>
        <v>#REF!</v>
      </c>
      <c r="AF43" t="e">
        <f>IF(AD43=1,COUNTIF($AD$3:$AD43,1),"")</f>
        <v>#REF!</v>
      </c>
      <c r="AG43" t="e">
        <f>IF(AE43=1,COUNTIF($AE$3:$AE43,1),"")</f>
        <v>#REF!</v>
      </c>
    </row>
    <row r="44" spans="1:33" ht="15" hidden="1" customHeight="1" x14ac:dyDescent="0.35">
      <c r="A44" s="4" t="s">
        <v>34</v>
      </c>
      <c r="B44" s="4" t="s">
        <v>55</v>
      </c>
      <c r="C44" s="4" t="s">
        <v>36</v>
      </c>
      <c r="D44" s="4" t="s">
        <v>73</v>
      </c>
      <c r="E44" s="4" t="str">
        <f>IFERROR(INDEX(הגדרות!$I$2:$I$47,MATCH(B44,הגדרות!$H$2:$H$47,0)),"")</f>
        <v>7004-01</v>
      </c>
      <c r="F44" s="4" t="s">
        <v>37</v>
      </c>
      <c r="G44" s="4"/>
      <c r="H44" s="4" t="s">
        <v>74</v>
      </c>
      <c r="I44" s="4"/>
      <c r="J44" s="4" t="s">
        <v>40</v>
      </c>
      <c r="K44" s="4"/>
      <c r="L44" s="4" t="s">
        <v>2</v>
      </c>
      <c r="M44" s="4"/>
      <c r="N44" s="4"/>
      <c r="O44" s="4" t="s">
        <v>2</v>
      </c>
      <c r="P44" s="4"/>
      <c r="Q44" s="4" t="s">
        <v>40</v>
      </c>
      <c r="R44" s="4"/>
      <c r="S44" s="4" t="s">
        <v>2</v>
      </c>
      <c r="T44" s="4" t="s">
        <v>42</v>
      </c>
      <c r="U44" s="4"/>
      <c r="V44" s="4"/>
      <c r="W44" s="4"/>
      <c r="X44" s="4"/>
      <c r="Y44" s="4"/>
      <c r="Z44" t="str">
        <f>IFERROR(INDEX(הגדרות!$B$2:$B$17,MATCH(H44,הגדרות!$A$2:$A$17,0)),"")</f>
        <v>בולדר/שטח בנוי</v>
      </c>
      <c r="AA44">
        <f>IFERROR(INDEX(הגדרות!$C$2:$C$17,MATCH(H44,הגדרות!$A$2:$A$17,0)),"")</f>
        <v>0</v>
      </c>
      <c r="AB44" t="str">
        <f>IFERROR(INDEX(הגדרות!$B$2:$B$17,MATCH(I44,הגדרות!$A$2:$A$17,0)),"")</f>
        <v/>
      </c>
      <c r="AC44" t="str">
        <f>IFERROR(INDEX(הגדרות!$C$2:$C$17,MATCH(I44,הגדרות!$A$2:$A$17,0)),"")</f>
        <v/>
      </c>
      <c r="AD44" t="e">
        <f>IF(AND(מלאי!D50&lt;&gt;"",OR(#REF!="הכל",מלאי!Z50=#REF!,מלאי!AA50=#REF!,מלאי!AB50=#REF!,מלאי!AC50=#REF!),OR(#REF!="הכל",מלאי!A50=#REF!),OR(#REF!="הכל",מלאי!B50=#REF!),OR(#REF!="הכל",מלאי!F50=#REF!,מלאי!G50=#REF!),OR(#REF!="הכל",מלאי!T50=#REF!),OR(#REF!="הכל",מלאי!Q50=#REF!),OR(#REF!="הכל",מלאי!J50=#REF!),OR(#REF!="הכל",מלאי!L50=#REF!),OR(#REF!="הכל",מלאי!O50=#REF!),OR(#REF!="הכל",מלאי!R50=#REF!),OR(#REF!="הכל",#REF!="",מלאי!W50=#REF!),OR(#REF!="הכל",#REF!="",ISNUMBER(SEARCH(#REF!,מלאי!C50)))),1,0)</f>
        <v>#REF!</v>
      </c>
      <c r="AE44" t="e">
        <f>IF(AND(מלאי!D50&lt;&gt;"",OR(#REF!="הכל",מלאי!Z50=#REF!,מלאי!AA50=#REF!,מלאי!AB50=#REF!,מלאי!AC50=#REF!),OR(#REF!="הכל",מלאי!A50=#REF!),OR(#REF!="הכל",מלאי!B50=#REF!),OR(#REF!="הכל",מלאי!F50=#REF!,מלאי!G50=#REF!),OR(#REF!="הכל",מלאי!T50=#REF!),OR(#REF!="הכל",מלאי!Q50=#REF!),OR(#REF!="הכל",מלאי!J50=#REF!),OR(#REF!="הכל",מלאי!L50=#REF!),OR(#REF!="הכל",מלאי!O50=#REF!),OR(#REF!="הכל",מלאי!R50=#REF!),OR(#REF!="הכל",#REF!="",מלאי!W50=#REF!),OR(#REF!="הכל",#REF!="",ISNUMBER(SEARCH(#REF!,מלאי!C50))),OR(#REF!="הכל",מלאי!#REF!=#REF!)),1,0)</f>
        <v>#REF!</v>
      </c>
      <c r="AF44" t="e">
        <f>IF(AD44=1,COUNTIF($AD$3:$AD44,1),"")</f>
        <v>#REF!</v>
      </c>
      <c r="AG44" t="e">
        <f>IF(AE44=1,COUNTIF($AE$3:$AE44,1),"")</f>
        <v>#REF!</v>
      </c>
    </row>
    <row r="45" spans="1:33" ht="15" hidden="1" customHeight="1" x14ac:dyDescent="0.35">
      <c r="A45" s="4" t="s">
        <v>34</v>
      </c>
      <c r="B45" s="4" t="s">
        <v>55</v>
      </c>
      <c r="C45" s="4" t="s">
        <v>36</v>
      </c>
      <c r="D45" s="12" t="s">
        <v>253</v>
      </c>
      <c r="E45" s="4" t="str">
        <f>IFERROR(INDEX(הגדרות!$I$2:$I$47,MATCH(B45,הגדרות!$H$2:$H$47,0)),"")</f>
        <v>7004-01</v>
      </c>
      <c r="F45" s="4" t="s">
        <v>37</v>
      </c>
      <c r="G45" s="4"/>
      <c r="H45" s="4" t="s">
        <v>39</v>
      </c>
      <c r="I45" s="4"/>
      <c r="J45" s="4" t="s">
        <v>40</v>
      </c>
      <c r="K45" s="4"/>
      <c r="L45" s="4" t="s">
        <v>2</v>
      </c>
      <c r="M45" s="4"/>
      <c r="N45" s="4" t="s">
        <v>2</v>
      </c>
      <c r="O45" s="4" t="s">
        <v>2</v>
      </c>
      <c r="P45" s="12" t="s">
        <v>240</v>
      </c>
      <c r="Q45" s="4" t="s">
        <v>40</v>
      </c>
      <c r="R45" s="4"/>
      <c r="S45" s="4" t="s">
        <v>2</v>
      </c>
      <c r="T45" s="4" t="s">
        <v>41</v>
      </c>
      <c r="U45" s="12" t="s">
        <v>241</v>
      </c>
      <c r="V45" s="4"/>
      <c r="W45" s="4"/>
      <c r="X45" s="4"/>
      <c r="Y45" s="4"/>
      <c r="Z45" t="str">
        <f>IFERROR(INDEX(הגדרות!$B$2:$B$17,MATCH(H45,הגדרות!$A$2:$A$17,0)),"")</f>
        <v>מדברי</v>
      </c>
      <c r="AA45">
        <f>IFERROR(INDEX(הגדרות!$C$2:$C$17,MATCH(H45,הגדרות!$A$2:$A$17,0)),"")</f>
        <v>0</v>
      </c>
      <c r="AB45" t="str">
        <f>IFERROR(INDEX(הגדרות!$B$2:$B$17,MATCH(I45,הגדרות!$A$2:$A$17,0)),"")</f>
        <v/>
      </c>
      <c r="AC45" t="str">
        <f>IFERROR(INDEX(הגדרות!$C$2:$C$17,MATCH(I45,הגדרות!$A$2:$A$17,0)),"")</f>
        <v/>
      </c>
      <c r="AD45" t="e">
        <f>IF(AND(מלאי!D87&lt;&gt;"",OR(#REF!="הכל",מלאי!Z87=#REF!,מלאי!AA87=#REF!,מלאי!AB87=#REF!,מלאי!AC87=#REF!),OR(#REF!="הכל",מלאי!A87=#REF!),OR(#REF!="הכל",מלאי!B87=#REF!),OR(#REF!="הכל",מלאי!F87=#REF!,מלאי!G87=#REF!),OR(#REF!="הכל",מלאי!T87=#REF!),OR(#REF!="הכל",מלאי!Q87=#REF!),OR(#REF!="הכל",מלאי!J87=#REF!),OR(#REF!="הכל",מלאי!L87=#REF!),OR(#REF!="הכל",מלאי!O87=#REF!),OR(#REF!="הכל",מלאי!R87=#REF!),OR(#REF!="הכל",#REF!="",מלאי!W87=#REF!),OR(#REF!="הכל",#REF!="",ISNUMBER(SEARCH(#REF!,מלאי!C87)))),1,0)</f>
        <v>#REF!</v>
      </c>
      <c r="AE45" t="e">
        <f>IF(AND(מלאי!D87&lt;&gt;"",OR(#REF!="הכל",מלאי!Z87=#REF!,מלאי!AA87=#REF!,מלאי!AB87=#REF!,מלאי!AC87=#REF!),OR(#REF!="הכל",מלאי!A87=#REF!),OR(#REF!="הכל",מלאי!B87=#REF!),OR(#REF!="הכל",מלאי!F87=#REF!,מלאי!G87=#REF!),OR(#REF!="הכל",מלאי!T87=#REF!),OR(#REF!="הכל",מלאי!Q87=#REF!),OR(#REF!="הכל",מלאי!J87=#REF!),OR(#REF!="הכל",מלאי!L87=#REF!),OR(#REF!="הכל",מלאי!O87=#REF!),OR(#REF!="הכל",מלאי!R87=#REF!),OR(#REF!="הכל",#REF!="",מלאי!W87=#REF!),OR(#REF!="הכל",#REF!="",ISNUMBER(SEARCH(#REF!,מלאי!C87))),OR(#REF!="הכל",מלאי!#REF!=#REF!)),1,0)</f>
        <v>#REF!</v>
      </c>
      <c r="AF45" t="e">
        <f>IF(AD45=1,COUNTIF($AD$3:$AD45,1),"")</f>
        <v>#REF!</v>
      </c>
      <c r="AG45" t="e">
        <f>IF(AE45=1,COUNTIF($AE$3:$AE45,1),"")</f>
        <v>#REF!</v>
      </c>
    </row>
    <row r="46" spans="1:33" ht="15" hidden="1" customHeight="1" x14ac:dyDescent="0.35">
      <c r="A46" s="4" t="s">
        <v>34</v>
      </c>
      <c r="B46" s="4" t="s">
        <v>55</v>
      </c>
      <c r="C46" s="12" t="s">
        <v>36</v>
      </c>
      <c r="D46" s="12" t="s">
        <v>254</v>
      </c>
      <c r="E46" s="4" t="str">
        <f>IFERROR(INDEX(הגדרות!$I$2:$I$47,MATCH(B46,הגדרות!$H$2:$H$47,0)),"")</f>
        <v>7004-01</v>
      </c>
      <c r="F46" s="4" t="s">
        <v>37</v>
      </c>
      <c r="G46" s="4" t="s">
        <v>45</v>
      </c>
      <c r="H46" s="4" t="s">
        <v>52</v>
      </c>
      <c r="I46" s="4" t="s">
        <v>67</v>
      </c>
      <c r="J46" s="4" t="s">
        <v>40</v>
      </c>
      <c r="K46" s="4" t="s">
        <v>40</v>
      </c>
      <c r="L46" s="4" t="s">
        <v>40</v>
      </c>
      <c r="M46" s="4" t="s">
        <v>40</v>
      </c>
      <c r="N46" s="4" t="s">
        <v>40</v>
      </c>
      <c r="O46" s="4" t="s">
        <v>40</v>
      </c>
      <c r="P46" s="12"/>
      <c r="Q46" s="4" t="s">
        <v>40</v>
      </c>
      <c r="R46" s="4"/>
      <c r="S46" s="4" t="s">
        <v>2</v>
      </c>
      <c r="T46" s="4" t="s">
        <v>41</v>
      </c>
      <c r="U46" s="12"/>
      <c r="V46" s="4"/>
      <c r="W46" s="4"/>
      <c r="X46" s="4"/>
      <c r="Y46" s="4"/>
      <c r="Z46" t="str">
        <f>IFERROR(INDEX(הגדרות!$B$2:$B$17,MATCH(H46,הגדרות!$A$2:$A$17,0)),"")</f>
        <v>מיוער</v>
      </c>
      <c r="AA46">
        <f>IFERROR(INDEX(הגדרות!$C$2:$C$17,MATCH(H46,הגדרות!$A$2:$A$17,0)),"")</f>
        <v>0</v>
      </c>
      <c r="AB46" t="str">
        <f>IFERROR(INDEX(הגדרות!$B$2:$B$17,MATCH(I46,הגדרות!$A$2:$A$17,0)),"")</f>
        <v>מיוער</v>
      </c>
      <c r="AC46">
        <f>IFERROR(INDEX(הגדרות!$C$2:$C$17,MATCH(I46,הגדרות!$A$2:$A$17,0)),"")</f>
        <v>0</v>
      </c>
      <c r="AD46" t="e">
        <f>IF(AND(מלאי!D88&lt;&gt;"",OR(#REF!="הכל",מלאי!Z88=#REF!,מלאי!AA88=#REF!,מלאי!AB88=#REF!,מלאי!AC88=#REF!),OR(#REF!="הכל",מלאי!A88=#REF!),OR(#REF!="הכל",מלאי!B88=#REF!),OR(#REF!="הכל",מלאי!F88=#REF!,מלאי!G88=#REF!),OR(#REF!="הכל",מלאי!T88=#REF!),OR(#REF!="הכל",מלאי!Q88=#REF!),OR(#REF!="הכל",מלאי!J88=#REF!),OR(#REF!="הכל",מלאי!L88=#REF!),OR(#REF!="הכל",מלאי!O88=#REF!),OR(#REF!="הכל",מלאי!R88=#REF!),OR(#REF!="הכל",#REF!="",מלאי!W88=#REF!),OR(#REF!="הכל",#REF!="",ISNUMBER(SEARCH(#REF!,מלאי!C88)))),1,0)</f>
        <v>#REF!</v>
      </c>
      <c r="AE46" t="e">
        <f>IF(AND(מלאי!D88&lt;&gt;"",OR(#REF!="הכל",מלאי!Z88=#REF!,מלאי!AA88=#REF!,מלאי!AB88=#REF!,מלאי!AC88=#REF!),OR(#REF!="הכל",מלאי!A88=#REF!),OR(#REF!="הכל",מלאי!B88=#REF!),OR(#REF!="הכל",מלאי!F88=#REF!,מלאי!G88=#REF!),OR(#REF!="הכל",מלאי!T88=#REF!),OR(#REF!="הכל",מלאי!Q88=#REF!),OR(#REF!="הכל",מלאי!J88=#REF!),OR(#REF!="הכל",מלאי!L88=#REF!),OR(#REF!="הכל",מלאי!O88=#REF!),OR(#REF!="הכל",מלאי!R88=#REF!),OR(#REF!="הכל",#REF!="",מלאי!W88=#REF!),OR(#REF!="הכל",#REF!="",ISNUMBER(SEARCH(#REF!,מלאי!C88))),OR(#REF!="הכל",מלאי!#REF!=#REF!)),1,0)</f>
        <v>#REF!</v>
      </c>
      <c r="AF46" t="e">
        <f>IF(AD46=1,COUNTIF($AD$3:$AD46,1),"")</f>
        <v>#REF!</v>
      </c>
      <c r="AG46" t="e">
        <f>IF(AE46=1,COUNTIF($AE$3:$AE46,1),"")</f>
        <v>#REF!</v>
      </c>
    </row>
    <row r="47" spans="1:33" ht="15" hidden="1" customHeight="1" x14ac:dyDescent="0.35">
      <c r="A47" s="5" t="s">
        <v>34</v>
      </c>
      <c r="B47" s="29" t="s">
        <v>55</v>
      </c>
      <c r="C47" s="5" t="s">
        <v>36</v>
      </c>
      <c r="D47" s="11" t="s">
        <v>342</v>
      </c>
      <c r="E47" s="5" t="str">
        <f>IFERROR(INDEX(הגדרות!$I$2:$I$47,MATCH(B47,הגדרות!$H$2:$H$47,0)),"")</f>
        <v>7004-01</v>
      </c>
      <c r="F47" s="5" t="s">
        <v>37</v>
      </c>
      <c r="G47" s="5"/>
      <c r="H47" s="29" t="s">
        <v>38</v>
      </c>
      <c r="I47" s="29" t="s">
        <v>39</v>
      </c>
      <c r="J47" s="5" t="s">
        <v>40</v>
      </c>
      <c r="K47" s="5" t="s">
        <v>40</v>
      </c>
      <c r="L47" s="5" t="s">
        <v>40</v>
      </c>
      <c r="M47" s="5" t="s">
        <v>40</v>
      </c>
      <c r="N47" s="5"/>
      <c r="O47" s="5" t="s">
        <v>40</v>
      </c>
      <c r="P47" s="5"/>
      <c r="Q47" s="5" t="s">
        <v>2</v>
      </c>
      <c r="R47" s="5"/>
      <c r="S47" s="5" t="s">
        <v>2</v>
      </c>
      <c r="T47" s="5" t="s">
        <v>41</v>
      </c>
      <c r="U47" s="5"/>
      <c r="V47" s="5"/>
      <c r="W47" s="5"/>
      <c r="X47" s="5"/>
      <c r="Y47" s="5"/>
      <c r="Z47" t="str">
        <f>IFERROR(INDEX(הגדרות!$B$2:$B$17,MATCH(H47,הגדרות!$A$2:$A$17,0)),"")</f>
        <v>מיוער</v>
      </c>
      <c r="AA47">
        <f>IFERROR(INDEX(הגדרות!$C$2:$C$17,MATCH(H47,הגדרות!$A$2:$A$17,0)),"")</f>
        <v>0</v>
      </c>
      <c r="AB47" t="str">
        <f>IFERROR(INDEX(הגדרות!$B$2:$B$17,MATCH(I47,הגדרות!$A$2:$A$17,0)),"")</f>
        <v>מדברי</v>
      </c>
      <c r="AC47">
        <f>IFERROR(INDEX(הגדרות!$C$2:$C$17,MATCH(I47,הגדרות!$A$2:$A$17,0)),"")</f>
        <v>0</v>
      </c>
      <c r="AD47" t="e">
        <f>IF(AND(מלאי!D125&lt;&gt;"",OR(#REF!="הכל",מלאי!Z125=#REF!,מלאי!AA125=#REF!,מלאי!AB125=#REF!,מלאי!AC125=#REF!),OR(#REF!="הכל",מלאי!A125=#REF!),OR(#REF!="הכל",מלאי!B125=#REF!),OR(#REF!="הכל",מלאי!F125=#REF!,מלאי!G125=#REF!),OR(#REF!="הכל",מלאי!T125=#REF!),OR(#REF!="הכל",מלאי!Q125=#REF!),OR(#REF!="הכל",מלאי!J125=#REF!),OR(#REF!="הכל",מלאי!L125=#REF!),OR(#REF!="הכל",מלאי!O125=#REF!),OR(#REF!="הכל",מלאי!R125=#REF!),OR(#REF!="הכל",#REF!="",מלאי!W125=#REF!),OR(#REF!="הכל",#REF!="",ISNUMBER(SEARCH(#REF!,מלאי!C125)))),1,0)</f>
        <v>#REF!</v>
      </c>
      <c r="AE47" t="e">
        <f>IF(AND(מלאי!D125&lt;&gt;"",OR(#REF!="הכל",מלאי!Z125=#REF!,מלאי!AA125=#REF!,מלאי!AB125=#REF!,מלאי!AC125=#REF!),OR(#REF!="הכל",מלאי!A125=#REF!),OR(#REF!="הכל",מלאי!B125=#REF!),OR(#REF!="הכל",מלאי!F125=#REF!,מלאי!G125=#REF!),OR(#REF!="הכל",מלאי!T125=#REF!),OR(#REF!="הכל",מלאי!Q125=#REF!),OR(#REF!="הכל",מלאי!J125=#REF!),OR(#REF!="הכל",מלאי!L125=#REF!),OR(#REF!="הכל",מלאי!O125=#REF!),OR(#REF!="הכל",מלאי!R125=#REF!),OR(#REF!="הכל",#REF!="",מלאי!W125=#REF!),OR(#REF!="הכל",#REF!="",ISNUMBER(SEARCH(#REF!,מלאי!C125))),OR(#REF!="הכל",מלאי!#REF!=#REF!)),1,0)</f>
        <v>#REF!</v>
      </c>
      <c r="AF47" t="e">
        <f>IF(AD47=1,COUNTIF($AD$3:$AD47,1),"")</f>
        <v>#REF!</v>
      </c>
      <c r="AG47" t="e">
        <f>IF(AE47=1,COUNTIF($AE$3:$AE47,1),"")</f>
        <v>#REF!</v>
      </c>
    </row>
    <row r="48" spans="1:33" ht="15" hidden="1" customHeight="1" x14ac:dyDescent="0.35">
      <c r="A48" s="27" t="s">
        <v>139</v>
      </c>
      <c r="B48" s="27" t="s">
        <v>362</v>
      </c>
      <c r="C48" s="27"/>
      <c r="D48" s="27" t="s">
        <v>433</v>
      </c>
      <c r="E48" s="8" t="str">
        <f>IFERROR(INDEX(הגדרות!$I$2:$I$47,MATCH(B48,הגדרות!$H$2:$H$47,0)),"")</f>
        <v/>
      </c>
      <c r="F48" s="8" t="s">
        <v>80</v>
      </c>
      <c r="G48" s="8"/>
      <c r="H48" s="8" t="s">
        <v>39</v>
      </c>
      <c r="I48" s="8" t="s">
        <v>68</v>
      </c>
      <c r="J48" s="8" t="s">
        <v>40</v>
      </c>
      <c r="K48" s="8" t="s">
        <v>40</v>
      </c>
      <c r="L48" s="8" t="s">
        <v>2</v>
      </c>
      <c r="M48" s="8" t="s">
        <v>2</v>
      </c>
      <c r="N48" s="8"/>
      <c r="O48" s="8"/>
      <c r="P48" s="8"/>
      <c r="Q48" s="8"/>
      <c r="R48" s="8"/>
      <c r="S48" s="8"/>
      <c r="T48" s="8" t="s">
        <v>41</v>
      </c>
      <c r="U48" s="8"/>
      <c r="V48" s="8"/>
      <c r="W48" s="8"/>
      <c r="X48" s="8"/>
      <c r="Y48" s="8"/>
      <c r="Z48" t="str">
        <f>IFERROR(INDEX(הגדרות!$B$2:$B$17,MATCH(H48,הגדרות!$A$2:$A$17,0)),"")</f>
        <v>מדברי</v>
      </c>
      <c r="AA48">
        <f>IFERROR(INDEX(הגדרות!$C$2:$C$17,MATCH(H48,הגדרות!$A$2:$A$17,0)),"")</f>
        <v>0</v>
      </c>
      <c r="AB48" t="str">
        <f>IFERROR(INDEX(הגדרות!$B$2:$B$17,MATCH(I48,הגדרות!$A$2:$A$17,0)),"")</f>
        <v>מדברי</v>
      </c>
      <c r="AC48">
        <f>IFERROR(INDEX(הגדרות!$C$2:$C$17,MATCH(I48,הגדרות!$A$2:$A$17,0)),"")</f>
        <v>0</v>
      </c>
      <c r="AD48" t="e">
        <f>IF(AND(מלאי!D138&lt;&gt;"",OR(#REF!="הכל",מלאי!Z138=#REF!,מלאי!AA138=#REF!,מלאי!AB138=#REF!,מלאי!AC138=#REF!),OR(#REF!="הכל",מלאי!A138=#REF!),OR(#REF!="הכל",מלאי!B138=#REF!),OR(#REF!="הכל",מלאי!F138=#REF!,מלאי!G138=#REF!),OR(#REF!="הכל",מלאי!T138=#REF!),OR(#REF!="הכל",מלאי!Q138=#REF!),OR(#REF!="הכל",מלאי!J138=#REF!),OR(#REF!="הכל",מלאי!L138=#REF!),OR(#REF!="הכל",מלאי!O138=#REF!),OR(#REF!="הכל",מלאי!R138=#REF!),OR(#REF!="הכל",#REF!="",מלאי!W138=#REF!),OR(#REF!="הכל",#REF!="",ISNUMBER(SEARCH(#REF!,מלאי!C138)))),1,0)</f>
        <v>#REF!</v>
      </c>
      <c r="AE48" t="e">
        <f>IF(AND(מלאי!D138&lt;&gt;"",OR(#REF!="הכל",מלאי!Z138=#REF!,מלאי!AA138=#REF!,מלאי!AB138=#REF!,מלאי!AC138=#REF!),OR(#REF!="הכל",מלאי!A138=#REF!),OR(#REF!="הכל",מלאי!B138=#REF!),OR(#REF!="הכל",מלאי!F138=#REF!,מלאי!G138=#REF!),OR(#REF!="הכל",מלאי!T138=#REF!),OR(#REF!="הכל",מלאי!Q138=#REF!),OR(#REF!="הכל",מלאי!J138=#REF!),OR(#REF!="הכל",מלאי!L138=#REF!),OR(#REF!="הכל",מלאי!O138=#REF!),OR(#REF!="הכל",מלאי!R138=#REF!),OR(#REF!="הכל",#REF!="",מלאי!W138=#REF!),OR(#REF!="הכל",#REF!="",ISNUMBER(SEARCH(#REF!,מלאי!C138))),OR(#REF!="הכל",מלאי!#REF!=#REF!)),1,0)</f>
        <v>#REF!</v>
      </c>
      <c r="AF48" t="e">
        <f>IF(AD48=1,COUNTIF($AD$3:$AD48,1),"")</f>
        <v>#REF!</v>
      </c>
      <c r="AG48" t="e">
        <f>IF(AE48=1,COUNTIF($AE$3:$AE48,1),"")</f>
        <v>#REF!</v>
      </c>
    </row>
    <row r="49" spans="1:33" ht="15" hidden="1" customHeight="1" x14ac:dyDescent="0.35">
      <c r="A49" s="27" t="s">
        <v>139</v>
      </c>
      <c r="B49" s="27" t="s">
        <v>362</v>
      </c>
      <c r="C49" s="27"/>
      <c r="D49" s="27" t="s">
        <v>434</v>
      </c>
      <c r="E49" s="8" t="str">
        <f>IFERROR(INDEX(הגדרות!$I$2:$I$47,MATCH(B49,הגדרות!$H$2:$H$47,0)),"")</f>
        <v/>
      </c>
      <c r="F49" s="8" t="s">
        <v>80</v>
      </c>
      <c r="G49" s="8"/>
      <c r="H49" s="8" t="s">
        <v>39</v>
      </c>
      <c r="I49" s="8" t="s">
        <v>68</v>
      </c>
      <c r="J49" s="8" t="s">
        <v>40</v>
      </c>
      <c r="K49" s="8" t="s">
        <v>40</v>
      </c>
      <c r="L49" s="8" t="s">
        <v>2</v>
      </c>
      <c r="M49" s="8" t="s">
        <v>2</v>
      </c>
      <c r="N49" s="8"/>
      <c r="O49" s="8"/>
      <c r="P49" s="8"/>
      <c r="Q49" s="8"/>
      <c r="R49" s="8"/>
      <c r="S49" s="8"/>
      <c r="T49" s="8" t="s">
        <v>41</v>
      </c>
      <c r="U49" s="8"/>
      <c r="V49" s="8"/>
      <c r="W49" s="8"/>
      <c r="X49" s="8"/>
      <c r="Y49" s="8"/>
      <c r="Z49" t="str">
        <f>IFERROR(INDEX(הגדרות!$B$2:$B$17,MATCH(H49,הגדרות!$A$2:$A$17,0)),"")</f>
        <v>מדברי</v>
      </c>
      <c r="AA49">
        <f>IFERROR(INDEX(הגדרות!$C$2:$C$17,MATCH(H49,הגדרות!$A$2:$A$17,0)),"")</f>
        <v>0</v>
      </c>
      <c r="AB49" t="str">
        <f>IFERROR(INDEX(הגדרות!$B$2:$B$17,MATCH(I49,הגדרות!$A$2:$A$17,0)),"")</f>
        <v>מדברי</v>
      </c>
      <c r="AC49">
        <f>IFERROR(INDEX(הגדרות!$C$2:$C$17,MATCH(I49,הגדרות!$A$2:$A$17,0)),"")</f>
        <v>0</v>
      </c>
      <c r="AD49" t="e">
        <f>IF(AND(מלאי!D139&lt;&gt;"",OR(#REF!="הכל",מלאי!Z139=#REF!,מלאי!AA139=#REF!,מלאי!AB139=#REF!,מלאי!AC139=#REF!),OR(#REF!="הכל",מלאי!A139=#REF!),OR(#REF!="הכל",מלאי!B139=#REF!),OR(#REF!="הכל",מלאי!F139=#REF!,מלאי!G139=#REF!),OR(#REF!="הכל",מלאי!T139=#REF!),OR(#REF!="הכל",מלאי!Q139=#REF!),OR(#REF!="הכל",מלאי!J139=#REF!),OR(#REF!="הכל",מלאי!L139=#REF!),OR(#REF!="הכל",מלאי!O139=#REF!),OR(#REF!="הכל",מלאי!R139=#REF!),OR(#REF!="הכל",#REF!="",מלאי!W139=#REF!),OR(#REF!="הכל",#REF!="",ISNUMBER(SEARCH(#REF!,מלאי!C139)))),1,0)</f>
        <v>#REF!</v>
      </c>
      <c r="AE49" t="e">
        <f>IF(AND(מלאי!D139&lt;&gt;"",OR(#REF!="הכל",מלאי!Z139=#REF!,מלאי!AA139=#REF!,מלאי!AB139=#REF!,מלאי!AC139=#REF!),OR(#REF!="הכל",מלאי!A139=#REF!),OR(#REF!="הכל",מלאי!B139=#REF!),OR(#REF!="הכל",מלאי!F139=#REF!,מלאי!G139=#REF!),OR(#REF!="הכל",מלאי!T139=#REF!),OR(#REF!="הכל",מלאי!Q139=#REF!),OR(#REF!="הכל",מלאי!J139=#REF!),OR(#REF!="הכל",מלאי!L139=#REF!),OR(#REF!="הכל",מלאי!O139=#REF!),OR(#REF!="הכל",מלאי!R139=#REF!),OR(#REF!="הכל",#REF!="",מלאי!W139=#REF!),OR(#REF!="הכל",#REF!="",ISNUMBER(SEARCH(#REF!,מלאי!C139))),OR(#REF!="הכל",מלאי!#REF!=#REF!)),1,0)</f>
        <v>#REF!</v>
      </c>
      <c r="AF49" t="e">
        <f>IF(AD49=1,COUNTIF($AD$3:$AD49,1),"")</f>
        <v>#REF!</v>
      </c>
      <c r="AG49" t="e">
        <f>IF(AE49=1,COUNTIF($AE$3:$AE49,1),"")</f>
        <v>#REF!</v>
      </c>
    </row>
    <row r="50" spans="1:33" ht="15" customHeight="1" x14ac:dyDescent="0.35">
      <c r="A50" s="4" t="s">
        <v>144</v>
      </c>
      <c r="B50" s="4" t="s">
        <v>196</v>
      </c>
      <c r="C50" s="4" t="s">
        <v>327</v>
      </c>
      <c r="D50" s="4" t="s">
        <v>330</v>
      </c>
      <c r="E50" s="4" t="str">
        <f>IFERROR(INDEX(הגדרות!$I$2:$I$47,MATCH(B50,הגדרות!$H$2:$H$47,0)),"")</f>
        <v>8030-00</v>
      </c>
      <c r="F50" s="4" t="s">
        <v>311</v>
      </c>
      <c r="G50" s="4"/>
      <c r="H50" s="4" t="s">
        <v>72</v>
      </c>
      <c r="I50" s="4"/>
      <c r="J50" s="4" t="s">
        <v>40</v>
      </c>
      <c r="K50" s="4"/>
      <c r="L50" s="4"/>
      <c r="M50" s="4"/>
      <c r="N50" s="4"/>
      <c r="O50" s="4"/>
      <c r="P50" s="4" t="s">
        <v>333</v>
      </c>
      <c r="Q50" s="4"/>
      <c r="R50" s="4"/>
      <c r="S50" s="4"/>
      <c r="T50" s="4" t="s">
        <v>41</v>
      </c>
      <c r="U50" s="4"/>
      <c r="V50" s="4"/>
      <c r="W50" s="4"/>
      <c r="X50" s="4"/>
      <c r="Y50" s="4"/>
      <c r="Z50" t="str">
        <f>IFERROR(INDEX(הגדרות!$B$2:$B$17,MATCH(H50,הגדרות!$A$2:$A$17,0)),"")</f>
        <v>מיוער</v>
      </c>
      <c r="AA50">
        <f>IFERROR(INDEX(הגדרות!$C$2:$C$17,MATCH(H50,הגדרות!$A$2:$A$17,0)),"")</f>
        <v>0</v>
      </c>
      <c r="AB50" t="str">
        <f>IFERROR(INDEX(הגדרות!$B$2:$B$17,MATCH(I50,הגדרות!$A$2:$A$17,0)),"")</f>
        <v/>
      </c>
      <c r="AC50" t="str">
        <f>IFERROR(INDEX(הגדרות!$C$2:$C$17,MATCH(I50,הגדרות!$A$2:$A$17,0)),"")</f>
        <v/>
      </c>
      <c r="AD50" t="e">
        <f>IF(AND(מלאי!D109&lt;&gt;"",OR(#REF!="הכל",מלאי!Z109=#REF!,מלאי!AA109=#REF!,מלאי!AB109=#REF!,מלאי!AC109=#REF!),OR(#REF!="הכל",מלאי!A109=#REF!),OR(#REF!="הכל",מלאי!B109=#REF!),OR(#REF!="הכל",מלאי!F109=#REF!,מלאי!G109=#REF!),OR(#REF!="הכל",מלאי!T109=#REF!),OR(#REF!="הכל",מלאי!Q109=#REF!),OR(#REF!="הכל",מלאי!J109=#REF!),OR(#REF!="הכל",מלאי!L109=#REF!),OR(#REF!="הכל",מלאי!O109=#REF!),OR(#REF!="הכל",מלאי!R109=#REF!),OR(#REF!="הכל",#REF!="",מלאי!W109=#REF!),OR(#REF!="הכל",#REF!="",ISNUMBER(SEARCH(#REF!,מלאי!C109)))),1,0)</f>
        <v>#REF!</v>
      </c>
      <c r="AE50" t="e">
        <f>IF(AND(מלאי!D109&lt;&gt;"",OR(#REF!="הכל",מלאי!Z109=#REF!,מלאי!AA109=#REF!,מלאי!AB109=#REF!,מלאי!AC109=#REF!),OR(#REF!="הכל",מלאי!A109=#REF!),OR(#REF!="הכל",מלאי!B109=#REF!),OR(#REF!="הכל",מלאי!F109=#REF!,מלאי!G109=#REF!),OR(#REF!="הכל",מלאי!T109=#REF!),OR(#REF!="הכל",מלאי!Q109=#REF!),OR(#REF!="הכל",מלאי!J109=#REF!),OR(#REF!="הכל",מלאי!L109=#REF!),OR(#REF!="הכל",מלאי!O109=#REF!),OR(#REF!="הכל",מלאי!R109=#REF!),OR(#REF!="הכל",#REF!="",מלאי!W109=#REF!),OR(#REF!="הכל",#REF!="",ISNUMBER(SEARCH(#REF!,מלאי!C109))),OR(#REF!="הכל",מלאי!#REF!=#REF!)),1,0)</f>
        <v>#REF!</v>
      </c>
      <c r="AF50" t="e">
        <f>IF(AD50=1,COUNTIF($AD$3:$AD50,1),"")</f>
        <v>#REF!</v>
      </c>
      <c r="AG50" t="e">
        <f>IF(AE50=1,COUNTIF($AE$3:$AE50,1),"")</f>
        <v>#REF!</v>
      </c>
    </row>
    <row r="51" spans="1:33" ht="23.25" customHeight="1" x14ac:dyDescent="0.35">
      <c r="A51" s="5" t="s">
        <v>144</v>
      </c>
      <c r="B51" s="5" t="s">
        <v>196</v>
      </c>
      <c r="C51" s="12"/>
      <c r="D51" s="5" t="s">
        <v>410</v>
      </c>
      <c r="E51" s="5" t="str">
        <f>IFERROR(INDEX(הגדרות!$I$2:$I$47,MATCH(B51,הגדרות!$H$2:$H$47,0)),"")</f>
        <v>8030-00</v>
      </c>
      <c r="F51" s="5" t="s">
        <v>168</v>
      </c>
      <c r="G51" s="5"/>
      <c r="H51" s="5" t="s">
        <v>72</v>
      </c>
      <c r="I51" s="5"/>
      <c r="J51" s="5" t="s">
        <v>40</v>
      </c>
      <c r="K51" s="5"/>
      <c r="L51" s="5"/>
      <c r="M51" s="5"/>
      <c r="N51" s="5"/>
      <c r="O51" s="5"/>
      <c r="P51" s="5"/>
      <c r="Q51" s="5"/>
      <c r="R51" s="5"/>
      <c r="S51" s="5"/>
      <c r="T51" s="5" t="s">
        <v>41</v>
      </c>
      <c r="U51" s="5"/>
      <c r="V51" s="5"/>
      <c r="W51" s="5"/>
      <c r="X51" s="5"/>
      <c r="Y51" s="5"/>
      <c r="Z51" t="str">
        <f>IFERROR(INDEX(הגדרות!$B$2:$B$17,MATCH(H51,הגדרות!$A$2:$A$17,0)),"")</f>
        <v>מיוער</v>
      </c>
      <c r="AA51">
        <f>IFERROR(INDEX(הגדרות!$C$2:$C$17,MATCH(H51,הגדרות!$A$2:$A$17,0)),"")</f>
        <v>0</v>
      </c>
      <c r="AB51" t="str">
        <f>IFERROR(INDEX(הגדרות!$B$2:$B$17,MATCH(I51,הגדרות!$A$2:$A$17,0)),"")</f>
        <v/>
      </c>
      <c r="AC51" t="str">
        <f>IFERROR(INDEX(הגדרות!$C$2:$C$17,MATCH(I51,הגדרות!$A$2:$A$17,0)),"")</f>
        <v/>
      </c>
      <c r="AD51" t="e">
        <f>IF(AND(מלאי!D163&lt;&gt;"",OR(#REF!="הכל",מלאי!Z163=#REF!,מלאי!AA163=#REF!,מלאי!AB163=#REF!,מלאי!AC163=#REF!),OR(#REF!="הכל",מלאי!A163=#REF!),OR(#REF!="הכל",מלאי!B163=#REF!),OR(#REF!="הכל",מלאי!F163=#REF!,מלאי!G163=#REF!),OR(#REF!="הכל",מלאי!T163=#REF!),OR(#REF!="הכל",מלאי!Q163=#REF!),OR(#REF!="הכל",מלאי!J163=#REF!),OR(#REF!="הכל",מלאי!L163=#REF!),OR(#REF!="הכל",מלאי!O163=#REF!),OR(#REF!="הכל",מלאי!R163=#REF!),OR(#REF!="הכל",#REF!="",מלאי!W163=#REF!),OR(#REF!="הכל",#REF!="",ISNUMBER(SEARCH(#REF!,מלאי!C163)))),1,0)</f>
        <v>#REF!</v>
      </c>
      <c r="AE51" t="e">
        <f>IF(AND(מלאי!D163&lt;&gt;"",OR(#REF!="הכל",מלאי!Z163=#REF!,מלאי!AA163=#REF!,מלאי!AB163=#REF!,מלאי!AC163=#REF!),OR(#REF!="הכל",מלאי!A163=#REF!),OR(#REF!="הכל",מלאי!B163=#REF!),OR(#REF!="הכל",מלאי!F163=#REF!,מלאי!G163=#REF!),OR(#REF!="הכל",מלאי!T163=#REF!),OR(#REF!="הכל",מלאי!Q163=#REF!),OR(#REF!="הכל",מלאי!J163=#REF!),OR(#REF!="הכל",מלאי!L163=#REF!),OR(#REF!="הכל",מלאי!O163=#REF!),OR(#REF!="הכל",מלאי!R163=#REF!),OR(#REF!="הכל",#REF!="",מלאי!W163=#REF!),OR(#REF!="הכל",#REF!="",ISNUMBER(SEARCH(#REF!,מלאי!C163))),OR(#REF!="הכל",מלאי!#REF!=#REF!)),1,0)</f>
        <v>#REF!</v>
      </c>
      <c r="AF51" t="e">
        <f>IF(AD51=1,COUNTIF($AD$3:$AD51,1),"")</f>
        <v>#REF!</v>
      </c>
      <c r="AG51" t="e">
        <f>IF(AE51=1,COUNTIF($AE$3:$AE51,1),"")</f>
        <v>#REF!</v>
      </c>
    </row>
    <row r="52" spans="1:33" ht="23.25" customHeight="1" x14ac:dyDescent="0.35">
      <c r="A52" s="5" t="s">
        <v>144</v>
      </c>
      <c r="B52" s="5" t="s">
        <v>196</v>
      </c>
      <c r="C52" s="12" t="s">
        <v>449</v>
      </c>
      <c r="D52" s="5" t="s">
        <v>450</v>
      </c>
      <c r="E52" s="5" t="str">
        <f>IFERROR(INDEX(הגדרות!$I$2:$I$47,MATCH(B52,הגדרות!$H$2:$H$47,0)),"")</f>
        <v>8030-00</v>
      </c>
      <c r="F52" s="5" t="s">
        <v>313</v>
      </c>
      <c r="G52" s="5"/>
      <c r="H52" s="5" t="s">
        <v>72</v>
      </c>
      <c r="I52" s="5"/>
      <c r="J52" s="5" t="s">
        <v>40</v>
      </c>
      <c r="K52" s="5"/>
      <c r="L52" s="5"/>
      <c r="M52" s="5"/>
      <c r="N52" s="5"/>
      <c r="O52" s="5"/>
      <c r="P52" s="5"/>
      <c r="Q52" s="5" t="s">
        <v>40</v>
      </c>
      <c r="R52" s="5"/>
      <c r="S52" s="5"/>
      <c r="T52" s="5" t="s">
        <v>41</v>
      </c>
      <c r="U52" s="5"/>
      <c r="V52" s="5"/>
      <c r="W52" s="5"/>
      <c r="X52" s="5"/>
      <c r="Y52" s="5"/>
      <c r="Z52" t="str">
        <f>IFERROR(INDEX(הגדרות!$B$2:$B$17,MATCH(H52,הגדרות!$A$2:$A$17,0)),"")</f>
        <v>מיוער</v>
      </c>
      <c r="AA52">
        <f>IFERROR(INDEX(הגדרות!$C$2:$C$17,MATCH(H52,הגדרות!$A$2:$A$17,0)),"")</f>
        <v>0</v>
      </c>
      <c r="AB52" t="str">
        <f>IFERROR(INDEX(הגדרות!$B$2:$B$17,MATCH(I52,הגדרות!$A$2:$A$17,0)),"")</f>
        <v/>
      </c>
      <c r="AC52" t="str">
        <f>IFERROR(INDEX(הגדרות!$C$2:$C$17,MATCH(I52,הגדרות!$A$2:$A$17,0)),"")</f>
        <v/>
      </c>
      <c r="AD52" t="e">
        <f>IF(AND(מלאי!D166&lt;&gt;"",OR(#REF!="הכל",מלאי!Z166=#REF!,מלאי!AA166=#REF!,מלאי!AB166=#REF!,מלאי!AC166=#REF!),OR(#REF!="הכל",מלאי!A166=#REF!),OR(#REF!="הכל",מלאי!B166=#REF!),OR(#REF!="הכל",מלאי!F166=#REF!,מלאי!G166=#REF!),OR(#REF!="הכל",מלאי!T166=#REF!),OR(#REF!="הכל",מלאי!Q166=#REF!),OR(#REF!="הכל",מלאי!J166=#REF!),OR(#REF!="הכל",מלאי!L166=#REF!),OR(#REF!="הכל",מלאי!O166=#REF!),OR(#REF!="הכל",מלאי!R166=#REF!),OR(#REF!="הכל",#REF!="",מלאי!W166=#REF!),OR(#REF!="הכל",#REF!="",ISNUMBER(SEARCH(#REF!,מלאי!C166)))),1,0)</f>
        <v>#REF!</v>
      </c>
      <c r="AE52" t="e">
        <f>IF(AND(מלאי!D166&lt;&gt;"",OR(#REF!="הכל",מלאי!Z166=#REF!,מלאי!AA166=#REF!,מלאי!AB166=#REF!,מלאי!AC166=#REF!),OR(#REF!="הכל",מלאי!A166=#REF!),OR(#REF!="הכל",מלאי!B166=#REF!),OR(#REF!="הכל",מלאי!F166=#REF!,מלאי!G166=#REF!),OR(#REF!="הכל",מלאי!T166=#REF!),OR(#REF!="הכל",מלאי!Q166=#REF!),OR(#REF!="הכל",מלאי!J166=#REF!),OR(#REF!="הכל",מלאי!L166=#REF!),OR(#REF!="הכל",מלאי!O166=#REF!),OR(#REF!="הכל",מלאי!R166=#REF!),OR(#REF!="הכל",#REF!="",מלאי!W166=#REF!),OR(#REF!="הכל",#REF!="",ISNUMBER(SEARCH(#REF!,מלאי!C166))),OR(#REF!="הכל",מלאי!#REF!=#REF!)),1,0)</f>
        <v>#REF!</v>
      </c>
      <c r="AF52" t="e">
        <f>IF(AD52=1,COUNTIF($AD$3:$AD52,1),"")</f>
        <v>#REF!</v>
      </c>
      <c r="AG52" t="e">
        <f>IF(AE52=1,COUNTIF($AE$3:$AE52,1),"")</f>
        <v>#REF!</v>
      </c>
    </row>
    <row r="53" spans="1:33" ht="15" customHeight="1" x14ac:dyDescent="0.35">
      <c r="A53" s="5" t="s">
        <v>144</v>
      </c>
      <c r="B53" s="5" t="s">
        <v>196</v>
      </c>
      <c r="C53" s="12" t="s">
        <v>449</v>
      </c>
      <c r="D53" s="5" t="s">
        <v>452</v>
      </c>
      <c r="E53" s="5" t="str">
        <f>IFERROR(INDEX(הגדרות!$I$2:$I$47,MATCH(B53,הגדרות!$H$2:$H$47,0)),"")</f>
        <v>8030-00</v>
      </c>
      <c r="F53" s="5" t="s">
        <v>313</v>
      </c>
      <c r="G53" s="5"/>
      <c r="H53" s="5" t="s">
        <v>72</v>
      </c>
      <c r="I53" s="5"/>
      <c r="J53" s="5" t="s">
        <v>40</v>
      </c>
      <c r="K53" s="5"/>
      <c r="L53" s="5"/>
      <c r="M53" s="5"/>
      <c r="N53" s="5"/>
      <c r="O53" s="5"/>
      <c r="P53" s="5"/>
      <c r="Q53" s="5" t="s">
        <v>40</v>
      </c>
      <c r="R53" s="5"/>
      <c r="S53" s="5"/>
      <c r="T53" s="5" t="s">
        <v>41</v>
      </c>
      <c r="U53" s="5"/>
      <c r="V53" s="5"/>
      <c r="W53" s="5"/>
      <c r="X53" s="5"/>
      <c r="Y53" s="5"/>
      <c r="Z53" t="str">
        <f>IFERROR(INDEX(הגדרות!$B$2:$B$17,MATCH(H53,הגדרות!$A$2:$A$17,0)),"")</f>
        <v>מיוער</v>
      </c>
      <c r="AA53">
        <f>IFERROR(INDEX(הגדרות!$C$2:$C$17,MATCH(H53,הגדרות!$A$2:$A$17,0)),"")</f>
        <v>0</v>
      </c>
      <c r="AB53" t="str">
        <f>IFERROR(INDEX(הגדרות!$B$2:$B$17,MATCH(I53,הגדרות!$A$2:$A$17,0)),"")</f>
        <v/>
      </c>
      <c r="AC53" t="str">
        <f>IFERROR(INDEX(הגדרות!$C$2:$C$17,MATCH(I53,הגדרות!$A$2:$A$17,0)),"")</f>
        <v/>
      </c>
      <c r="AD53" t="e">
        <f>IF(AND(מלאי!D167&lt;&gt;"",OR(#REF!="הכל",מלאי!Z167=#REF!,מלאי!AA167=#REF!,מלאי!AB167=#REF!,מלאי!AC167=#REF!),OR(#REF!="הכל",מלאי!A167=#REF!),OR(#REF!="הכל",מלאי!B167=#REF!),OR(#REF!="הכל",מלאי!F167=#REF!,מלאי!G167=#REF!),OR(#REF!="הכל",מלאי!T167=#REF!),OR(#REF!="הכל",מלאי!Q167=#REF!),OR(#REF!="הכל",מלאי!J167=#REF!),OR(#REF!="הכל",מלאי!L167=#REF!),OR(#REF!="הכל",מלאי!O167=#REF!),OR(#REF!="הכל",מלאי!R167=#REF!),OR(#REF!="הכל",#REF!="",מלאי!W167=#REF!),OR(#REF!="הכל",#REF!="",ISNUMBER(SEARCH(#REF!,מלאי!C167)))),1,0)</f>
        <v>#REF!</v>
      </c>
      <c r="AE53" t="e">
        <f>IF(AND(מלאי!D167&lt;&gt;"",OR(#REF!="הכל",מלאי!Z167=#REF!,מלאי!AA167=#REF!,מלאי!AB167=#REF!,מלאי!AC167=#REF!),OR(#REF!="הכל",מלאי!A167=#REF!),OR(#REF!="הכל",מלאי!B167=#REF!),OR(#REF!="הכל",מלאי!F167=#REF!,מלאי!G167=#REF!),OR(#REF!="הכל",מלאי!T167=#REF!),OR(#REF!="הכל",מלאי!Q167=#REF!),OR(#REF!="הכל",מלאי!J167=#REF!),OR(#REF!="הכל",מלאי!L167=#REF!),OR(#REF!="הכל",מלאי!O167=#REF!),OR(#REF!="הכל",מלאי!R167=#REF!),OR(#REF!="הכל",#REF!="",מלאי!W167=#REF!),OR(#REF!="הכל",#REF!="",ISNUMBER(SEARCH(#REF!,מלאי!C167))),OR(#REF!="הכל",מלאי!#REF!=#REF!)),1,0)</f>
        <v>#REF!</v>
      </c>
      <c r="AF53" t="e">
        <f>IF(AD53=1,COUNTIF($AD$3:$AD53,1),"")</f>
        <v>#REF!</v>
      </c>
      <c r="AG53" t="e">
        <f>IF(AE53=1,COUNTIF($AE$3:$AE53,1),"")</f>
        <v>#REF!</v>
      </c>
    </row>
    <row r="54" spans="1:33" ht="15" customHeight="1" x14ac:dyDescent="0.35">
      <c r="A54" s="5" t="s">
        <v>144</v>
      </c>
      <c r="B54" s="5" t="s">
        <v>196</v>
      </c>
      <c r="C54" s="4" t="s">
        <v>327</v>
      </c>
      <c r="D54" s="5" t="s">
        <v>453</v>
      </c>
      <c r="E54" s="5" t="str">
        <f>IFERROR(INDEX(הגדרות!$I$2:$I$47,MATCH(B54,הגדרות!$H$2:$H$47,0)),"")</f>
        <v>8030-00</v>
      </c>
      <c r="F54" s="5" t="s">
        <v>313</v>
      </c>
      <c r="G54" s="5"/>
      <c r="H54" s="5" t="s">
        <v>72</v>
      </c>
      <c r="I54" s="5"/>
      <c r="J54" s="5" t="s">
        <v>40</v>
      </c>
      <c r="K54" s="5"/>
      <c r="L54" s="5"/>
      <c r="M54" s="5"/>
      <c r="N54" s="5"/>
      <c r="O54" s="5"/>
      <c r="P54" s="5"/>
      <c r="Q54" s="5"/>
      <c r="R54" s="5"/>
      <c r="S54" s="5"/>
      <c r="T54" s="5" t="s">
        <v>41</v>
      </c>
      <c r="U54" s="5"/>
      <c r="V54" s="5"/>
      <c r="W54" s="5"/>
      <c r="X54" s="5"/>
      <c r="Y54" s="5"/>
      <c r="Z54" t="str">
        <f>IFERROR(INDEX(הגדרות!$B$2:$B$17,MATCH(H54,הגדרות!$A$2:$A$17,0)),"")</f>
        <v>מיוער</v>
      </c>
      <c r="AA54">
        <f>IFERROR(INDEX(הגדרות!$C$2:$C$17,MATCH(H54,הגדרות!$A$2:$A$17,0)),"")</f>
        <v>0</v>
      </c>
      <c r="AB54" t="str">
        <f>IFERROR(INDEX(הגדרות!$B$2:$B$17,MATCH(I54,הגדרות!$A$2:$A$17,0)),"")</f>
        <v/>
      </c>
      <c r="AC54" t="str">
        <f>IFERROR(INDEX(הגדרות!$C$2:$C$17,MATCH(I54,הגדרות!$A$2:$A$17,0)),"")</f>
        <v/>
      </c>
      <c r="AD54" t="e">
        <f>IF(AND(מלאי!D168&lt;&gt;"",OR(#REF!="הכל",מלאי!Z168=#REF!,מלאי!AA168=#REF!,מלאי!AB168=#REF!,מלאי!AC168=#REF!),OR(#REF!="הכל",מלאי!A168=#REF!),OR(#REF!="הכל",מלאי!B168=#REF!),OR(#REF!="הכל",מלאי!F168=#REF!,מלאי!G168=#REF!),OR(#REF!="הכל",מלאי!T168=#REF!),OR(#REF!="הכל",מלאי!Q168=#REF!),OR(#REF!="הכל",מלאי!J168=#REF!),OR(#REF!="הכל",מלאי!L168=#REF!),OR(#REF!="הכל",מלאי!O168=#REF!),OR(#REF!="הכל",מלאי!R168=#REF!),OR(#REF!="הכל",#REF!="",מלאי!W168=#REF!),OR(#REF!="הכל",#REF!="",ISNUMBER(SEARCH(#REF!,מלאי!C168)))),1,0)</f>
        <v>#REF!</v>
      </c>
      <c r="AE54" t="e">
        <f>IF(AND(מלאי!D168&lt;&gt;"",OR(#REF!="הכל",מלאי!Z168=#REF!,מלאי!AA168=#REF!,מלאי!AB168=#REF!,מלאי!AC168=#REF!),OR(#REF!="הכל",מלאי!A168=#REF!),OR(#REF!="הכל",מלאי!B168=#REF!),OR(#REF!="הכל",מלאי!F168=#REF!,מלאי!G168=#REF!),OR(#REF!="הכל",מלאי!T168=#REF!),OR(#REF!="הכל",מלאי!Q168=#REF!),OR(#REF!="הכל",מלאי!J168=#REF!),OR(#REF!="הכל",מלאי!L168=#REF!),OR(#REF!="הכל",מלאי!O168=#REF!),OR(#REF!="הכל",מלאי!R168=#REF!),OR(#REF!="הכל",#REF!="",מלאי!W168=#REF!),OR(#REF!="הכל",#REF!="",ISNUMBER(SEARCH(#REF!,מלאי!C168))),OR(#REF!="הכל",מלאי!#REF!=#REF!)),1,0)</f>
        <v>#REF!</v>
      </c>
      <c r="AF54" t="e">
        <f>IF(AD54=1,COUNTIF($AD$3:$AD54,1),"")</f>
        <v>#REF!</v>
      </c>
      <c r="AG54" t="e">
        <f>IF(AE54=1,COUNTIF($AE$3:$AE54,1),"")</f>
        <v>#REF!</v>
      </c>
    </row>
    <row r="55" spans="1:33" ht="23.25" customHeight="1" x14ac:dyDescent="0.35">
      <c r="A55" s="5" t="s">
        <v>144</v>
      </c>
      <c r="B55" s="5" t="s">
        <v>196</v>
      </c>
      <c r="C55" s="4" t="s">
        <v>327</v>
      </c>
      <c r="D55" s="5" t="s">
        <v>489</v>
      </c>
      <c r="E55" s="5" t="str">
        <f>IFERROR(INDEX(הגדרות!$I$2:$I$47,MATCH(B55,הגדרות!$H$2:$H$47,0)),"")</f>
        <v>8030-00</v>
      </c>
      <c r="F55" s="4" t="s">
        <v>311</v>
      </c>
      <c r="G55" s="5"/>
      <c r="H55" s="5" t="s">
        <v>72</v>
      </c>
      <c r="I55" s="5"/>
      <c r="J55" s="5" t="s">
        <v>40</v>
      </c>
      <c r="K55" s="5"/>
      <c r="L55" s="5"/>
      <c r="M55" s="5"/>
      <c r="N55" s="5"/>
      <c r="O55" s="5"/>
      <c r="P55" s="5"/>
      <c r="Q55" s="5"/>
      <c r="R55" s="5"/>
      <c r="S55" s="5"/>
      <c r="T55" s="5" t="s">
        <v>41</v>
      </c>
      <c r="U55" s="5"/>
      <c r="V55" s="5"/>
      <c r="W55" s="5"/>
      <c r="X55" s="5"/>
      <c r="Y55" s="5"/>
      <c r="Z55" t="str">
        <f>IFERROR(INDEX(הגדרות!$B$2:$B$17,MATCH(H55,הגדרות!$A$2:$A$17,0)),"")</f>
        <v>מיוער</v>
      </c>
      <c r="AA55">
        <f>IFERROR(INDEX(הגדרות!$C$2:$C$17,MATCH(H55,הגדרות!$A$2:$A$17,0)),"")</f>
        <v>0</v>
      </c>
      <c r="AB55" t="str">
        <f>IFERROR(INDEX(הגדרות!$B$2:$B$17,MATCH(I55,הגדרות!$A$2:$A$17,0)),"")</f>
        <v/>
      </c>
      <c r="AC55" t="str">
        <f>IFERROR(INDEX(הגדרות!$C$2:$C$17,MATCH(I55,הגדרות!$A$2:$A$17,0)),"")</f>
        <v/>
      </c>
      <c r="AD55" t="e">
        <f>IF(AND(מלאי!D172&lt;&gt;"",OR(#REF!="הכל",מלאי!Z172=#REF!,מלאי!AA172=#REF!,מלאי!AB172=#REF!,מלאי!AC172=#REF!),OR(#REF!="הכל",מלאי!A172=#REF!),OR(#REF!="הכל",מלאי!B172=#REF!),OR(#REF!="הכל",מלאי!F172=#REF!,מלאי!G172=#REF!),OR(#REF!="הכל",מלאי!T172=#REF!),OR(#REF!="הכל",מלאי!Q172=#REF!),OR(#REF!="הכל",מלאי!J172=#REF!),OR(#REF!="הכל",מלאי!L172=#REF!),OR(#REF!="הכל",מלאי!O172=#REF!),OR(#REF!="הכל",מלאי!R172=#REF!),OR(#REF!="הכל",#REF!="",מלאי!W172=#REF!),OR(#REF!="הכל",#REF!="",ISNUMBER(SEARCH(#REF!,מלאי!C172)))),1,0)</f>
        <v>#REF!</v>
      </c>
      <c r="AE55" t="e">
        <f>IF(AND(מלאי!D172&lt;&gt;"",OR(#REF!="הכל",מלאי!Z172=#REF!,מלאי!AA172=#REF!,מלאי!AB172=#REF!,מלאי!AC172=#REF!),OR(#REF!="הכל",מלאי!A172=#REF!),OR(#REF!="הכל",מלאי!B172=#REF!),OR(#REF!="הכל",מלאי!F172=#REF!,מלאי!G172=#REF!),OR(#REF!="הכל",מלאי!T172=#REF!),OR(#REF!="הכל",מלאי!Q172=#REF!),OR(#REF!="הכל",מלאי!J172=#REF!),OR(#REF!="הכל",מלאי!L172=#REF!),OR(#REF!="הכל",מלאי!O172=#REF!),OR(#REF!="הכל",מלאי!R172=#REF!),OR(#REF!="הכל",#REF!="",מלאי!W172=#REF!),OR(#REF!="הכל",#REF!="",ISNUMBER(SEARCH(#REF!,מלאי!C172))),OR(#REF!="הכל",מלאי!#REF!=#REF!)),1,0)</f>
        <v>#REF!</v>
      </c>
      <c r="AF55" t="e">
        <f>IF(AD55=1,COUNTIF($AD$3:$AD55,1),"")</f>
        <v>#REF!</v>
      </c>
      <c r="AG55" t="e">
        <f>IF(AE55=1,COUNTIF($AE$3:$AE55,1),"")</f>
        <v>#REF!</v>
      </c>
    </row>
    <row r="56" spans="1:33" ht="23.25" customHeight="1" x14ac:dyDescent="0.35">
      <c r="A56" s="5" t="s">
        <v>144</v>
      </c>
      <c r="B56" s="5" t="s">
        <v>196</v>
      </c>
      <c r="C56" s="4"/>
      <c r="D56" s="5" t="s">
        <v>457</v>
      </c>
      <c r="E56" s="5" t="str">
        <f>IFERROR(INDEX(הגדרות!$I$2:$I$47,MATCH(B56,הגדרות!$H$2:$H$47,0)),"")</f>
        <v>8030-00</v>
      </c>
      <c r="F56" s="4" t="s">
        <v>311</v>
      </c>
      <c r="G56" s="5"/>
      <c r="H56" s="5" t="s">
        <v>72</v>
      </c>
      <c r="I56" s="5"/>
      <c r="J56" s="5" t="s">
        <v>40</v>
      </c>
      <c r="K56" s="5"/>
      <c r="L56" s="5"/>
      <c r="M56" s="5"/>
      <c r="N56" s="5"/>
      <c r="O56" s="5" t="s">
        <v>2</v>
      </c>
      <c r="P56" s="5" t="s">
        <v>458</v>
      </c>
      <c r="Q56" s="5"/>
      <c r="R56" s="5"/>
      <c r="S56" s="5"/>
      <c r="T56" s="5" t="s">
        <v>41</v>
      </c>
      <c r="U56" s="5"/>
      <c r="V56" s="5"/>
      <c r="W56" s="5"/>
      <c r="X56" s="5"/>
      <c r="Y56" s="5"/>
      <c r="Z56" t="str">
        <f>IFERROR(INDEX(הגדרות!$B$2:$B$17,MATCH(H56,הגדרות!$A$2:$A$17,0)),"")</f>
        <v>מיוער</v>
      </c>
      <c r="AA56">
        <f>IFERROR(INDEX(הגדרות!$C$2:$C$17,MATCH(H56,הגדרות!$A$2:$A$17,0)),"")</f>
        <v>0</v>
      </c>
      <c r="AB56" t="str">
        <f>IFERROR(INDEX(הגדרות!$B$2:$B$17,MATCH(I56,הגדרות!$A$2:$A$17,0)),"")</f>
        <v/>
      </c>
      <c r="AC56" t="str">
        <f>IFERROR(INDEX(הגדרות!$C$2:$C$17,MATCH(I56,הגדרות!$A$2:$A$17,0)),"")</f>
        <v/>
      </c>
      <c r="AD56" t="e">
        <f>IF(AND(מלאי!D173&lt;&gt;"",OR(#REF!="הכל",מלאי!Z173=#REF!,מלאי!AA173=#REF!,מלאי!AB173=#REF!,מלאי!AC173=#REF!),OR(#REF!="הכל",מלאי!A173=#REF!),OR(#REF!="הכל",מלאי!B173=#REF!),OR(#REF!="הכל",מלאי!F173=#REF!,מלאי!G173=#REF!),OR(#REF!="הכל",מלאי!T173=#REF!),OR(#REF!="הכל",מלאי!Q173=#REF!),OR(#REF!="הכל",מלאי!J173=#REF!),OR(#REF!="הכל",מלאי!L173=#REF!),OR(#REF!="הכל",מלאי!O173=#REF!),OR(#REF!="הכל",מלאי!R173=#REF!),OR(#REF!="הכל",#REF!="",מלאי!W173=#REF!),OR(#REF!="הכל",#REF!="",ISNUMBER(SEARCH(#REF!,מלאי!C173)))),1,0)</f>
        <v>#REF!</v>
      </c>
      <c r="AE56" t="e">
        <f>IF(AND(מלאי!D173&lt;&gt;"",OR(#REF!="הכל",מלאי!Z173=#REF!,מלאי!AA173=#REF!,מלאי!AB173=#REF!,מלאי!AC173=#REF!),OR(#REF!="הכל",מלאי!A173=#REF!),OR(#REF!="הכל",מלאי!B173=#REF!),OR(#REF!="הכל",מלאי!F173=#REF!,מלאי!G173=#REF!),OR(#REF!="הכל",מלאי!T173=#REF!),OR(#REF!="הכל",מלאי!Q173=#REF!),OR(#REF!="הכל",מלאי!J173=#REF!),OR(#REF!="הכל",מלאי!L173=#REF!),OR(#REF!="הכל",מלאי!O173=#REF!),OR(#REF!="הכל",מלאי!R173=#REF!),OR(#REF!="הכל",#REF!="",מלאי!W173=#REF!),OR(#REF!="הכל",#REF!="",ISNUMBER(SEARCH(#REF!,מלאי!C173))),OR(#REF!="הכל",מלאי!#REF!=#REF!)),1,0)</f>
        <v>#REF!</v>
      </c>
      <c r="AF56" t="e">
        <f>IF(AD56=1,COUNTIF($AD$3:$AD56,1),"")</f>
        <v>#REF!</v>
      </c>
      <c r="AG56" t="e">
        <f>IF(AE56=1,COUNTIF($AE$3:$AE56,1),"")</f>
        <v>#REF!</v>
      </c>
    </row>
    <row r="57" spans="1:33" ht="15" customHeight="1" x14ac:dyDescent="0.35">
      <c r="A57" s="5" t="s">
        <v>144</v>
      </c>
      <c r="B57" s="5" t="s">
        <v>196</v>
      </c>
      <c r="C57" s="4" t="s">
        <v>327</v>
      </c>
      <c r="D57" s="5" t="s">
        <v>473</v>
      </c>
      <c r="E57" s="5" t="str">
        <f>IFERROR(INDEX(הגדרות!$I$2:$I$47,MATCH(B57,הגדרות!$H$2:$H$47,0)),"")</f>
        <v>8030-00</v>
      </c>
      <c r="F57" s="4" t="s">
        <v>311</v>
      </c>
      <c r="G57" s="5"/>
      <c r="H57" s="5" t="s">
        <v>165</v>
      </c>
      <c r="I57" s="5"/>
      <c r="J57" s="5" t="s">
        <v>40</v>
      </c>
      <c r="K57" s="5"/>
      <c r="L57" s="5"/>
      <c r="M57" s="5"/>
      <c r="N57" s="5"/>
      <c r="O57" s="5"/>
      <c r="P57" s="5"/>
      <c r="Q57" s="5"/>
      <c r="R57" s="5"/>
      <c r="S57" s="5"/>
      <c r="T57" s="5" t="s">
        <v>41</v>
      </c>
      <c r="U57" s="5"/>
      <c r="V57" s="5"/>
      <c r="W57" s="5"/>
      <c r="X57" s="5"/>
      <c r="Y57" s="5"/>
      <c r="Z57" t="str">
        <f>IFERROR(INDEX(הגדרות!$B$2:$B$17,MATCH(H57,הגדרות!$A$2:$A$17,0)),"")</f>
        <v>שלג</v>
      </c>
      <c r="AA57">
        <f>IFERROR(INDEX(הגדרות!$C$2:$C$17,MATCH(H57,הגדרות!$A$2:$A$17,0)),"")</f>
        <v>0</v>
      </c>
      <c r="AB57" t="str">
        <f>IFERROR(INDEX(הגדרות!$B$2:$B$17,MATCH(I57,הגדרות!$A$2:$A$17,0)),"")</f>
        <v/>
      </c>
      <c r="AC57" t="str">
        <f>IFERROR(INDEX(הגדרות!$C$2:$C$17,MATCH(I57,הגדרות!$A$2:$A$17,0)),"")</f>
        <v/>
      </c>
      <c r="AD57" t="e">
        <f>IF(AND(מלאי!D186&lt;&gt;"",OR(#REF!="הכל",מלאי!Z186=#REF!,מלאי!AA186=#REF!,מלאי!AB186=#REF!,מלאי!AC186=#REF!),OR(#REF!="הכל",מלאי!A186=#REF!),OR(#REF!="הכל",מלאי!B186=#REF!),OR(#REF!="הכל",מלאי!F186=#REF!,מלאי!G186=#REF!),OR(#REF!="הכל",מלאי!T186=#REF!),OR(#REF!="הכל",מלאי!Q186=#REF!),OR(#REF!="הכל",מלאי!J186=#REF!),OR(#REF!="הכל",מלאי!L186=#REF!),OR(#REF!="הכל",מלאי!O186=#REF!),OR(#REF!="הכל",מלאי!R186=#REF!),OR(#REF!="הכל",#REF!="",מלאי!W186=#REF!),OR(#REF!="הכל",#REF!="",ISNUMBER(SEARCH(#REF!,מלאי!C186)))),1,0)</f>
        <v>#REF!</v>
      </c>
      <c r="AE57" t="e">
        <f>IF(AND(מלאי!D186&lt;&gt;"",OR(#REF!="הכל",מלאי!Z186=#REF!,מלאי!AA186=#REF!,מלאי!AB186=#REF!,מלאי!AC186=#REF!),OR(#REF!="הכל",מלאי!A186=#REF!),OR(#REF!="הכל",מלאי!B186=#REF!),OR(#REF!="הכל",מלאי!F186=#REF!,מלאי!G186=#REF!),OR(#REF!="הכל",מלאי!T186=#REF!),OR(#REF!="הכל",מלאי!Q186=#REF!),OR(#REF!="הכל",מלאי!J186=#REF!),OR(#REF!="הכל",מלאי!L186=#REF!),OR(#REF!="הכל",מלאי!O186=#REF!),OR(#REF!="הכל",מלאי!R186=#REF!),OR(#REF!="הכל",#REF!="",מלאי!W186=#REF!),OR(#REF!="הכל",#REF!="",ISNUMBER(SEARCH(#REF!,מלאי!C186))),OR(#REF!="הכל",מלאי!#REF!=#REF!)),1,0)</f>
        <v>#REF!</v>
      </c>
      <c r="AF57" t="e">
        <f>IF(AD57=1,COUNTIF($AD$3:$AD57,1),"")</f>
        <v>#REF!</v>
      </c>
      <c r="AG57" t="e">
        <f>IF(AE57=1,COUNTIF($AE$3:$AE57,1),"")</f>
        <v>#REF!</v>
      </c>
    </row>
    <row r="58" spans="1:33" ht="23.25" customHeight="1" x14ac:dyDescent="0.35">
      <c r="A58" s="5" t="s">
        <v>144</v>
      </c>
      <c r="B58" s="5" t="s">
        <v>196</v>
      </c>
      <c r="C58" s="4" t="s">
        <v>327</v>
      </c>
      <c r="D58" s="5" t="s">
        <v>474</v>
      </c>
      <c r="E58" s="5" t="str">
        <f>IFERROR(INDEX(הגדרות!$I$2:$I$47,MATCH(B58,הגדרות!$H$2:$H$47,0)),"")</f>
        <v>8030-00</v>
      </c>
      <c r="F58" s="4" t="s">
        <v>311</v>
      </c>
      <c r="G58" s="5"/>
      <c r="H58" s="5" t="s">
        <v>72</v>
      </c>
      <c r="I58" s="5"/>
      <c r="J58" s="5" t="s">
        <v>40</v>
      </c>
      <c r="K58" s="5"/>
      <c r="L58" s="5"/>
      <c r="M58" s="5"/>
      <c r="N58" s="5"/>
      <c r="O58" s="5"/>
      <c r="P58" s="5"/>
      <c r="Q58" s="5"/>
      <c r="R58" s="5"/>
      <c r="S58" s="5"/>
      <c r="T58" s="5" t="s">
        <v>41</v>
      </c>
      <c r="U58" s="5"/>
      <c r="V58" s="5"/>
      <c r="W58" s="5"/>
      <c r="X58" s="5"/>
      <c r="Y58" s="5"/>
      <c r="Z58" t="str">
        <f>IFERROR(INDEX(הגדרות!$B$2:$B$17,MATCH(H58,הגדרות!$A$2:$A$17,0)),"")</f>
        <v>מיוער</v>
      </c>
      <c r="AA58">
        <f>IFERROR(INDEX(הגדרות!$C$2:$C$17,MATCH(H58,הגדרות!$A$2:$A$17,0)),"")</f>
        <v>0</v>
      </c>
      <c r="AB58" t="str">
        <f>IFERROR(INDEX(הגדרות!$B$2:$B$17,MATCH(I58,הגדרות!$A$2:$A$17,0)),"")</f>
        <v/>
      </c>
      <c r="AC58" t="str">
        <f>IFERROR(INDEX(הגדרות!$C$2:$C$17,MATCH(I58,הגדרות!$A$2:$A$17,0)),"")</f>
        <v/>
      </c>
      <c r="AD58" t="e">
        <f>IF(AND(מלאי!D187&lt;&gt;"",OR(#REF!="הכל",מלאי!Z187=#REF!,מלאי!AA187=#REF!,מלאי!AB187=#REF!,מלאי!AC187=#REF!),OR(#REF!="הכל",מלאי!A187=#REF!),OR(#REF!="הכל",מלאי!B187=#REF!),OR(#REF!="הכל",מלאי!F187=#REF!,מלאי!G187=#REF!),OR(#REF!="הכל",מלאי!T187=#REF!),OR(#REF!="הכל",מלאי!Q187=#REF!),OR(#REF!="הכל",מלאי!J187=#REF!),OR(#REF!="הכל",מלאי!L187=#REF!),OR(#REF!="הכל",מלאי!O187=#REF!),OR(#REF!="הכל",מלאי!R187=#REF!),OR(#REF!="הכל",#REF!="",מלאי!W187=#REF!),OR(#REF!="הכל",#REF!="",ISNUMBER(SEARCH(#REF!,מלאי!C187)))),1,0)</f>
        <v>#REF!</v>
      </c>
      <c r="AE58" t="e">
        <f>IF(AND(מלאי!D187&lt;&gt;"",OR(#REF!="הכל",מלאי!Z187=#REF!,מלאי!AA187=#REF!,מלאי!AB187=#REF!,מלאי!AC187=#REF!),OR(#REF!="הכל",מלאי!A187=#REF!),OR(#REF!="הכל",מלאי!B187=#REF!),OR(#REF!="הכל",מלאי!F187=#REF!,מלאי!G187=#REF!),OR(#REF!="הכל",מלאי!T187=#REF!),OR(#REF!="הכל",מלאי!Q187=#REF!),OR(#REF!="הכל",מלאי!J187=#REF!),OR(#REF!="הכל",מלאי!L187=#REF!),OR(#REF!="הכל",מלאי!O187=#REF!),OR(#REF!="הכל",מלאי!R187=#REF!),OR(#REF!="הכל",#REF!="",מלאי!W187=#REF!),OR(#REF!="הכל",#REF!="",ISNUMBER(SEARCH(#REF!,מלאי!C187))),OR(#REF!="הכל",מלאי!#REF!=#REF!)),1,0)</f>
        <v>#REF!</v>
      </c>
      <c r="AF58" t="e">
        <f>IF(AD58=1,COUNTIF($AD$3:$AD58,1),"")</f>
        <v>#REF!</v>
      </c>
      <c r="AG58" t="e">
        <f>IF(AE58=1,COUNTIF($AE$3:$AE58,1),"")</f>
        <v>#REF!</v>
      </c>
    </row>
    <row r="59" spans="1:33" ht="23.25" hidden="1" customHeight="1" x14ac:dyDescent="0.35">
      <c r="A59" s="4" t="s">
        <v>34</v>
      </c>
      <c r="B59" s="4" t="s">
        <v>70</v>
      </c>
      <c r="C59" s="4" t="s">
        <v>36</v>
      </c>
      <c r="D59" s="4" t="s">
        <v>257</v>
      </c>
      <c r="E59" s="4" t="str">
        <f>IFERROR(INDEX(הגדרות!$I$2:$I$47,MATCH(B59,הגדרות!$H$2:$H$47,0)),"")</f>
        <v>7021-00</v>
      </c>
      <c r="F59" s="4" t="s">
        <v>45</v>
      </c>
      <c r="G59" s="4"/>
      <c r="H59" s="4" t="s">
        <v>64</v>
      </c>
      <c r="I59" s="4"/>
      <c r="J59" s="4" t="s">
        <v>40</v>
      </c>
      <c r="K59" s="4"/>
      <c r="L59" s="4" t="s">
        <v>40</v>
      </c>
      <c r="M59" s="4"/>
      <c r="N59" s="4"/>
      <c r="O59" s="4" t="s">
        <v>40</v>
      </c>
      <c r="P59" s="4"/>
      <c r="Q59" s="4" t="s">
        <v>2</v>
      </c>
      <c r="R59" s="4"/>
      <c r="S59" s="4" t="s">
        <v>2</v>
      </c>
      <c r="T59" s="4" t="s">
        <v>41</v>
      </c>
      <c r="U59" s="4"/>
      <c r="V59" s="4"/>
      <c r="W59" s="4"/>
      <c r="X59" s="4"/>
      <c r="Y59" s="4"/>
      <c r="Z59" t="str">
        <f>IFERROR(INDEX(הגדרות!$B$2:$B$17,MATCH(H59,הגדרות!$A$2:$A$17,0)),"")</f>
        <v>ימי</v>
      </c>
      <c r="AA59">
        <f>IFERROR(INDEX(הגדרות!$C$2:$C$17,MATCH(H59,הגדרות!$A$2:$A$17,0)),"")</f>
        <v>0</v>
      </c>
      <c r="AB59" t="str">
        <f>IFERROR(INDEX(הגדרות!$B$2:$B$17,MATCH(I59,הגדרות!$A$2:$A$17,0)),"")</f>
        <v/>
      </c>
      <c r="AC59" t="str">
        <f>IFERROR(INDEX(הגדרות!$C$2:$C$17,MATCH(I59,הגדרות!$A$2:$A$17,0)),"")</f>
        <v/>
      </c>
      <c r="AD59" t="e">
        <f>IF(AND(מלאי!D46&lt;&gt;"",OR(#REF!="הכל",מלאי!Z46=#REF!,מלאי!AA46=#REF!,מלאי!AB46=#REF!,מלאי!AC46=#REF!),OR(#REF!="הכל",מלאי!A46=#REF!),OR(#REF!="הכל",מלאי!B46=#REF!),OR(#REF!="הכל",מלאי!F46=#REF!,מלאי!G46=#REF!),OR(#REF!="הכל",מלאי!T46=#REF!),OR(#REF!="הכל",מלאי!Q46=#REF!),OR(#REF!="הכל",מלאי!J46=#REF!),OR(#REF!="הכל",מלאי!L46=#REF!),OR(#REF!="הכל",מלאי!O46=#REF!),OR(#REF!="הכל",מלאי!R46=#REF!),OR(#REF!="הכל",#REF!="",מלאי!W46=#REF!),OR(#REF!="הכל",#REF!="",ISNUMBER(SEARCH(#REF!,מלאי!C46)))),1,0)</f>
        <v>#REF!</v>
      </c>
      <c r="AE59" t="e">
        <f>IF(AND(מלאי!D46&lt;&gt;"",OR(#REF!="הכל",מלאי!Z46=#REF!,מלאי!AA46=#REF!,מלאי!AB46=#REF!,מלאי!AC46=#REF!),OR(#REF!="הכל",מלאי!A46=#REF!),OR(#REF!="הכל",מלאי!B46=#REF!),OR(#REF!="הכל",מלאי!F46=#REF!,מלאי!G46=#REF!),OR(#REF!="הכל",מלאי!T46=#REF!),OR(#REF!="הכל",מלאי!Q46=#REF!),OR(#REF!="הכל",מלאי!J46=#REF!),OR(#REF!="הכל",מלאי!L46=#REF!),OR(#REF!="הכל",מלאי!O46=#REF!),OR(#REF!="הכל",מלאי!R46=#REF!),OR(#REF!="הכל",#REF!="",מלאי!W46=#REF!),OR(#REF!="הכל",#REF!="",ISNUMBER(SEARCH(#REF!,מלאי!C46))),OR(#REF!="הכל",מלאי!#REF!=#REF!)),1,0)</f>
        <v>#REF!</v>
      </c>
      <c r="AF59" t="e">
        <f>IF(AD59=1,COUNTIF($AD$3:$AD59,1),"")</f>
        <v>#REF!</v>
      </c>
      <c r="AG59" t="e">
        <f>IF(AE59=1,COUNTIF($AE$3:$AE59,1),"")</f>
        <v>#REF!</v>
      </c>
    </row>
    <row r="60" spans="1:33" ht="23.25" hidden="1" customHeight="1" x14ac:dyDescent="0.35">
      <c r="A60" s="5" t="s">
        <v>34</v>
      </c>
      <c r="B60" s="5" t="s">
        <v>70</v>
      </c>
      <c r="C60" s="5" t="s">
        <v>36</v>
      </c>
      <c r="D60" s="5" t="s">
        <v>255</v>
      </c>
      <c r="E60" s="5" t="str">
        <f>IFERROR(INDEX(הגדרות!$I$2:$I$47,MATCH(B60,הגדרות!$H$2:$H$47,0)),"")</f>
        <v>7021-00</v>
      </c>
      <c r="F60" s="5" t="s">
        <v>37</v>
      </c>
      <c r="G60" s="5"/>
      <c r="H60" s="5" t="s">
        <v>67</v>
      </c>
      <c r="I60" s="5"/>
      <c r="J60" s="5" t="s">
        <v>40</v>
      </c>
      <c r="K60" s="5"/>
      <c r="L60" s="5" t="s">
        <v>40</v>
      </c>
      <c r="M60" s="5"/>
      <c r="N60" s="5"/>
      <c r="O60" s="5" t="s">
        <v>40</v>
      </c>
      <c r="P60" s="5"/>
      <c r="Q60" s="5" t="s">
        <v>2</v>
      </c>
      <c r="R60" s="5"/>
      <c r="S60" s="5" t="s">
        <v>2</v>
      </c>
      <c r="T60" s="5" t="s">
        <v>41</v>
      </c>
      <c r="U60" s="5"/>
      <c r="V60" s="5"/>
      <c r="W60" s="5"/>
      <c r="X60" s="5"/>
      <c r="Y60" s="5"/>
      <c r="Z60" t="str">
        <f>IFERROR(INDEX(הגדרות!$B$2:$B$17,MATCH(H60,הגדרות!$A$2:$A$17,0)),"")</f>
        <v>מיוער</v>
      </c>
      <c r="AA60">
        <f>IFERROR(INDEX(הגדרות!$C$2:$C$17,MATCH(H60,הגדרות!$A$2:$A$17,0)),"")</f>
        <v>0</v>
      </c>
      <c r="AB60" t="str">
        <f>IFERROR(INDEX(הגדרות!$B$2:$B$17,MATCH(I60,הגדרות!$A$2:$A$17,0)),"")</f>
        <v/>
      </c>
      <c r="AC60" t="str">
        <f>IFERROR(INDEX(הגדרות!$C$2:$C$17,MATCH(I60,הגדרות!$A$2:$A$17,0)),"")</f>
        <v/>
      </c>
      <c r="AD60" t="e">
        <f>IF(AND(מלאי!D47&lt;&gt;"",OR(#REF!="הכל",מלאי!Z47=#REF!,מלאי!AA47=#REF!,מלאי!AB47=#REF!,מלאי!AC47=#REF!),OR(#REF!="הכל",מלאי!A47=#REF!),OR(#REF!="הכל",מלאי!B47=#REF!),OR(#REF!="הכל",מלאי!F47=#REF!,מלאי!G47=#REF!),OR(#REF!="הכל",מלאי!T47=#REF!),OR(#REF!="הכל",מלאי!Q47=#REF!),OR(#REF!="הכל",מלאי!J47=#REF!),OR(#REF!="הכל",מלאי!L47=#REF!),OR(#REF!="הכל",מלאי!O47=#REF!),OR(#REF!="הכל",מלאי!R47=#REF!),OR(#REF!="הכל",#REF!="",מלאי!W47=#REF!),OR(#REF!="הכל",#REF!="",ISNUMBER(SEARCH(#REF!,מלאי!C47)))),1,0)</f>
        <v>#REF!</v>
      </c>
      <c r="AE60" t="e">
        <f>IF(AND(מלאי!D47&lt;&gt;"",OR(#REF!="הכל",מלאי!Z47=#REF!,מלאי!AA47=#REF!,מלאי!AB47=#REF!,מלאי!AC47=#REF!),OR(#REF!="הכל",מלאי!A47=#REF!),OR(#REF!="הכל",מלאי!B47=#REF!),OR(#REF!="הכל",מלאי!F47=#REF!,מלאי!G47=#REF!),OR(#REF!="הכל",מלאי!T47=#REF!),OR(#REF!="הכל",מלאי!Q47=#REF!),OR(#REF!="הכל",מלאי!J47=#REF!),OR(#REF!="הכל",מלאי!L47=#REF!),OR(#REF!="הכל",מלאי!O47=#REF!),OR(#REF!="הכל",מלאי!R47=#REF!),OR(#REF!="הכל",#REF!="",מלאי!W47=#REF!),OR(#REF!="הכל",#REF!="",ISNUMBER(SEARCH(#REF!,מלאי!C47))),OR(#REF!="הכל",מלאי!#REF!=#REF!)),1,0)</f>
        <v>#REF!</v>
      </c>
      <c r="AF60" t="e">
        <f>IF(AD60=1,COUNTIF($AD$3:$AD60,1),"")</f>
        <v>#REF!</v>
      </c>
      <c r="AG60" t="e">
        <f>IF(AE60=1,COUNTIF($AE$3:$AE60,1),"")</f>
        <v>#REF!</v>
      </c>
    </row>
    <row r="61" spans="1:33" ht="23.25" hidden="1" customHeight="1" x14ac:dyDescent="0.35">
      <c r="A61" s="4" t="s">
        <v>34</v>
      </c>
      <c r="B61" s="4" t="s">
        <v>70</v>
      </c>
      <c r="C61" s="4" t="s">
        <v>36</v>
      </c>
      <c r="D61" s="4" t="s">
        <v>256</v>
      </c>
      <c r="E61" s="4" t="str">
        <f>IFERROR(INDEX(הגדרות!$I$2:$I$47,MATCH(B61,הגדרות!$H$2:$H$47,0)),"")</f>
        <v>7021-00</v>
      </c>
      <c r="F61" s="4" t="s">
        <v>37</v>
      </c>
      <c r="G61" s="4"/>
      <c r="H61" s="4" t="s">
        <v>64</v>
      </c>
      <c r="I61" s="4"/>
      <c r="J61" s="4" t="s">
        <v>40</v>
      </c>
      <c r="K61" s="4"/>
      <c r="L61" s="4" t="s">
        <v>40</v>
      </c>
      <c r="M61" s="4"/>
      <c r="N61" s="4"/>
      <c r="O61" s="4" t="s">
        <v>40</v>
      </c>
      <c r="P61" s="4"/>
      <c r="Q61" s="4" t="s">
        <v>2</v>
      </c>
      <c r="R61" s="4"/>
      <c r="S61" s="4" t="s">
        <v>2</v>
      </c>
      <c r="T61" s="4" t="s">
        <v>41</v>
      </c>
      <c r="U61" s="4"/>
      <c r="V61" s="4"/>
      <c r="W61" s="4"/>
      <c r="X61" s="4"/>
      <c r="Y61" s="4"/>
      <c r="Z61" t="str">
        <f>IFERROR(INDEX(הגדרות!$B$2:$B$17,MATCH(H61,הגדרות!$A$2:$A$17,0)),"")</f>
        <v>ימי</v>
      </c>
      <c r="AA61">
        <f>IFERROR(INDEX(הגדרות!$C$2:$C$17,MATCH(H61,הגדרות!$A$2:$A$17,0)),"")</f>
        <v>0</v>
      </c>
      <c r="AB61" t="str">
        <f>IFERROR(INDEX(הגדרות!$B$2:$B$17,MATCH(I61,הגדרות!$A$2:$A$17,0)),"")</f>
        <v/>
      </c>
      <c r="AC61" t="str">
        <f>IFERROR(INDEX(הגדרות!$C$2:$C$17,MATCH(I61,הגדרות!$A$2:$A$17,0)),"")</f>
        <v/>
      </c>
      <c r="AD61" t="e">
        <f>IF(AND(מלאי!D48&lt;&gt;"",OR(#REF!="הכל",מלאי!Z48=#REF!,מלאי!AA48=#REF!,מלאי!AB48=#REF!,מלאי!AC48=#REF!),OR(#REF!="הכל",מלאי!A48=#REF!),OR(#REF!="הכל",מלאי!B48=#REF!),OR(#REF!="הכל",מלאי!F48=#REF!,מלאי!G48=#REF!),OR(#REF!="הכל",מלאי!T48=#REF!),OR(#REF!="הכל",מלאי!Q48=#REF!),OR(#REF!="הכל",מלאי!J48=#REF!),OR(#REF!="הכל",מלאי!L48=#REF!),OR(#REF!="הכל",מלאי!O48=#REF!),OR(#REF!="הכל",מלאי!R48=#REF!),OR(#REF!="הכל",#REF!="",מלאי!W48=#REF!),OR(#REF!="הכל",#REF!="",ISNUMBER(SEARCH(#REF!,מלאי!C48)))),1,0)</f>
        <v>#REF!</v>
      </c>
      <c r="AE61" t="e">
        <f>IF(AND(מלאי!D48&lt;&gt;"",OR(#REF!="הכל",מלאי!Z48=#REF!,מלאי!AA48=#REF!,מלאי!AB48=#REF!,מלאי!AC48=#REF!),OR(#REF!="הכל",מלאי!A48=#REF!),OR(#REF!="הכל",מלאי!B48=#REF!),OR(#REF!="הכל",מלאי!F48=#REF!,מלאי!G48=#REF!),OR(#REF!="הכל",מלאי!T48=#REF!),OR(#REF!="הכל",מלאי!Q48=#REF!),OR(#REF!="הכל",מלאי!J48=#REF!),OR(#REF!="הכל",מלאי!L48=#REF!),OR(#REF!="הכל",מלאי!O48=#REF!),OR(#REF!="הכל",מלאי!R48=#REF!),OR(#REF!="הכל",#REF!="",מלאי!W48=#REF!),OR(#REF!="הכל",#REF!="",ISNUMBER(SEARCH(#REF!,מלאי!C48))),OR(#REF!="הכל",מלאי!#REF!=#REF!)),1,0)</f>
        <v>#REF!</v>
      </c>
      <c r="AF61" t="e">
        <f>IF(AD61=1,COUNTIF($AD$3:$AD61,1),"")</f>
        <v>#REF!</v>
      </c>
      <c r="AG61" t="e">
        <f>IF(AE61=1,COUNTIF($AE$3:$AE61,1),"")</f>
        <v>#REF!</v>
      </c>
    </row>
    <row r="62" spans="1:33" ht="15" hidden="1" customHeight="1" x14ac:dyDescent="0.35">
      <c r="A62" s="5" t="s">
        <v>34</v>
      </c>
      <c r="B62" s="5" t="s">
        <v>70</v>
      </c>
      <c r="C62" s="5" t="s">
        <v>36</v>
      </c>
      <c r="D62" s="5" t="s">
        <v>71</v>
      </c>
      <c r="E62" s="5" t="str">
        <f>IFERROR(INDEX(הגדרות!$I$2:$I$47,MATCH(B62,הגדרות!$H$2:$H$47,0)),"")</f>
        <v>7021-00</v>
      </c>
      <c r="F62" s="5" t="s">
        <v>37</v>
      </c>
      <c r="G62" s="5"/>
      <c r="H62" s="5" t="s">
        <v>72</v>
      </c>
      <c r="I62" s="5"/>
      <c r="J62" s="5" t="s">
        <v>40</v>
      </c>
      <c r="K62" s="5"/>
      <c r="L62" s="5" t="s">
        <v>40</v>
      </c>
      <c r="M62" s="5"/>
      <c r="N62" s="5"/>
      <c r="O62" s="5" t="s">
        <v>40</v>
      </c>
      <c r="P62" s="5"/>
      <c r="Q62" s="5" t="s">
        <v>2</v>
      </c>
      <c r="R62" s="5"/>
      <c r="S62" s="5" t="s">
        <v>2</v>
      </c>
      <c r="T62" s="5" t="s">
        <v>42</v>
      </c>
      <c r="U62" s="5"/>
      <c r="V62" s="5"/>
      <c r="W62" s="5"/>
      <c r="X62" s="5"/>
      <c r="Y62" s="5"/>
      <c r="Z62" t="str">
        <f>IFERROR(INDEX(הגדרות!$B$2:$B$17,MATCH(H62,הגדרות!$A$2:$A$17,0)),"")</f>
        <v>מיוער</v>
      </c>
      <c r="AA62">
        <f>IFERROR(INDEX(הגדרות!$C$2:$C$17,MATCH(H62,הגדרות!$A$2:$A$17,0)),"")</f>
        <v>0</v>
      </c>
      <c r="AB62" t="str">
        <f>IFERROR(INDEX(הגדרות!$B$2:$B$17,MATCH(I62,הגדרות!$A$2:$A$17,0)),"")</f>
        <v/>
      </c>
      <c r="AC62" t="str">
        <f>IFERROR(INDEX(הגדרות!$C$2:$C$17,MATCH(I62,הגדרות!$A$2:$A$17,0)),"")</f>
        <v/>
      </c>
      <c r="AD62" t="e">
        <f>IF(AND(מלאי!D49&lt;&gt;"",OR(#REF!="הכל",מלאי!Z49=#REF!,מלאי!AA49=#REF!,מלאי!AB49=#REF!,מלאי!AC49=#REF!),OR(#REF!="הכל",מלאי!A49=#REF!),OR(#REF!="הכל",מלאי!B49=#REF!),OR(#REF!="הכל",מלאי!F49=#REF!,מלאי!G49=#REF!),OR(#REF!="הכל",מלאי!T49=#REF!),OR(#REF!="הכל",מלאי!Q49=#REF!),OR(#REF!="הכל",מלאי!J49=#REF!),OR(#REF!="הכל",מלאי!L49=#REF!),OR(#REF!="הכל",מלאי!O49=#REF!),OR(#REF!="הכל",מלאי!R49=#REF!),OR(#REF!="הכל",#REF!="",מלאי!W49=#REF!),OR(#REF!="הכל",#REF!="",ISNUMBER(SEARCH(#REF!,מלאי!C49)))),1,0)</f>
        <v>#REF!</v>
      </c>
      <c r="AE62" t="e">
        <f>IF(AND(מלאי!D49&lt;&gt;"",OR(#REF!="הכל",מלאי!Z49=#REF!,מלאי!AA49=#REF!,מלאי!AB49=#REF!,מלאי!AC49=#REF!),OR(#REF!="הכל",מלאי!A49=#REF!),OR(#REF!="הכל",מלאי!B49=#REF!),OR(#REF!="הכל",מלאי!F49=#REF!,מלאי!G49=#REF!),OR(#REF!="הכל",מלאי!T49=#REF!),OR(#REF!="הכל",מלאי!Q49=#REF!),OR(#REF!="הכל",מלאי!J49=#REF!),OR(#REF!="הכל",מלאי!L49=#REF!),OR(#REF!="הכל",מלאי!O49=#REF!),OR(#REF!="הכל",מלאי!R49=#REF!),OR(#REF!="הכל",#REF!="",מלאי!W49=#REF!),OR(#REF!="הכל",#REF!="",ISNUMBER(SEARCH(#REF!,מלאי!C49))),OR(#REF!="הכל",מלאי!#REF!=#REF!)),1,0)</f>
        <v>#REF!</v>
      </c>
      <c r="AF62" t="e">
        <f>IF(AD62=1,COUNTIF($AD$3:$AD62,1),"")</f>
        <v>#REF!</v>
      </c>
      <c r="AG62" t="e">
        <f>IF(AE62=1,COUNTIF($AE$3:$AE62,1),"")</f>
        <v>#REF!</v>
      </c>
    </row>
    <row r="63" spans="1:33" ht="15" hidden="1" customHeight="1" x14ac:dyDescent="0.35">
      <c r="A63" s="4" t="s">
        <v>34</v>
      </c>
      <c r="B63" s="12" t="s">
        <v>70</v>
      </c>
      <c r="C63" s="4" t="s">
        <v>36</v>
      </c>
      <c r="D63" s="12" t="s">
        <v>332</v>
      </c>
      <c r="E63" s="4" t="str">
        <f>IFERROR(INDEX(הגדרות!$I$2:$I$47,MATCH(B63,הגדרות!$H$2:$H$47,0)),"")</f>
        <v>7021-00</v>
      </c>
      <c r="F63" s="4" t="s">
        <v>37</v>
      </c>
      <c r="G63" s="4"/>
      <c r="H63" s="4" t="s">
        <v>162</v>
      </c>
      <c r="I63" s="4"/>
      <c r="J63" s="4" t="s">
        <v>40</v>
      </c>
      <c r="K63" s="4" t="s">
        <v>40</v>
      </c>
      <c r="L63" s="4" t="s">
        <v>40</v>
      </c>
      <c r="M63" s="4" t="s">
        <v>40</v>
      </c>
      <c r="N63" s="4" t="s">
        <v>40</v>
      </c>
      <c r="O63" s="4"/>
      <c r="P63" s="4"/>
      <c r="Q63" s="4" t="s">
        <v>2</v>
      </c>
      <c r="R63" s="4"/>
      <c r="S63" s="4" t="s">
        <v>2</v>
      </c>
      <c r="T63" s="4" t="s">
        <v>41</v>
      </c>
      <c r="U63" s="4"/>
      <c r="V63" s="4"/>
      <c r="W63" s="4"/>
      <c r="X63" s="4"/>
      <c r="Y63" s="4"/>
      <c r="Z63" t="str">
        <f>IFERROR(INDEX(הגדרות!$B$2:$B$17,MATCH(H63,הגדרות!$A$2:$A$17,0)),"")</f>
        <v>שלג</v>
      </c>
      <c r="AA63">
        <f>IFERROR(INDEX(הגדרות!$C$2:$C$17,MATCH(H63,הגדרות!$A$2:$A$17,0)),"")</f>
        <v>0</v>
      </c>
      <c r="AB63" t="str">
        <f>IFERROR(INDEX(הגדרות!$B$2:$B$17,MATCH(I63,הגדרות!$A$2:$A$17,0)),"")</f>
        <v/>
      </c>
      <c r="AC63" t="str">
        <f>IFERROR(INDEX(הגדרות!$C$2:$C$17,MATCH(I63,הגדרות!$A$2:$A$17,0)),"")</f>
        <v/>
      </c>
      <c r="AD63" t="e">
        <f>IF(AND(מלאי!D117&lt;&gt;"",OR(#REF!="הכל",מלאי!Z117=#REF!,מלאי!AA117=#REF!,מלאי!AB117=#REF!,מלאי!AC117=#REF!),OR(#REF!="הכל",מלאי!A117=#REF!),OR(#REF!="הכל",מלאי!B117=#REF!),OR(#REF!="הכל",מלאי!F117=#REF!,מלאי!G117=#REF!),OR(#REF!="הכל",מלאי!T117=#REF!),OR(#REF!="הכל",מלאי!Q117=#REF!),OR(#REF!="הכל",מלאי!J118=#REF!),OR(#REF!="הכל",מלאי!L118=#REF!),OR(#REF!="הכל",מלאי!O117=#REF!),OR(#REF!="הכל",מלאי!R117=#REF!),OR(#REF!="הכל",#REF!="",מלאי!W117=#REF!),OR(#REF!="הכל",#REF!="",ISNUMBER(SEARCH(#REF!,מלאי!C117)))),1,0)</f>
        <v>#REF!</v>
      </c>
      <c r="AE63" t="e">
        <f>IF(AND(מלאי!D117&lt;&gt;"",OR(#REF!="הכל",מלאי!Z117=#REF!,מלאי!AA117=#REF!,מלאי!AB117=#REF!,מלאי!AC117=#REF!),OR(#REF!="הכל",מלאי!A117=#REF!),OR(#REF!="הכל",מלאי!B117=#REF!),OR(#REF!="הכל",מלאי!F117=#REF!,מלאי!G117=#REF!),OR(#REF!="הכל",מלאי!T117=#REF!),OR(#REF!="הכל",מלאי!Q117=#REF!),OR(#REF!="הכל",מלאי!J118=#REF!),OR(#REF!="הכל",מלאי!L118=#REF!),OR(#REF!="הכל",מלאי!O117=#REF!),OR(#REF!="הכל",מלאי!R117=#REF!),OR(#REF!="הכל",#REF!="",מלאי!W117=#REF!),OR(#REF!="הכל",#REF!="",ISNUMBER(SEARCH(#REF!,מלאי!C117))),OR(#REF!="הכל",מלאי!#REF!=#REF!)),1,0)</f>
        <v>#REF!</v>
      </c>
      <c r="AF63" t="e">
        <f>IF(AD63=1,COUNTIF($AD$3:$AD63,1),"")</f>
        <v>#REF!</v>
      </c>
      <c r="AG63" t="e">
        <f>IF(AE63=1,COUNTIF($AE$3:$AE63,1),"")</f>
        <v>#REF!</v>
      </c>
    </row>
    <row r="64" spans="1:33" ht="15" hidden="1" customHeight="1" x14ac:dyDescent="0.35">
      <c r="A64" s="5" t="s">
        <v>159</v>
      </c>
      <c r="B64" s="11" t="s">
        <v>334</v>
      </c>
      <c r="C64" s="5"/>
      <c r="D64" s="11" t="s">
        <v>337</v>
      </c>
      <c r="E64" s="5" t="str">
        <f>IFERROR(INDEX(הגדרות!$I$2:$I$47,MATCH(B64,הגדרות!$H$2:$H$47,0)),"")</f>
        <v/>
      </c>
      <c r="F64" s="5" t="s">
        <v>313</v>
      </c>
      <c r="G64" s="5"/>
      <c r="H64" s="29" t="s">
        <v>165</v>
      </c>
      <c r="I64" s="5" t="s">
        <v>165</v>
      </c>
      <c r="J64" s="5" t="s">
        <v>40</v>
      </c>
      <c r="K64" s="5" t="s">
        <v>40</v>
      </c>
      <c r="L64" s="5" t="s">
        <v>40</v>
      </c>
      <c r="M64" s="5" t="s">
        <v>40</v>
      </c>
      <c r="N64" s="5" t="s">
        <v>40</v>
      </c>
      <c r="O64" s="5"/>
      <c r="P64" s="5"/>
      <c r="Q64" s="5"/>
      <c r="R64" s="5"/>
      <c r="S64" s="5"/>
      <c r="T64" s="4" t="s">
        <v>41</v>
      </c>
      <c r="U64" s="5"/>
      <c r="V64" s="5"/>
      <c r="W64" s="5"/>
      <c r="X64" s="5"/>
      <c r="Y64" s="5"/>
      <c r="Z64" t="str">
        <f>IFERROR(INDEX(הגדרות!$B$2:$B$17,MATCH(H64,הגדרות!$A$2:$A$17,0)),"")</f>
        <v>שלג</v>
      </c>
      <c r="AA64">
        <f>IFERROR(INDEX(הגדרות!$C$2:$C$17,MATCH(H64,הגדרות!$A$2:$A$17,0)),"")</f>
        <v>0</v>
      </c>
      <c r="AB64" t="str">
        <f>IFERROR(INDEX(הגדרות!$B$2:$B$17,MATCH(I64,הגדרות!$A$2:$A$17,0)),"")</f>
        <v>שלג</v>
      </c>
      <c r="AC64">
        <f>IFERROR(INDEX(הגדרות!$C$2:$C$17,MATCH(I64,הגדרות!$A$2:$A$17,0)),"")</f>
        <v>0</v>
      </c>
      <c r="AD64" t="e">
        <f>IF(AND(מלאי!D114&lt;&gt;"",OR(#REF!="הכל",מלאי!Z114=#REF!,מלאי!AA114=#REF!,מלאי!AB114=#REF!,מלאי!AC114=#REF!),OR(#REF!="הכל",מלאי!A114=#REF!),OR(#REF!="הכל",מלאי!B114=#REF!),OR(#REF!="הכל",מלאי!F114=#REF!,מלאי!G114=#REF!),OR(#REF!="הכל",מלאי!T114=#REF!),OR(#REF!="הכל",מלאי!Q114=#REF!),OR(#REF!="הכל",מלאי!J114=#REF!),OR(#REF!="הכל",מלאי!L114=#REF!),OR(#REF!="הכל",מלאי!O114=#REF!),OR(#REF!="הכל",מלאי!R114=#REF!),OR(#REF!="הכל",#REF!="",מלאי!W114=#REF!),OR(#REF!="הכל",#REF!="",ISNUMBER(SEARCH(#REF!,מלאי!C114)))),1,0)</f>
        <v>#REF!</v>
      </c>
      <c r="AE64" t="e">
        <f>IF(AND(מלאי!D114&lt;&gt;"",OR(#REF!="הכל",מלאי!Z114=#REF!,מלאי!AA114=#REF!,מלאי!AB114=#REF!,מלאי!AC114=#REF!),OR(#REF!="הכל",מלאי!A114=#REF!),OR(#REF!="הכל",מלאי!B114=#REF!),OR(#REF!="הכל",מלאי!F114=#REF!,מלאי!G114=#REF!),OR(#REF!="הכל",מלאי!T114=#REF!),OR(#REF!="הכל",מלאי!Q114=#REF!),OR(#REF!="הכל",מלאי!J114=#REF!),OR(#REF!="הכל",מלאי!L114=#REF!),OR(#REF!="הכל",מלאי!O114=#REF!),OR(#REF!="הכל",מלאי!R114=#REF!),OR(#REF!="הכל",#REF!="",מלאי!W114=#REF!),OR(#REF!="הכל",#REF!="",ISNUMBER(SEARCH(#REF!,מלאי!C114))),OR(#REF!="הכל",מלאי!#REF!=#REF!)),1,0)</f>
        <v>#REF!</v>
      </c>
      <c r="AF64" t="e">
        <f>IF(AD64=1,COUNTIF($AD$3:$AD64,1),"")</f>
        <v>#REF!</v>
      </c>
      <c r="AG64" t="e">
        <f>IF(AE64=1,COUNTIF($AE$3:$AE64,1),"")</f>
        <v>#REF!</v>
      </c>
    </row>
    <row r="65" spans="1:33" ht="15" hidden="1" customHeight="1" x14ac:dyDescent="0.35">
      <c r="A65" s="4" t="s">
        <v>159</v>
      </c>
      <c r="B65" s="4" t="s">
        <v>334</v>
      </c>
      <c r="C65" s="4"/>
      <c r="D65" s="11" t="s">
        <v>338</v>
      </c>
      <c r="E65" s="4" t="str">
        <f>IFERROR(INDEX(הגדרות!$I$2:$I$47,MATCH(B65,הגדרות!$H$2:$H$47,0)),"")</f>
        <v/>
      </c>
      <c r="F65" s="4" t="s">
        <v>313</v>
      </c>
      <c r="G65" s="4"/>
      <c r="H65" s="4" t="s">
        <v>165</v>
      </c>
      <c r="I65" s="29" t="s">
        <v>46</v>
      </c>
      <c r="J65" s="5" t="s">
        <v>40</v>
      </c>
      <c r="K65" s="5" t="s">
        <v>40</v>
      </c>
      <c r="L65" s="5" t="s">
        <v>40</v>
      </c>
      <c r="M65" s="5" t="s">
        <v>40</v>
      </c>
      <c r="N65" s="5" t="s">
        <v>2</v>
      </c>
      <c r="O65" s="4"/>
      <c r="P65" s="12" t="s">
        <v>339</v>
      </c>
      <c r="Q65" s="4"/>
      <c r="R65" s="4"/>
      <c r="S65" s="4"/>
      <c r="T65" s="4" t="s">
        <v>41</v>
      </c>
      <c r="U65" s="4"/>
      <c r="V65" s="4"/>
      <c r="W65" s="4"/>
      <c r="X65" s="4"/>
      <c r="Y65" s="4"/>
      <c r="Z65" t="str">
        <f>IFERROR(INDEX(הגדרות!$B$2:$B$17,MATCH(H65,הגדרות!$A$2:$A$17,0)),"")</f>
        <v>שלג</v>
      </c>
      <c r="AA65">
        <f>IFERROR(INDEX(הגדרות!$C$2:$C$17,MATCH(H65,הגדרות!$A$2:$A$17,0)),"")</f>
        <v>0</v>
      </c>
      <c r="AB65" t="str">
        <f>IFERROR(INDEX(הגדרות!$B$2:$B$17,MATCH(I65,הגדרות!$A$2:$A$17,0)),"")</f>
        <v>מיוער</v>
      </c>
      <c r="AC65">
        <f>IFERROR(INDEX(הגדרות!$C$2:$C$17,MATCH(I65,הגדרות!$A$2:$A$17,0)),"")</f>
        <v>0</v>
      </c>
      <c r="AD65" t="e">
        <f>IF(AND(מלאי!D115&lt;&gt;"",OR(#REF!="הכל",מלאי!Z115=#REF!,מלאי!AA115=#REF!,מלאי!AB115=#REF!,מלאי!AC115=#REF!),OR(#REF!="הכל",מלאי!A115=#REF!),OR(#REF!="הכל",מלאי!B115=#REF!),OR(#REF!="הכל",מלאי!F115=#REF!,מלאי!G115=#REF!),OR(#REF!="הכל",מלאי!T115=#REF!),OR(#REF!="הכל",מלאי!Q115=#REF!),OR(#REF!="הכל",מלאי!J115=#REF!),OR(#REF!="הכל",מלאי!L115=#REF!),OR(#REF!="הכל",מלאי!O115=#REF!),OR(#REF!="הכל",מלאי!R115=#REF!),OR(#REF!="הכל",#REF!="",מלאי!W115=#REF!),OR(#REF!="הכל",#REF!="",ISNUMBER(SEARCH(#REF!,מלאי!C115)))),1,0)</f>
        <v>#REF!</v>
      </c>
      <c r="AE65" t="e">
        <f>IF(AND(מלאי!D115&lt;&gt;"",OR(#REF!="הכל",מלאי!Z115=#REF!,מלאי!AA115=#REF!,מלאי!AB115=#REF!,מלאי!AC115=#REF!),OR(#REF!="הכל",מלאי!A115=#REF!),OR(#REF!="הכל",מלאי!B115=#REF!),OR(#REF!="הכל",מלאי!F115=#REF!,מלאי!G115=#REF!),OR(#REF!="הכל",מלאי!T115=#REF!),OR(#REF!="הכל",מלאי!Q115=#REF!),OR(#REF!="הכל",מלאי!J115=#REF!),OR(#REF!="הכל",מלאי!L115=#REF!),OR(#REF!="הכל",מלאי!O115=#REF!),OR(#REF!="הכל",מלאי!R115=#REF!),OR(#REF!="הכל",#REF!="",מלאי!W115=#REF!),OR(#REF!="הכל",#REF!="",ISNUMBER(SEARCH(#REF!,מלאי!C115))),OR(#REF!="הכל",מלאי!#REF!=#REF!)),1,0)</f>
        <v>#REF!</v>
      </c>
      <c r="AF65" t="e">
        <f>IF(AD65=1,COUNTIF($AD$3:$AD65,1),"")</f>
        <v>#REF!</v>
      </c>
      <c r="AG65" t="e">
        <f>IF(AE65=1,COUNTIF($AE$3:$AE65,1),"")</f>
        <v>#REF!</v>
      </c>
    </row>
    <row r="66" spans="1:33" ht="15" hidden="1" customHeight="1" x14ac:dyDescent="0.35">
      <c r="A66" s="27" t="s">
        <v>139</v>
      </c>
      <c r="B66" s="27" t="s">
        <v>204</v>
      </c>
      <c r="C66" s="27" t="s">
        <v>36</v>
      </c>
      <c r="D66" s="27" t="s">
        <v>425</v>
      </c>
      <c r="E66" s="8" t="str">
        <f>IFERROR(INDEX(הגדרות!$I$2:$I$47,MATCH(B66,הגדרות!$H$2:$H$47,0)),"")</f>
        <v>9026-00</v>
      </c>
      <c r="F66" s="8" t="s">
        <v>80</v>
      </c>
      <c r="G66" s="8"/>
      <c r="H66" s="8" t="s">
        <v>39</v>
      </c>
      <c r="I66" s="8" t="s">
        <v>68</v>
      </c>
      <c r="J66" s="8" t="s">
        <v>40</v>
      </c>
      <c r="K66" s="8" t="s">
        <v>40</v>
      </c>
      <c r="L66" s="8"/>
      <c r="M66" s="8"/>
      <c r="N66" s="8" t="s">
        <v>40</v>
      </c>
      <c r="O66" s="8" t="s">
        <v>40</v>
      </c>
      <c r="P66" s="8" t="s">
        <v>358</v>
      </c>
      <c r="Q66" s="4"/>
      <c r="R66" s="4"/>
      <c r="S66" s="4"/>
      <c r="T66" s="4" t="s">
        <v>41</v>
      </c>
      <c r="U66" s="4"/>
      <c r="V66" s="4"/>
      <c r="W66" s="4"/>
      <c r="X66" s="4"/>
      <c r="Y66" s="4"/>
      <c r="Z66" t="str">
        <f>IFERROR(INDEX(הגדרות!$B$2:$B$17,MATCH(H66,הגדרות!$A$2:$A$17,0)),"")</f>
        <v>מדברי</v>
      </c>
      <c r="AA66">
        <f>IFERROR(INDEX(הגדרות!$C$2:$C$17,MATCH(H66,הגדרות!$A$2:$A$17,0)),"")</f>
        <v>0</v>
      </c>
      <c r="AB66" t="str">
        <f>IFERROR(INDEX(הגדרות!$B$2:$B$17,MATCH(I66,הגדרות!$A$2:$A$17,0)),"")</f>
        <v>מדברי</v>
      </c>
      <c r="AC66">
        <f>IFERROR(INDEX(הגדרות!$C$2:$C$17,MATCH(I66,הגדרות!$A$2:$A$17,0)),"")</f>
        <v>0</v>
      </c>
      <c r="AD66" t="e">
        <f>IF(AND(מלאי!D135&lt;&gt;"",OR(#REF!="הכל",מלאי!Z135=#REF!,מלאי!AA135=#REF!,מלאי!AB135=#REF!,מלאי!AC135=#REF!),OR(#REF!="הכל",מלאי!A135=#REF!),OR(#REF!="הכל",מלאי!B135=#REF!),OR(#REF!="הכל",מלאי!F135=#REF!,מלאי!G135=#REF!),OR(#REF!="הכל",מלאי!T135=#REF!),OR(#REF!="הכל",מלאי!Q135=#REF!),OR(#REF!="הכל",מלאי!J135=#REF!),OR(#REF!="הכל",מלאי!L135=#REF!),OR(#REF!="הכל",מלאי!O135=#REF!),OR(#REF!="הכל",מלאי!R135=#REF!),OR(#REF!="הכל",#REF!="",מלאי!W135=#REF!),OR(#REF!="הכל",#REF!="",ISNUMBER(SEARCH(#REF!,מלאי!C135)))),1,0)</f>
        <v>#REF!</v>
      </c>
      <c r="AE66" t="e">
        <f>IF(AND(מלאי!D135&lt;&gt;"",OR(#REF!="הכל",מלאי!Z135=#REF!,מלאי!AA135=#REF!,מלאי!AB135=#REF!,מלאי!AC135=#REF!),OR(#REF!="הכל",מלאי!A135=#REF!),OR(#REF!="הכל",מלאי!B135=#REF!),OR(#REF!="הכל",מלאי!F135=#REF!,מלאי!G135=#REF!),OR(#REF!="הכל",מלאי!T135=#REF!),OR(#REF!="הכל",מלאי!Q135=#REF!),OR(#REF!="הכל",מלאי!J135=#REF!),OR(#REF!="הכל",מלאי!L135=#REF!),OR(#REF!="הכל",מלאי!O135=#REF!),OR(#REF!="הכל",מלאי!R135=#REF!),OR(#REF!="הכל",#REF!="",מלאי!W135=#REF!),OR(#REF!="הכל",#REF!="",ISNUMBER(SEARCH(#REF!,מלאי!C135))),OR(#REF!="הכל",מלאי!#REF!=#REF!)),1,0)</f>
        <v>#REF!</v>
      </c>
      <c r="AF66" t="e">
        <f>IF(AD66=1,COUNTIF($AD$3:$AD66,1),"")</f>
        <v>#REF!</v>
      </c>
      <c r="AG66" t="e">
        <f>IF(AE66=1,COUNTIF($AE$3:$AE66,1),"")</f>
        <v>#REF!</v>
      </c>
    </row>
    <row r="67" spans="1:33" ht="15" hidden="1" customHeight="1" x14ac:dyDescent="0.35">
      <c r="A67" s="27" t="s">
        <v>139</v>
      </c>
      <c r="B67" s="27" t="s">
        <v>204</v>
      </c>
      <c r="C67" s="27" t="s">
        <v>36</v>
      </c>
      <c r="D67" s="27" t="s">
        <v>426</v>
      </c>
      <c r="E67" s="8" t="str">
        <f>IFERROR(INDEX(הגדרות!$I$2:$I$47,MATCH(B67,הגדרות!$H$2:$H$47,0)),"")</f>
        <v>9026-00</v>
      </c>
      <c r="F67" s="8" t="s">
        <v>80</v>
      </c>
      <c r="G67" s="8"/>
      <c r="H67" s="8" t="s">
        <v>39</v>
      </c>
      <c r="I67" s="8" t="s">
        <v>68</v>
      </c>
      <c r="J67" s="8" t="s">
        <v>40</v>
      </c>
      <c r="K67" s="8" t="s">
        <v>40</v>
      </c>
      <c r="L67" s="8"/>
      <c r="M67" s="8"/>
      <c r="N67" s="8" t="s">
        <v>40</v>
      </c>
      <c r="O67" s="8" t="s">
        <v>40</v>
      </c>
      <c r="P67" s="8"/>
      <c r="Q67" s="4"/>
      <c r="R67" s="4"/>
      <c r="S67" s="4"/>
      <c r="T67" s="4" t="s">
        <v>41</v>
      </c>
      <c r="U67" s="4"/>
      <c r="V67" s="4"/>
      <c r="W67" s="4"/>
      <c r="X67" s="4"/>
      <c r="Y67" s="4"/>
      <c r="Z67" t="str">
        <f>IFERROR(INDEX(הגדרות!$B$2:$B$17,MATCH(H67,הגדרות!$A$2:$A$17,0)),"")</f>
        <v>מדברי</v>
      </c>
      <c r="AA67">
        <f>IFERROR(INDEX(הגדרות!$C$2:$C$17,MATCH(H67,הגדרות!$A$2:$A$17,0)),"")</f>
        <v>0</v>
      </c>
      <c r="AB67" t="str">
        <f>IFERROR(INDEX(הגדרות!$B$2:$B$17,MATCH(I67,הגדרות!$A$2:$A$17,0)),"")</f>
        <v>מדברי</v>
      </c>
      <c r="AC67">
        <f>IFERROR(INDEX(הגדרות!$C$2:$C$17,MATCH(I67,הגדרות!$A$2:$A$17,0)),"")</f>
        <v>0</v>
      </c>
      <c r="AD67" t="e">
        <f>IF(AND(מלאי!D136&lt;&gt;"",OR(#REF!="הכל",מלאי!Z136=#REF!,מלאי!AA136=#REF!,מלאי!AB136=#REF!,מלאי!AC136=#REF!),OR(#REF!="הכל",מלאי!A136=#REF!),OR(#REF!="הכל",מלאי!B136=#REF!),OR(#REF!="הכל",מלאי!F136=#REF!,מלאי!G136=#REF!),OR(#REF!="הכל",מלאי!T136=#REF!),OR(#REF!="הכל",מלאי!Q136=#REF!),OR(#REF!="הכל",מלאי!J136=#REF!),OR(#REF!="הכל",מלאי!L136=#REF!),OR(#REF!="הכל",מלאי!O136=#REF!),OR(#REF!="הכל",מלאי!R136=#REF!),OR(#REF!="הכל",#REF!="",מלאי!W136=#REF!),OR(#REF!="הכל",#REF!="",ISNUMBER(SEARCH(#REF!,מלאי!C136)))),1,0)</f>
        <v>#REF!</v>
      </c>
      <c r="AE67" t="e">
        <f>IF(AND(מלאי!D136&lt;&gt;"",OR(#REF!="הכל",מלאי!Z136=#REF!,מלאי!AA136=#REF!,מלאי!AB136=#REF!,מלאי!AC136=#REF!),OR(#REF!="הכל",מלאי!A136=#REF!),OR(#REF!="הכל",מלאי!B136=#REF!),OR(#REF!="הכל",מלאי!F136=#REF!,מלאי!G136=#REF!),OR(#REF!="הכל",מלאי!T136=#REF!),OR(#REF!="הכל",מלאי!Q136=#REF!),OR(#REF!="הכל",מלאי!J136=#REF!),OR(#REF!="הכל",מלאי!L136=#REF!),OR(#REF!="הכל",מלאי!O136=#REF!),OR(#REF!="הכל",מלאי!R136=#REF!),OR(#REF!="הכל",#REF!="",מלאי!W136=#REF!),OR(#REF!="הכל",#REF!="",ISNUMBER(SEARCH(#REF!,מלאי!C136))),OR(#REF!="הכל",מלאי!#REF!=#REF!)),1,0)</f>
        <v>#REF!</v>
      </c>
      <c r="AF67" t="e">
        <f>IF(AD67=1,COUNTIF($AD$3:$AD67,1),"")</f>
        <v>#REF!</v>
      </c>
      <c r="AG67" t="e">
        <f>IF(AE67=1,COUNTIF($AE$3:$AE67,1),"")</f>
        <v>#REF!</v>
      </c>
    </row>
    <row r="68" spans="1:33" ht="15" hidden="1" customHeight="1" x14ac:dyDescent="0.35">
      <c r="A68" s="4" t="s">
        <v>34</v>
      </c>
      <c r="B68" s="4" t="s">
        <v>303</v>
      </c>
      <c r="C68" s="12" t="s">
        <v>242</v>
      </c>
      <c r="D68" s="12" t="s">
        <v>264</v>
      </c>
      <c r="E68" s="4" t="str">
        <f>IFERROR(INDEX(הגדרות!$I$2:$I$47,MATCH(B68,הגדרות!$H$2:$H$47,0)),"")</f>
        <v/>
      </c>
      <c r="F68" s="4" t="s">
        <v>51</v>
      </c>
      <c r="G68" s="4"/>
      <c r="H68" s="4" t="s">
        <v>49</v>
      </c>
      <c r="I68" s="4" t="s">
        <v>52</v>
      </c>
      <c r="J68" s="4" t="s">
        <v>40</v>
      </c>
      <c r="K68" s="4" t="s">
        <v>40</v>
      </c>
      <c r="L68" s="4" t="s">
        <v>40</v>
      </c>
      <c r="M68" s="4" t="s">
        <v>40</v>
      </c>
      <c r="N68" s="5" t="s">
        <v>40</v>
      </c>
      <c r="O68" s="4" t="s">
        <v>2</v>
      </c>
      <c r="P68" s="4"/>
      <c r="Q68" s="4" t="s">
        <v>40</v>
      </c>
      <c r="R68" s="4"/>
      <c r="S68" s="4"/>
      <c r="T68" s="4" t="s">
        <v>41</v>
      </c>
      <c r="U68" s="4"/>
      <c r="V68" s="4"/>
      <c r="W68" s="4"/>
      <c r="X68" s="4"/>
      <c r="Y68" s="4"/>
      <c r="Z68" t="str">
        <f>IFERROR(INDEX(הגדרות!$B$2:$B$17,MATCH(H68,הגדרות!$A$2:$A$17,0)),"")</f>
        <v>מדברי</v>
      </c>
      <c r="AA68">
        <f>IFERROR(INDEX(הגדרות!$C$2:$C$17,MATCH(H68,הגדרות!$A$2:$A$17,0)),"")</f>
        <v>0</v>
      </c>
      <c r="AB68" t="str">
        <f>IFERROR(INDEX(הגדרות!$B$2:$B$17,MATCH(I68,הגדרות!$A$2:$A$17,0)),"")</f>
        <v>מיוער</v>
      </c>
      <c r="AC68">
        <f>IFERROR(INDEX(הגדרות!$C$2:$C$17,MATCH(I68,הגדרות!$A$2:$A$17,0)),"")</f>
        <v>0</v>
      </c>
      <c r="AD68" t="e">
        <f>IF(AND(מלאי!D90&lt;&gt;"",OR(#REF!="הכל",מלאי!Z90=#REF!,מלאי!AA90=#REF!,מלאי!AB90=#REF!,מלאי!AC90=#REF!),OR(#REF!="הכל",מלאי!A90=#REF!),OR(#REF!="הכל",מלאי!B90=#REF!),OR(#REF!="הכל",מלאי!F90=#REF!,מלאי!G90=#REF!),OR(#REF!="הכל",מלאי!T90=#REF!),OR(#REF!="הכל",מלאי!Q90=#REF!),OR(#REF!="הכל",מלאי!J90=#REF!),OR(#REF!="הכל",מלאי!L90=#REF!),OR(#REF!="הכל",מלאי!O90=#REF!),OR(#REF!="הכל",מלאי!R90=#REF!),OR(#REF!="הכל",#REF!="",מלאי!W90=#REF!),OR(#REF!="הכל",#REF!="",ISNUMBER(SEARCH(#REF!,מלאי!C90)))),1,0)</f>
        <v>#REF!</v>
      </c>
      <c r="AE68" t="e">
        <f>IF(AND(מלאי!D90&lt;&gt;"",OR(#REF!="הכל",מלאי!Z90=#REF!,מלאי!AA90=#REF!,מלאי!AB90=#REF!,מלאי!AC90=#REF!),OR(#REF!="הכל",מלאי!A90=#REF!),OR(#REF!="הכל",מלאי!B90=#REF!),OR(#REF!="הכל",מלאי!F90=#REF!,מלאי!G90=#REF!),OR(#REF!="הכל",מלאי!T90=#REF!),OR(#REF!="הכל",מלאי!Q90=#REF!),OR(#REF!="הכל",מלאי!J90=#REF!),OR(#REF!="הכל",מלאי!L90=#REF!),OR(#REF!="הכל",מלאי!O90=#REF!),OR(#REF!="הכל",מלאי!R90=#REF!),OR(#REF!="הכל",#REF!="",מלאי!W90=#REF!),OR(#REF!="הכל",#REF!="",ISNUMBER(SEARCH(#REF!,מלאי!C90))),OR(#REF!="הכל",מלאי!#REF!=#REF!)),1,0)</f>
        <v>#REF!</v>
      </c>
      <c r="AF68" t="e">
        <f>IF(AD68=1,COUNTIF($AD$3:$AD68,1),"")</f>
        <v>#REF!</v>
      </c>
      <c r="AG68" t="e">
        <f>IF(AE68=1,COUNTIF($AE$3:$AE68,1),"")</f>
        <v>#REF!</v>
      </c>
    </row>
    <row r="69" spans="1:33" ht="15" hidden="1" customHeight="1" x14ac:dyDescent="0.35">
      <c r="A69" s="4" t="s">
        <v>34</v>
      </c>
      <c r="B69" s="29" t="s">
        <v>303</v>
      </c>
      <c r="C69" s="12" t="s">
        <v>242</v>
      </c>
      <c r="D69" s="12" t="s">
        <v>340</v>
      </c>
      <c r="E69" s="4" t="str">
        <f>IFERROR(INDEX(הגדרות!$I$2:$I$47,MATCH(B69,הגדרות!$H$2:$H$47,0)),"")</f>
        <v/>
      </c>
      <c r="F69" s="4" t="s">
        <v>51</v>
      </c>
      <c r="G69" s="4"/>
      <c r="H69" s="29" t="s">
        <v>49</v>
      </c>
      <c r="I69" s="29" t="s">
        <v>52</v>
      </c>
      <c r="J69" s="4" t="s">
        <v>40</v>
      </c>
      <c r="K69" s="4" t="s">
        <v>40</v>
      </c>
      <c r="L69" s="4" t="s">
        <v>40</v>
      </c>
      <c r="M69" s="4" t="s">
        <v>40</v>
      </c>
      <c r="N69" s="5" t="s">
        <v>40</v>
      </c>
      <c r="O69" s="4" t="s">
        <v>2</v>
      </c>
      <c r="P69" s="4"/>
      <c r="Q69" s="4" t="s">
        <v>40</v>
      </c>
      <c r="R69" s="4"/>
      <c r="S69" s="4"/>
      <c r="T69" s="4" t="s">
        <v>41</v>
      </c>
      <c r="U69" s="4"/>
      <c r="V69" s="4"/>
      <c r="W69" s="4"/>
      <c r="X69" s="4"/>
      <c r="Y69" s="4"/>
      <c r="Z69" t="str">
        <f>IFERROR(INDEX(הגדרות!$B$2:$B$17,MATCH(H69,הגדרות!$A$2:$A$17,0)),"")</f>
        <v>מדברי</v>
      </c>
      <c r="AA69">
        <f>IFERROR(INDEX(הגדרות!$C$2:$C$17,MATCH(H69,הגדרות!$A$2:$A$17,0)),"")</f>
        <v>0</v>
      </c>
      <c r="AB69" t="str">
        <f>IFERROR(INDEX(הגדרות!$B$2:$B$17,MATCH(I69,הגדרות!$A$2:$A$17,0)),"")</f>
        <v>מיוער</v>
      </c>
      <c r="AC69">
        <f>IFERROR(INDEX(הגדרות!$C$2:$C$17,MATCH(I69,הגדרות!$A$2:$A$17,0)),"")</f>
        <v>0</v>
      </c>
      <c r="AD69" t="e">
        <f>IF(AND(מלאי!D116&lt;&gt;"",OR(#REF!="הכל",מלאי!Z116=#REF!,מלאי!AA116=#REF!,מלאי!AB116=#REF!,מלאי!AC116=#REF!),OR(#REF!="הכל",מלאי!A116=#REF!),OR(#REF!="הכל",מלאי!B116=#REF!),OR(#REF!="הכל",מלאי!F116=#REF!,מלאי!G116=#REF!),OR(#REF!="הכל",מלאי!T116=#REF!),OR(#REF!="הכל",מלאי!Q116=#REF!),OR(#REF!="הכל",מלאי!J116=#REF!),OR(#REF!="הכל",מלאי!L116=#REF!),OR(#REF!="הכל",מלאי!O116=#REF!),OR(#REF!="הכל",מלאי!R116=#REF!),OR(#REF!="הכל",#REF!="",מלאי!W116=#REF!),OR(#REF!="הכל",#REF!="",ISNUMBER(SEARCH(#REF!,מלאי!C116)))),1,0)</f>
        <v>#REF!</v>
      </c>
      <c r="AE69" t="e">
        <f>IF(AND(מלאי!D116&lt;&gt;"",OR(#REF!="הכל",מלאי!Z116=#REF!,מלאי!AA116=#REF!,מלאי!AB116=#REF!,מלאי!AC116=#REF!),OR(#REF!="הכל",מלאי!A116=#REF!),OR(#REF!="הכל",מלאי!B116=#REF!),OR(#REF!="הכל",מלאי!F116=#REF!,מלאי!G116=#REF!),OR(#REF!="הכל",מלאי!T116=#REF!),OR(#REF!="הכל",מלאי!Q116=#REF!),OR(#REF!="הכל",מלאי!J116=#REF!),OR(#REF!="הכל",מלאי!L116=#REF!),OR(#REF!="הכל",מלאי!O116=#REF!),OR(#REF!="הכל",מלאי!R116=#REF!),OR(#REF!="הכל",#REF!="",מלאי!W116=#REF!),OR(#REF!="הכל",#REF!="",ISNUMBER(SEARCH(#REF!,מלאי!C116))),OR(#REF!="הכל",מלאי!#REF!=#REF!)),1,0)</f>
        <v>#REF!</v>
      </c>
      <c r="AF69" t="e">
        <f>IF(AD69=1,COUNTIF($AD$3:$AD69,1),"")</f>
        <v>#REF!</v>
      </c>
      <c r="AG69" t="e">
        <f>IF(AE69=1,COUNTIF($AE$3:$AE69,1),"")</f>
        <v>#REF!</v>
      </c>
    </row>
    <row r="70" spans="1:33" ht="15" hidden="1" customHeight="1" x14ac:dyDescent="0.35">
      <c r="A70" s="5" t="s">
        <v>34</v>
      </c>
      <c r="B70" s="5" t="s">
        <v>50</v>
      </c>
      <c r="C70" s="5" t="s">
        <v>36</v>
      </c>
      <c r="D70" s="13" t="s">
        <v>258</v>
      </c>
      <c r="E70" s="5" t="str">
        <f>IFERROR(INDEX(הגדרות!$I$2:$I$47,MATCH(B70,הגדרות!$H$2:$H$47,0)),"")</f>
        <v>7040-01</v>
      </c>
      <c r="F70" s="5" t="s">
        <v>51</v>
      </c>
      <c r="G70" s="5"/>
      <c r="H70" s="5" t="s">
        <v>46</v>
      </c>
      <c r="I70" s="5" t="s">
        <v>52</v>
      </c>
      <c r="J70" s="5" t="s">
        <v>40</v>
      </c>
      <c r="K70" s="5" t="s">
        <v>40</v>
      </c>
      <c r="L70" s="5" t="s">
        <v>40</v>
      </c>
      <c r="M70" s="5" t="s">
        <v>40</v>
      </c>
      <c r="N70" s="5"/>
      <c r="O70" s="5" t="s">
        <v>40</v>
      </c>
      <c r="P70" s="5"/>
      <c r="Q70" s="5" t="s">
        <v>2</v>
      </c>
      <c r="R70" s="5"/>
      <c r="S70" s="5" t="s">
        <v>2</v>
      </c>
      <c r="T70" s="5" t="s">
        <v>41</v>
      </c>
      <c r="U70" s="5"/>
      <c r="V70" s="5"/>
      <c r="W70" s="5"/>
      <c r="X70" s="5"/>
      <c r="Y70" s="5"/>
      <c r="Z70" t="str">
        <f>IFERROR(INDEX(הגדרות!$B$2:$B$17,MATCH(H70,הגדרות!$A$2:$A$17,0)),"")</f>
        <v>מיוער</v>
      </c>
      <c r="AA70">
        <f>IFERROR(INDEX(הגדרות!$C$2:$C$17,MATCH(H70,הגדרות!$A$2:$A$17,0)),"")</f>
        <v>0</v>
      </c>
      <c r="AB70" t="str">
        <f>IFERROR(INDEX(הגדרות!$B$2:$B$17,MATCH(I70,הגדרות!$A$2:$A$17,0)),"")</f>
        <v>מיוער</v>
      </c>
      <c r="AC70">
        <f>IFERROR(INDEX(הגדרות!$C$2:$C$17,MATCH(I70,הגדרות!$A$2:$A$17,0)),"")</f>
        <v>0</v>
      </c>
      <c r="AD70" t="e">
        <f>IF(AND(מלאי!D16&lt;&gt;"",OR(#REF!="הכל",מלאי!Z16=#REF!,מלאי!AA16=#REF!,מלאי!AB16=#REF!,מלאי!AC16=#REF!),OR(#REF!="הכל",מלאי!A16=#REF!),OR(#REF!="הכל",מלאי!B16=#REF!),OR(#REF!="הכל",מלאי!F16=#REF!,מלאי!G16=#REF!),OR(#REF!="הכל",מלאי!T16=#REF!),OR(#REF!="הכל",מלאי!Q16=#REF!),OR(#REF!="הכל",מלאי!J16=#REF!),OR(#REF!="הכל",מלאי!L16=#REF!),OR(#REF!="הכל",מלאי!O16=#REF!),OR(#REF!="הכל",מלאי!R16=#REF!),OR(#REF!="הכל",#REF!="",מלאי!W16=#REF!),OR(#REF!="הכל",#REF!="",ISNUMBER(SEARCH(#REF!,מלאי!C16)))),1,0)</f>
        <v>#REF!</v>
      </c>
      <c r="AE70" t="e">
        <f>IF(AND(מלאי!D16&lt;&gt;"",OR(#REF!="הכל",מלאי!Z16=#REF!,מלאי!AA16=#REF!,מלאי!AB16=#REF!,מלאי!AC16=#REF!),OR(#REF!="הכל",מלאי!A16=#REF!),OR(#REF!="הכל",מלאי!B16=#REF!),OR(#REF!="הכל",מלאי!F16=#REF!,מלאי!G16=#REF!),OR(#REF!="הכל",מלאי!T16=#REF!),OR(#REF!="הכל",מלאי!Q16=#REF!),OR(#REF!="הכל",מלאי!J16=#REF!),OR(#REF!="הכל",מלאי!L16=#REF!),OR(#REF!="הכל",מלאי!O16=#REF!),OR(#REF!="הכל",מלאי!R16=#REF!),OR(#REF!="הכל",#REF!="",מלאי!W16=#REF!),OR(#REF!="הכל",#REF!="",ISNUMBER(SEARCH(#REF!,מלאי!C16))),OR(#REF!="הכל",מלאי!#REF!=#REF!)),1,0)</f>
        <v>#REF!</v>
      </c>
      <c r="AF70" t="e">
        <f>IF(AD70=1,COUNTIF($AD$3:$AD70,1),"")</f>
        <v>#REF!</v>
      </c>
      <c r="AG70" t="e">
        <f>IF(AE70=1,COUNTIF($AE$3:$AE70,1),"")</f>
        <v>#REF!</v>
      </c>
    </row>
    <row r="71" spans="1:33" ht="15" hidden="1" customHeight="1" x14ac:dyDescent="0.35">
      <c r="A71" s="4" t="s">
        <v>34</v>
      </c>
      <c r="B71" s="4" t="s">
        <v>50</v>
      </c>
      <c r="C71" s="4" t="s">
        <v>36</v>
      </c>
      <c r="D71" s="4" t="s">
        <v>259</v>
      </c>
      <c r="E71" s="4" t="str">
        <f>IFERROR(INDEX(הגדרות!$I$2:$I$47,MATCH(B71,הגדרות!$H$2:$H$47,0)),"")</f>
        <v>7040-01</v>
      </c>
      <c r="F71" s="4" t="s">
        <v>51</v>
      </c>
      <c r="G71" s="4"/>
      <c r="H71" s="4" t="s">
        <v>46</v>
      </c>
      <c r="I71" s="4" t="s">
        <v>52</v>
      </c>
      <c r="J71" s="4" t="s">
        <v>40</v>
      </c>
      <c r="K71" s="4" t="s">
        <v>40</v>
      </c>
      <c r="L71" s="4" t="s">
        <v>40</v>
      </c>
      <c r="M71" s="4" t="s">
        <v>40</v>
      </c>
      <c r="N71" s="4"/>
      <c r="O71" s="4" t="s">
        <v>40</v>
      </c>
      <c r="P71" s="4"/>
      <c r="Q71" s="4" t="s">
        <v>2</v>
      </c>
      <c r="R71" s="4"/>
      <c r="S71" s="4" t="s">
        <v>2</v>
      </c>
      <c r="T71" s="4" t="s">
        <v>41</v>
      </c>
      <c r="U71" s="4"/>
      <c r="V71" s="4"/>
      <c r="W71" s="4"/>
      <c r="X71" s="4"/>
      <c r="Y71" s="4"/>
      <c r="Z71" t="str">
        <f>IFERROR(INDEX(הגדרות!$B$2:$B$17,MATCH(H71,הגדרות!$A$2:$A$17,0)),"")</f>
        <v>מיוער</v>
      </c>
      <c r="AA71">
        <f>IFERROR(INDEX(הגדרות!$C$2:$C$17,MATCH(H71,הגדרות!$A$2:$A$17,0)),"")</f>
        <v>0</v>
      </c>
      <c r="AB71" t="str">
        <f>IFERROR(INDEX(הגדרות!$B$2:$B$17,MATCH(I71,הגדרות!$A$2:$A$17,0)),"")</f>
        <v>מיוער</v>
      </c>
      <c r="AC71">
        <f>IFERROR(INDEX(הגדרות!$C$2:$C$17,MATCH(I71,הגדרות!$A$2:$A$17,0)),"")</f>
        <v>0</v>
      </c>
      <c r="AD71" t="e">
        <f>IF(AND(מלאי!D17&lt;&gt;"",OR(#REF!="הכל",מלאי!Z17=#REF!,מלאי!AA17=#REF!,מלאי!AB17=#REF!,מלאי!AC17=#REF!),OR(#REF!="הכל",מלאי!A17=#REF!),OR(#REF!="הכל",מלאי!B17=#REF!),OR(#REF!="הכל",מלאי!F17=#REF!,מלאי!G17=#REF!),OR(#REF!="הכל",מלאי!T17=#REF!),OR(#REF!="הכל",מלאי!Q17=#REF!),OR(#REF!="הכל",מלאי!J17=#REF!),OR(#REF!="הכל",מלאי!L17=#REF!),OR(#REF!="הכל",מלאי!O17=#REF!),OR(#REF!="הכל",מלאי!R17=#REF!),OR(#REF!="הכל",#REF!="",מלאי!W17=#REF!),OR(#REF!="הכל",#REF!="",ISNUMBER(SEARCH(#REF!,מלאי!C17)))),1,0)</f>
        <v>#REF!</v>
      </c>
      <c r="AE71" t="e">
        <f>IF(AND(מלאי!D17&lt;&gt;"",OR(#REF!="הכל",מלאי!Z17=#REF!,מלאי!AA17=#REF!,מלאי!AB17=#REF!,מלאי!AC17=#REF!),OR(#REF!="הכל",מלאי!A17=#REF!),OR(#REF!="הכל",מלאי!B17=#REF!),OR(#REF!="הכל",מלאי!F17=#REF!,מלאי!G17=#REF!),OR(#REF!="הכל",מלאי!T17=#REF!),OR(#REF!="הכל",מלאי!Q17=#REF!),OR(#REF!="הכל",מלאי!J17=#REF!),OR(#REF!="הכל",מלאי!L17=#REF!),OR(#REF!="הכל",מלאי!O17=#REF!),OR(#REF!="הכל",מלאי!R17=#REF!),OR(#REF!="הכל",#REF!="",מלאי!W17=#REF!),OR(#REF!="הכל",#REF!="",ISNUMBER(SEARCH(#REF!,מלאי!C17))),OR(#REF!="הכל",מלאי!#REF!=#REF!)),1,0)</f>
        <v>#REF!</v>
      </c>
      <c r="AF71" t="e">
        <f>IF(AD71=1,COUNTIF($AD$3:$AD71,1),"")</f>
        <v>#REF!</v>
      </c>
      <c r="AG71" t="e">
        <f>IF(AE71=1,COUNTIF($AE$3:$AE71,1),"")</f>
        <v>#REF!</v>
      </c>
    </row>
    <row r="72" spans="1:33" ht="15" hidden="1" customHeight="1" x14ac:dyDescent="0.35">
      <c r="A72" s="5" t="s">
        <v>34</v>
      </c>
      <c r="B72" s="5" t="s">
        <v>50</v>
      </c>
      <c r="C72" s="5" t="s">
        <v>36</v>
      </c>
      <c r="D72" s="5" t="s">
        <v>53</v>
      </c>
      <c r="E72" s="5" t="str">
        <f>IFERROR(INDEX(הגדרות!$I$2:$I$47,MATCH(B72,הגדרות!$H$2:$H$47,0)),"")</f>
        <v>7040-01</v>
      </c>
      <c r="F72" s="5" t="s">
        <v>51</v>
      </c>
      <c r="G72" s="5"/>
      <c r="H72" s="5" t="s">
        <v>46</v>
      </c>
      <c r="I72" s="5" t="s">
        <v>52</v>
      </c>
      <c r="J72" s="5" t="s">
        <v>2</v>
      </c>
      <c r="K72" s="5" t="s">
        <v>40</v>
      </c>
      <c r="L72" s="5" t="s">
        <v>40</v>
      </c>
      <c r="M72" s="5" t="s">
        <v>40</v>
      </c>
      <c r="N72" s="5"/>
      <c r="O72" s="5" t="s">
        <v>40</v>
      </c>
      <c r="P72" s="5" t="s">
        <v>514</v>
      </c>
      <c r="Q72" s="5" t="s">
        <v>2</v>
      </c>
      <c r="R72" s="5"/>
      <c r="S72" s="5" t="s">
        <v>2</v>
      </c>
      <c r="T72" s="5" t="s">
        <v>42</v>
      </c>
      <c r="U72" s="5"/>
      <c r="V72" s="5"/>
      <c r="W72" s="5"/>
      <c r="X72" s="5"/>
      <c r="Y72" s="5"/>
      <c r="Z72" t="str">
        <f>IFERROR(INDEX(הגדרות!$B$2:$B$17,MATCH(H72,הגדרות!$A$2:$A$17,0)),"")</f>
        <v>מיוער</v>
      </c>
      <c r="AA72">
        <f>IFERROR(INDEX(הגדרות!$C$2:$C$17,MATCH(H72,הגדרות!$A$2:$A$17,0)),"")</f>
        <v>0</v>
      </c>
      <c r="AB72" t="str">
        <f>IFERROR(INDEX(הגדרות!$B$2:$B$17,MATCH(I72,הגדרות!$A$2:$A$17,0)),"")</f>
        <v>מיוער</v>
      </c>
      <c r="AC72">
        <f>IFERROR(INDEX(הגדרות!$C$2:$C$17,MATCH(I72,הגדרות!$A$2:$A$17,0)),"")</f>
        <v>0</v>
      </c>
      <c r="AD72" t="e">
        <f>IF(AND(מלאי!D18&lt;&gt;"",OR(#REF!="הכל",מלאי!Z18=#REF!,מלאי!AA18=#REF!,מלאי!AB18=#REF!,מלאי!AC18=#REF!),OR(#REF!="הכל",מלאי!A18=#REF!),OR(#REF!="הכל",מלאי!B18=#REF!),OR(#REF!="הכל",מלאי!F18=#REF!,מלאי!G18=#REF!),OR(#REF!="הכל",מלאי!T18=#REF!),OR(#REF!="הכל",מלאי!Q18=#REF!),OR(#REF!="הכל",מלאי!J18=#REF!),OR(#REF!="הכל",מלאי!L18=#REF!),OR(#REF!="הכל",מלאי!O18=#REF!),OR(#REF!="הכל",מלאי!R18=#REF!),OR(#REF!="הכל",#REF!="",מלאי!W18=#REF!),OR(#REF!="הכל",#REF!="",ISNUMBER(SEARCH(#REF!,מלאי!C18)))),1,0)</f>
        <v>#REF!</v>
      </c>
      <c r="AE72" t="e">
        <f>IF(AND(מלאי!D18&lt;&gt;"",OR(#REF!="הכל",מלאי!Z18=#REF!,מלאי!AA18=#REF!,מלאי!AB18=#REF!,מלאי!AC18=#REF!),OR(#REF!="הכל",מלאי!A18=#REF!),OR(#REF!="הכל",מלאי!B18=#REF!),OR(#REF!="הכל",מלאי!F18=#REF!,מלאי!G18=#REF!),OR(#REF!="הכל",מלאי!T18=#REF!),OR(#REF!="הכל",מלאי!Q18=#REF!),OR(#REF!="הכל",מלאי!J18=#REF!),OR(#REF!="הכל",מלאי!L18=#REF!),OR(#REF!="הכל",מלאי!O18=#REF!),OR(#REF!="הכל",מלאי!R18=#REF!),OR(#REF!="הכל",#REF!="",מלאי!W18=#REF!),OR(#REF!="הכל",#REF!="",ISNUMBER(SEARCH(#REF!,מלאי!C18))),OR(#REF!="הכל",מלאי!#REF!=#REF!)),1,0)</f>
        <v>#REF!</v>
      </c>
      <c r="AF72" t="e">
        <f>IF(AD72=1,COUNTIF($AD$3:$AD72,1),"")</f>
        <v>#REF!</v>
      </c>
      <c r="AG72" t="e">
        <f>IF(AE72=1,COUNTIF($AE$3:$AE72,1),"")</f>
        <v>#REF!</v>
      </c>
    </row>
    <row r="73" spans="1:33" ht="15" hidden="1" customHeight="1" x14ac:dyDescent="0.35">
      <c r="A73" s="4" t="s">
        <v>34</v>
      </c>
      <c r="B73" s="4" t="s">
        <v>50</v>
      </c>
      <c r="C73" s="4" t="s">
        <v>36</v>
      </c>
      <c r="D73" s="4" t="s">
        <v>54</v>
      </c>
      <c r="E73" s="4" t="str">
        <f>IFERROR(INDEX(הגדרות!$I$2:$I$47,MATCH(B73,הגדרות!$H$2:$H$47,0)),"")</f>
        <v>7040-01</v>
      </c>
      <c r="F73" s="4" t="s">
        <v>51</v>
      </c>
      <c r="G73" s="4"/>
      <c r="H73" s="4" t="s">
        <v>46</v>
      </c>
      <c r="I73" s="4" t="s">
        <v>52</v>
      </c>
      <c r="J73" s="4" t="s">
        <v>40</v>
      </c>
      <c r="K73" s="4" t="s">
        <v>40</v>
      </c>
      <c r="L73" s="4" t="s">
        <v>40</v>
      </c>
      <c r="M73" s="4" t="s">
        <v>40</v>
      </c>
      <c r="N73" s="4"/>
      <c r="O73" s="4" t="s">
        <v>40</v>
      </c>
      <c r="P73" s="4"/>
      <c r="Q73" s="4" t="s">
        <v>2</v>
      </c>
      <c r="R73" s="4"/>
      <c r="S73" s="4" t="s">
        <v>2</v>
      </c>
      <c r="T73" s="4" t="s">
        <v>41</v>
      </c>
      <c r="U73" s="4"/>
      <c r="V73" s="4"/>
      <c r="W73" s="4"/>
      <c r="X73" s="4"/>
      <c r="Y73" s="4"/>
      <c r="Z73" t="str">
        <f>IFERROR(INDEX(הגדרות!$B$2:$B$17,MATCH(H73,הגדרות!$A$2:$A$17,0)),"")</f>
        <v>מיוער</v>
      </c>
      <c r="AA73">
        <f>IFERROR(INDEX(הגדרות!$C$2:$C$17,MATCH(H73,הגדרות!$A$2:$A$17,0)),"")</f>
        <v>0</v>
      </c>
      <c r="AB73" t="str">
        <f>IFERROR(INDEX(הגדרות!$B$2:$B$17,MATCH(I73,הגדרות!$A$2:$A$17,0)),"")</f>
        <v>מיוער</v>
      </c>
      <c r="AC73">
        <f>IFERROR(INDEX(הגדרות!$C$2:$C$17,MATCH(I73,הגדרות!$A$2:$A$17,0)),"")</f>
        <v>0</v>
      </c>
      <c r="AD73" t="e">
        <f>IF(AND(מלאי!D19&lt;&gt;"",OR(#REF!="הכל",מלאי!Z19=#REF!,מלאי!AA19=#REF!,מלאי!AB19=#REF!,מלאי!AC19=#REF!),OR(#REF!="הכל",מלאי!A19=#REF!),OR(#REF!="הכל",מלאי!B19=#REF!),OR(#REF!="הכל",מלאי!F19=#REF!,מלאי!G19=#REF!),OR(#REF!="הכל",מלאי!T19=#REF!),OR(#REF!="הכל",מלאי!Q19=#REF!),OR(#REF!="הכל",מלאי!J19=#REF!),OR(#REF!="הכל",מלאי!L19=#REF!),OR(#REF!="הכל",מלאי!O19=#REF!),OR(#REF!="הכל",מלאי!R19=#REF!),OR(#REF!="הכל",#REF!="",מלאי!W19=#REF!),OR(#REF!="הכל",#REF!="",ISNUMBER(SEARCH(#REF!,מלאי!C19)))),1,0)</f>
        <v>#REF!</v>
      </c>
      <c r="AE73" t="e">
        <f>IF(AND(מלאי!D19&lt;&gt;"",OR(#REF!="הכל",מלאי!Z19=#REF!,מלאי!AA19=#REF!,מלאי!AB19=#REF!,מלאי!AC19=#REF!),OR(#REF!="הכל",מלאי!A19=#REF!),OR(#REF!="הכל",מלאי!B19=#REF!),OR(#REF!="הכל",מלאי!F19=#REF!,מלאי!G19=#REF!),OR(#REF!="הכל",מלאי!T19=#REF!),OR(#REF!="הכל",מלאי!Q19=#REF!),OR(#REF!="הכל",מלאי!J19=#REF!),OR(#REF!="הכל",מלאי!L19=#REF!),OR(#REF!="הכל",מלאי!O19=#REF!),OR(#REF!="הכל",מלאי!R19=#REF!),OR(#REF!="הכל",#REF!="",מלאי!W19=#REF!),OR(#REF!="הכל",#REF!="",ISNUMBER(SEARCH(#REF!,מלאי!C19))),OR(#REF!="הכל",מלאי!#REF!=#REF!)),1,0)</f>
        <v>#REF!</v>
      </c>
      <c r="AF73" t="e">
        <f>IF(AD73=1,COUNTIF($AD$3:$AD73,1),"")</f>
        <v>#REF!</v>
      </c>
      <c r="AG73" t="e">
        <f>IF(AE73=1,COUNTIF($AE$3:$AE73,1),"")</f>
        <v>#REF!</v>
      </c>
    </row>
    <row r="74" spans="1:33" ht="15" hidden="1" customHeight="1" x14ac:dyDescent="0.35">
      <c r="A74" s="5" t="s">
        <v>34</v>
      </c>
      <c r="B74" s="5" t="s">
        <v>50</v>
      </c>
      <c r="C74" s="5" t="s">
        <v>36</v>
      </c>
      <c r="D74" s="5" t="s">
        <v>260</v>
      </c>
      <c r="E74" s="5" t="str">
        <f>IFERROR(INDEX(הגדרות!$I$2:$I$47,MATCH(B74,הגדרות!$H$2:$H$47,0)),"")</f>
        <v>7040-01</v>
      </c>
      <c r="F74" s="5" t="s">
        <v>51</v>
      </c>
      <c r="G74" s="5"/>
      <c r="H74" s="5" t="s">
        <v>49</v>
      </c>
      <c r="I74" s="5" t="s">
        <v>49</v>
      </c>
      <c r="J74" s="5" t="s">
        <v>40</v>
      </c>
      <c r="K74" s="5" t="s">
        <v>40</v>
      </c>
      <c r="L74" s="5" t="s">
        <v>40</v>
      </c>
      <c r="M74" s="5" t="s">
        <v>40</v>
      </c>
      <c r="N74" s="5"/>
      <c r="O74" s="5" t="s">
        <v>40</v>
      </c>
      <c r="P74" s="5"/>
      <c r="Q74" s="5" t="s">
        <v>2</v>
      </c>
      <c r="R74" s="5"/>
      <c r="S74" s="5" t="s">
        <v>2</v>
      </c>
      <c r="T74" s="5" t="s">
        <v>41</v>
      </c>
      <c r="U74" s="5"/>
      <c r="V74" s="5"/>
      <c r="W74" s="5"/>
      <c r="X74" s="5"/>
      <c r="Y74" s="5"/>
      <c r="Z74" t="str">
        <f>IFERROR(INDEX(הגדרות!$B$2:$B$17,MATCH(H74,הגדרות!$A$2:$A$17,0)),"")</f>
        <v>מדברי</v>
      </c>
      <c r="AA74">
        <f>IFERROR(INDEX(הגדרות!$C$2:$C$17,MATCH(H74,הגדרות!$A$2:$A$17,0)),"")</f>
        <v>0</v>
      </c>
      <c r="AB74" t="str">
        <f>IFERROR(INDEX(הגדרות!$B$2:$B$17,MATCH(I74,הגדרות!$A$2:$A$17,0)),"")</f>
        <v>מדברי</v>
      </c>
      <c r="AC74">
        <f>IFERROR(INDEX(הגדרות!$C$2:$C$17,MATCH(I74,הגדרות!$A$2:$A$17,0)),"")</f>
        <v>0</v>
      </c>
      <c r="AD74" t="e">
        <f>IF(AND(מלאי!D20&lt;&gt;"",OR(#REF!="הכל",מלאי!Z20=#REF!,מלאי!AA20=#REF!,מלאי!AB20=#REF!,מלאי!AC20=#REF!),OR(#REF!="הכל",מלאי!A20=#REF!),OR(#REF!="הכל",מלאי!B20=#REF!),OR(#REF!="הכל",מלאי!F20=#REF!,מלאי!G20=#REF!),OR(#REF!="הכל",מלאי!T20=#REF!),OR(#REF!="הכל",מלאי!Q20=#REF!),OR(#REF!="הכל",מלאי!J20=#REF!),OR(#REF!="הכל",מלאי!L20=#REF!),OR(#REF!="הכל",מלאי!O20=#REF!),OR(#REF!="הכל",מלאי!R20=#REF!),OR(#REF!="הכל",#REF!="",מלאי!W20=#REF!),OR(#REF!="הכל",#REF!="",ISNUMBER(SEARCH(#REF!,מלאי!C20)))),1,0)</f>
        <v>#REF!</v>
      </c>
      <c r="AE74" t="e">
        <f>IF(AND(מלאי!D20&lt;&gt;"",OR(#REF!="הכל",מלאי!Z20=#REF!,מלאי!AA20=#REF!,מלאי!AB20=#REF!,מלאי!AC20=#REF!),OR(#REF!="הכל",מלאי!A20=#REF!),OR(#REF!="הכל",מלאי!B20=#REF!),OR(#REF!="הכל",מלאי!F20=#REF!,מלאי!G20=#REF!),OR(#REF!="הכל",מלאי!T20=#REF!),OR(#REF!="הכל",מלאי!Q20=#REF!),OR(#REF!="הכל",מלאי!J20=#REF!),OR(#REF!="הכל",מלאי!L20=#REF!),OR(#REF!="הכל",מלאי!O20=#REF!),OR(#REF!="הכל",מלאי!R20=#REF!),OR(#REF!="הכל",#REF!="",מלאי!W20=#REF!),OR(#REF!="הכל",#REF!="",ISNUMBER(SEARCH(#REF!,מלאי!C20))),OR(#REF!="הכל",מלאי!#REF!=#REF!)),1,0)</f>
        <v>#REF!</v>
      </c>
      <c r="AF74" t="e">
        <f>IF(AD74=1,COUNTIF($AD$3:$AD74,1),"")</f>
        <v>#REF!</v>
      </c>
      <c r="AG74" t="e">
        <f>IF(AE74=1,COUNTIF($AE$3:$AE74,1),"")</f>
        <v>#REF!</v>
      </c>
    </row>
    <row r="75" spans="1:33" ht="15" hidden="1" customHeight="1" x14ac:dyDescent="0.35">
      <c r="A75" s="4" t="s">
        <v>34</v>
      </c>
      <c r="B75" s="4" t="s">
        <v>50</v>
      </c>
      <c r="C75" s="4" t="s">
        <v>36</v>
      </c>
      <c r="D75" s="4" t="s">
        <v>261</v>
      </c>
      <c r="E75" s="4" t="str">
        <f>IFERROR(INDEX(הגדרות!$I$2:$I$47,MATCH(B75,הגדרות!$H$2:$H$47,0)),"")</f>
        <v>7040-01</v>
      </c>
      <c r="F75" s="4" t="s">
        <v>51</v>
      </c>
      <c r="G75" s="4"/>
      <c r="H75" s="4" t="s">
        <v>49</v>
      </c>
      <c r="I75" s="4" t="s">
        <v>49</v>
      </c>
      <c r="J75" s="4" t="s">
        <v>40</v>
      </c>
      <c r="K75" s="4" t="s">
        <v>40</v>
      </c>
      <c r="L75" s="4" t="s">
        <v>40</v>
      </c>
      <c r="M75" s="4" t="s">
        <v>40</v>
      </c>
      <c r="N75" s="4"/>
      <c r="O75" s="4" t="s">
        <v>40</v>
      </c>
      <c r="P75" s="4"/>
      <c r="Q75" s="4" t="s">
        <v>2</v>
      </c>
      <c r="R75" s="4"/>
      <c r="S75" s="4" t="s">
        <v>2</v>
      </c>
      <c r="T75" s="4" t="s">
        <v>41</v>
      </c>
      <c r="U75" s="4"/>
      <c r="V75" s="4"/>
      <c r="W75" s="4"/>
      <c r="X75" s="4"/>
      <c r="Y75" s="4"/>
      <c r="Z75" t="str">
        <f>IFERROR(INDEX(הגדרות!$B$2:$B$17,MATCH(H75,הגדרות!$A$2:$A$17,0)),"")</f>
        <v>מדברי</v>
      </c>
      <c r="AA75">
        <f>IFERROR(INDEX(הגדרות!$C$2:$C$17,MATCH(H75,הגדרות!$A$2:$A$17,0)),"")</f>
        <v>0</v>
      </c>
      <c r="AB75" t="str">
        <f>IFERROR(INDEX(הגדרות!$B$2:$B$17,MATCH(I75,הגדרות!$A$2:$A$17,0)),"")</f>
        <v>מדברי</v>
      </c>
      <c r="AC75">
        <f>IFERROR(INDEX(הגדרות!$C$2:$C$17,MATCH(I75,הגדרות!$A$2:$A$17,0)),"")</f>
        <v>0</v>
      </c>
      <c r="AD75" t="e">
        <f>IF(AND(מלאי!D21&lt;&gt;"",OR(#REF!="הכל",מלאי!Z21=#REF!,מלאי!AA21=#REF!,מלאי!AB21=#REF!,מלאי!AC21=#REF!),OR(#REF!="הכל",מלאי!A21=#REF!),OR(#REF!="הכל",מלאי!B21=#REF!),OR(#REF!="הכל",מלאי!F21=#REF!,מלאי!G21=#REF!),OR(#REF!="הכל",מלאי!T21=#REF!),OR(#REF!="הכל",מלאי!Q21=#REF!),OR(#REF!="הכל",מלאי!J21=#REF!),OR(#REF!="הכל",מלאי!L21=#REF!),OR(#REF!="הכל",מלאי!O21=#REF!),OR(#REF!="הכל",מלאי!R21=#REF!),OR(#REF!="הכל",#REF!="",מלאי!W21=#REF!),OR(#REF!="הכל",#REF!="",ISNUMBER(SEARCH(#REF!,מלאי!C21)))),1,0)</f>
        <v>#REF!</v>
      </c>
      <c r="AE75" t="e">
        <f>IF(AND(מלאי!D21&lt;&gt;"",OR(#REF!="הכל",מלאי!Z21=#REF!,מלאי!AA21=#REF!,מלאי!AB21=#REF!,מלאי!AC21=#REF!),OR(#REF!="הכל",מלאי!A21=#REF!),OR(#REF!="הכל",מלאי!B21=#REF!),OR(#REF!="הכל",מלאי!F21=#REF!,מלאי!G21=#REF!),OR(#REF!="הכל",מלאי!T21=#REF!),OR(#REF!="הכל",מלאי!Q21=#REF!),OR(#REF!="הכל",מלאי!J21=#REF!),OR(#REF!="הכל",מלאי!L21=#REF!),OR(#REF!="הכל",מלאי!O21=#REF!),OR(#REF!="הכל",מלאי!R21=#REF!),OR(#REF!="הכל",#REF!="",מלאי!W21=#REF!),OR(#REF!="הכל",#REF!="",ISNUMBER(SEARCH(#REF!,מלאי!C21))),OR(#REF!="הכל",מלאי!#REF!=#REF!)),1,0)</f>
        <v>#REF!</v>
      </c>
      <c r="AF75" t="e">
        <f>IF(AD75=1,COUNTIF($AD$3:$AD75,1),"")</f>
        <v>#REF!</v>
      </c>
      <c r="AG75" t="e">
        <f>IF(AE75=1,COUNTIF($AE$3:$AE75,1),"")</f>
        <v>#REF!</v>
      </c>
    </row>
    <row r="76" spans="1:33" ht="15" hidden="1" customHeight="1" x14ac:dyDescent="0.35">
      <c r="A76" s="5" t="s">
        <v>34</v>
      </c>
      <c r="B76" s="5" t="s">
        <v>50</v>
      </c>
      <c r="C76" s="5" t="s">
        <v>36</v>
      </c>
      <c r="D76" s="5" t="s">
        <v>262</v>
      </c>
      <c r="E76" s="5" t="str">
        <f>IFERROR(INDEX(הגדרות!$I$2:$I$47,MATCH(B76,הגדרות!$H$2:$H$47,0)),"")</f>
        <v>7040-01</v>
      </c>
      <c r="F76" s="5" t="s">
        <v>51</v>
      </c>
      <c r="G76" s="5"/>
      <c r="H76" s="5" t="s">
        <v>49</v>
      </c>
      <c r="I76" s="5" t="s">
        <v>49</v>
      </c>
      <c r="J76" s="5" t="s">
        <v>40</v>
      </c>
      <c r="K76" s="5" t="s">
        <v>40</v>
      </c>
      <c r="L76" s="5" t="s">
        <v>40</v>
      </c>
      <c r="M76" s="5" t="s">
        <v>40</v>
      </c>
      <c r="N76" s="5"/>
      <c r="O76" s="5" t="s">
        <v>40</v>
      </c>
      <c r="P76" s="5"/>
      <c r="Q76" s="5" t="s">
        <v>2</v>
      </c>
      <c r="R76" s="5"/>
      <c r="S76" s="5" t="s">
        <v>2</v>
      </c>
      <c r="T76" s="5" t="s">
        <v>41</v>
      </c>
      <c r="U76" s="5"/>
      <c r="V76" s="5"/>
      <c r="W76" s="5"/>
      <c r="X76" s="5"/>
      <c r="Y76" s="5"/>
      <c r="Z76" t="str">
        <f>IFERROR(INDEX(הגדרות!$B$2:$B$17,MATCH(H76,הגדרות!$A$2:$A$17,0)),"")</f>
        <v>מדברי</v>
      </c>
      <c r="AA76">
        <f>IFERROR(INDEX(הגדרות!$C$2:$C$17,MATCH(H76,הגדרות!$A$2:$A$17,0)),"")</f>
        <v>0</v>
      </c>
      <c r="AB76" t="str">
        <f>IFERROR(INDEX(הגדרות!$B$2:$B$17,MATCH(I76,הגדרות!$A$2:$A$17,0)),"")</f>
        <v>מדברי</v>
      </c>
      <c r="AC76">
        <f>IFERROR(INDEX(הגדרות!$C$2:$C$17,MATCH(I76,הגדרות!$A$2:$A$17,0)),"")</f>
        <v>0</v>
      </c>
      <c r="AD76" t="e">
        <f>IF(AND(מלאי!D22&lt;&gt;"",OR(#REF!="הכל",מלאי!Z22=#REF!,מלאי!AA22=#REF!,מלאי!AB22=#REF!,מלאי!AC22=#REF!),OR(#REF!="הכל",מלאי!A22=#REF!),OR(#REF!="הכל",מלאי!B22=#REF!),OR(#REF!="הכל",מלאי!F22=#REF!,מלאי!G22=#REF!),OR(#REF!="הכל",מלאי!T22=#REF!),OR(#REF!="הכל",מלאי!Q22=#REF!),OR(#REF!="הכל",מלאי!J22=#REF!),OR(#REF!="הכל",מלאי!L22=#REF!),OR(#REF!="הכל",מלאי!O22=#REF!),OR(#REF!="הכל",מלאי!R22=#REF!),OR(#REF!="הכל",#REF!="",מלאי!W22=#REF!),OR(#REF!="הכל",#REF!="",ISNUMBER(SEARCH(#REF!,מלאי!C22)))),1,0)</f>
        <v>#REF!</v>
      </c>
      <c r="AE76" t="e">
        <f>IF(AND(מלאי!D22&lt;&gt;"",OR(#REF!="הכל",מלאי!Z22=#REF!,מלאי!AA22=#REF!,מלאי!AB22=#REF!,מלאי!AC22=#REF!),OR(#REF!="הכל",מלאי!A22=#REF!),OR(#REF!="הכל",מלאי!B22=#REF!),OR(#REF!="הכל",מלאי!F22=#REF!,מלאי!G22=#REF!),OR(#REF!="הכל",מלאי!T22=#REF!),OR(#REF!="הכל",מלאי!Q22=#REF!),OR(#REF!="הכל",מלאי!J22=#REF!),OR(#REF!="הכל",מלאי!L22=#REF!),OR(#REF!="הכל",מלאי!O22=#REF!),OR(#REF!="הכל",מלאי!R22=#REF!),OR(#REF!="הכל",#REF!="",מלאי!W22=#REF!),OR(#REF!="הכל",#REF!="",ISNUMBER(SEARCH(#REF!,מלאי!C22))),OR(#REF!="הכל",מלאי!#REF!=#REF!)),1,0)</f>
        <v>#REF!</v>
      </c>
      <c r="AF76" t="e">
        <f>IF(AD76=1,COUNTIF($AD$3:$AD76,1),"")</f>
        <v>#REF!</v>
      </c>
      <c r="AG76" t="e">
        <f>IF(AE76=1,COUNTIF($AE$3:$AE76,1),"")</f>
        <v>#REF!</v>
      </c>
    </row>
    <row r="77" spans="1:33" ht="15" hidden="1" customHeight="1" x14ac:dyDescent="0.35">
      <c r="A77" s="4" t="s">
        <v>34</v>
      </c>
      <c r="B77" s="4" t="s">
        <v>50</v>
      </c>
      <c r="C77" s="4" t="s">
        <v>36</v>
      </c>
      <c r="D77" s="4" t="s">
        <v>263</v>
      </c>
      <c r="E77" s="4" t="str">
        <f>IFERROR(INDEX(הגדרות!$I$2:$I$47,MATCH(B77,הגדרות!$H$2:$H$47,0)),"")</f>
        <v>7040-01</v>
      </c>
      <c r="F77" s="4" t="s">
        <v>51</v>
      </c>
      <c r="G77" s="4"/>
      <c r="H77" s="4" t="s">
        <v>49</v>
      </c>
      <c r="I77" s="4" t="s">
        <v>49</v>
      </c>
      <c r="J77" s="4" t="s">
        <v>40</v>
      </c>
      <c r="K77" s="4" t="s">
        <v>40</v>
      </c>
      <c r="L77" s="4" t="s">
        <v>40</v>
      </c>
      <c r="M77" s="4" t="s">
        <v>40</v>
      </c>
      <c r="N77" s="4"/>
      <c r="O77" s="4" t="s">
        <v>40</v>
      </c>
      <c r="P77" s="4"/>
      <c r="Q77" s="4" t="s">
        <v>2</v>
      </c>
      <c r="R77" s="4"/>
      <c r="S77" s="4" t="s">
        <v>2</v>
      </c>
      <c r="T77" s="4" t="s">
        <v>41</v>
      </c>
      <c r="U77" s="4"/>
      <c r="V77" s="4"/>
      <c r="W77" s="4"/>
      <c r="X77" s="4"/>
      <c r="Y77" s="4"/>
      <c r="Z77" t="str">
        <f>IFERROR(INDEX(הגדרות!$B$2:$B$17,MATCH(H77,הגדרות!$A$2:$A$17,0)),"")</f>
        <v>מדברי</v>
      </c>
      <c r="AA77">
        <f>IFERROR(INDEX(הגדרות!$C$2:$C$17,MATCH(H77,הגדרות!$A$2:$A$17,0)),"")</f>
        <v>0</v>
      </c>
      <c r="AB77" t="str">
        <f>IFERROR(INDEX(הגדרות!$B$2:$B$17,MATCH(I77,הגדרות!$A$2:$A$17,0)),"")</f>
        <v>מדברי</v>
      </c>
      <c r="AC77">
        <f>IFERROR(INDEX(הגדרות!$C$2:$C$17,MATCH(I77,הגדרות!$A$2:$A$17,0)),"")</f>
        <v>0</v>
      </c>
      <c r="AD77" t="e">
        <f>IF(AND(מלאי!D23&lt;&gt;"",OR(#REF!="הכל",מלאי!Z23=#REF!,מלאי!AA23=#REF!,מלאי!AB23=#REF!,מלאי!AC23=#REF!),OR(#REF!="הכל",מלאי!A23=#REF!),OR(#REF!="הכל",מלאי!B23=#REF!),OR(#REF!="הכל",מלאי!F23=#REF!,מלאי!G23=#REF!),OR(#REF!="הכל",מלאי!T23=#REF!),OR(#REF!="הכל",מלאי!Q23=#REF!),OR(#REF!="הכל",מלאי!J23=#REF!),OR(#REF!="הכל",מלאי!L23=#REF!),OR(#REF!="הכל",מלאי!O23=#REF!),OR(#REF!="הכל",מלאי!R23=#REF!),OR(#REF!="הכל",#REF!="",מלאי!W23=#REF!),OR(#REF!="הכל",#REF!="",ISNUMBER(SEARCH(#REF!,מלאי!C23)))),1,0)</f>
        <v>#REF!</v>
      </c>
      <c r="AE77" t="e">
        <f>IF(AND(מלאי!D23&lt;&gt;"",OR(#REF!="הכל",מלאי!Z23=#REF!,מלאי!AA23=#REF!,מלאי!AB23=#REF!,מלאי!AC23=#REF!),OR(#REF!="הכל",מלאי!A23=#REF!),OR(#REF!="הכל",מלאי!B23=#REF!),OR(#REF!="הכל",מלאי!F23=#REF!,מלאי!G23=#REF!),OR(#REF!="הכל",מלאי!T23=#REF!),OR(#REF!="הכל",מלאי!Q23=#REF!),OR(#REF!="הכל",מלאי!J23=#REF!),OR(#REF!="הכל",מלאי!L23=#REF!),OR(#REF!="הכל",מלאי!O23=#REF!),OR(#REF!="הכל",מלאי!R23=#REF!),OR(#REF!="הכל",#REF!="",מלאי!W23=#REF!),OR(#REF!="הכל",#REF!="",ISNUMBER(SEARCH(#REF!,מלאי!C23))),OR(#REF!="הכל",מלאי!#REF!=#REF!)),1,0)</f>
        <v>#REF!</v>
      </c>
      <c r="AF77" t="e">
        <f>IF(AD77=1,COUNTIF($AD$3:$AD77,1),"")</f>
        <v>#REF!</v>
      </c>
      <c r="AG77" t="e">
        <f>IF(AE77=1,COUNTIF($AE$3:$AE77,1),"")</f>
        <v>#REF!</v>
      </c>
    </row>
    <row r="78" spans="1:33" ht="15" hidden="1" customHeight="1" x14ac:dyDescent="0.35">
      <c r="A78" s="20" t="s">
        <v>139</v>
      </c>
      <c r="B78" s="21" t="s">
        <v>216</v>
      </c>
      <c r="C78" s="21" t="s">
        <v>439</v>
      </c>
      <c r="D78" s="21" t="s">
        <v>438</v>
      </c>
      <c r="E78" s="4" t="str">
        <f>IFERROR(INDEX(הגדרות!$I$2:$I$47,MATCH(B78,הגדרות!$H$2:$H$47,0)),"")</f>
        <v>3003-00</v>
      </c>
      <c r="F78" s="4" t="s">
        <v>80</v>
      </c>
      <c r="G78" s="4"/>
      <c r="H78" s="17" t="s">
        <v>68</v>
      </c>
      <c r="I78" s="17" t="s">
        <v>39</v>
      </c>
      <c r="J78" s="4" t="s">
        <v>40</v>
      </c>
      <c r="K78" s="4" t="s">
        <v>40</v>
      </c>
      <c r="L78" s="4"/>
      <c r="M78" s="4"/>
      <c r="N78" s="4"/>
      <c r="O78" s="4"/>
      <c r="P78" s="4"/>
      <c r="Q78" s="4"/>
      <c r="R78" s="4"/>
      <c r="S78" s="4"/>
      <c r="T78" s="4" t="s">
        <v>41</v>
      </c>
      <c r="U78" s="4"/>
      <c r="V78" s="4"/>
      <c r="W78" s="4"/>
      <c r="X78" s="4"/>
      <c r="Y78" s="4"/>
      <c r="Z78" t="str">
        <f>IFERROR(INDEX(הגדרות!$B$2:$B$17,MATCH(H78,הגדרות!$A$2:$A$17,0)),"")</f>
        <v>מדברי</v>
      </c>
      <c r="AA78">
        <f>IFERROR(INDEX(הגדרות!$C$2:$C$17,MATCH(H78,הגדרות!$A$2:$A$17,0)),"")</f>
        <v>0</v>
      </c>
      <c r="AB78" t="str">
        <f>IFERROR(INDEX(הגדרות!$B$2:$B$17,MATCH(I78,הגדרות!$A$2:$A$17,0)),"")</f>
        <v>מדברי</v>
      </c>
      <c r="AC78">
        <f>IFERROR(INDEX(הגדרות!$C$2:$C$17,MATCH(I78,הגדרות!$A$2:$A$17,0)),"")</f>
        <v>0</v>
      </c>
      <c r="AD78" t="e">
        <f>IF(AND(מלאי!D143&lt;&gt;"",OR(#REF!="הכל",מלאי!Z143=#REF!,מלאי!AA143=#REF!,מלאי!AB143=#REF!,מלאי!AC143=#REF!),OR(#REF!="הכל",מלאי!A143=#REF!),OR(#REF!="הכל",מלאי!B143=#REF!),OR(#REF!="הכל",מלאי!F143=#REF!,מלאי!G143=#REF!),OR(#REF!="הכל",מלאי!T143=#REF!),OR(#REF!="הכל",מלאי!Q143=#REF!),OR(#REF!="הכל",מלאי!J143=#REF!),OR(#REF!="הכל",מלאי!L143=#REF!),OR(#REF!="הכל",מלאי!O143=#REF!),OR(#REF!="הכל",מלאי!R143=#REF!),OR(#REF!="הכל",#REF!="",מלאי!W143=#REF!),OR(#REF!="הכל",#REF!="",ISNUMBER(SEARCH(#REF!,מלאי!C143)))),1,0)</f>
        <v>#REF!</v>
      </c>
      <c r="AE78" t="e">
        <f>IF(AND(מלאי!D143&lt;&gt;"",OR(#REF!="הכל",מלאי!Z143=#REF!,מלאי!AA143=#REF!,מלאי!AB143=#REF!,מלאי!AC143=#REF!),OR(#REF!="הכל",מלאי!A143=#REF!),OR(#REF!="הכל",מלאי!B143=#REF!),OR(#REF!="הכל",מלאי!F143=#REF!,מלאי!G143=#REF!),OR(#REF!="הכל",מלאי!T143=#REF!),OR(#REF!="הכל",מלאי!Q143=#REF!),OR(#REF!="הכל",מלאי!J143=#REF!),OR(#REF!="הכל",מלאי!L143=#REF!),OR(#REF!="הכל",מלאי!O143=#REF!),OR(#REF!="הכל",מלאי!R143=#REF!),OR(#REF!="הכל",#REF!="",מלאי!W143=#REF!),OR(#REF!="הכל",#REF!="",ISNUMBER(SEARCH(#REF!,מלאי!C143))),OR(#REF!="הכל",מלאי!#REF!=#REF!)),1,0)</f>
        <v>#REF!</v>
      </c>
      <c r="AF78" t="e">
        <f>IF(AD78=1,COUNTIF($AD$3:$AD78,1),"")</f>
        <v>#REF!</v>
      </c>
      <c r="AG78" t="e">
        <f>IF(AE78=1,COUNTIF($AE$3:$AE78,1),"")</f>
        <v>#REF!</v>
      </c>
    </row>
    <row r="79" spans="1:33" ht="15" hidden="1" customHeight="1" x14ac:dyDescent="0.35">
      <c r="A79" s="4" t="s">
        <v>78</v>
      </c>
      <c r="B79" s="4" t="s">
        <v>79</v>
      </c>
      <c r="C79" s="4" t="s">
        <v>36</v>
      </c>
      <c r="D79" s="12" t="s">
        <v>243</v>
      </c>
      <c r="E79" s="4" t="str">
        <f>IFERROR(INDEX(הגדרות!$I$2:$I$47,MATCH(B79,הגדרות!$H$2:$H$47,0)),"")</f>
        <v>9001-00</v>
      </c>
      <c r="F79" s="4" t="s">
        <v>80</v>
      </c>
      <c r="G79" s="4"/>
      <c r="H79" s="4" t="s">
        <v>39</v>
      </c>
      <c r="I79" s="4" t="s">
        <v>68</v>
      </c>
      <c r="J79" s="4" t="s">
        <v>40</v>
      </c>
      <c r="K79" s="4"/>
      <c r="L79" s="4" t="s">
        <v>40</v>
      </c>
      <c r="M79" s="4" t="s">
        <v>40</v>
      </c>
      <c r="N79" s="4"/>
      <c r="O79" s="4" t="s">
        <v>40</v>
      </c>
      <c r="P79" s="4"/>
      <c r="Q79" s="4" t="s">
        <v>2</v>
      </c>
      <c r="R79" s="4"/>
      <c r="S79" s="4" t="s">
        <v>2</v>
      </c>
      <c r="T79" s="4" t="s">
        <v>41</v>
      </c>
      <c r="U79" s="4"/>
      <c r="V79" s="4"/>
      <c r="W79" s="4"/>
      <c r="X79" s="4"/>
      <c r="Y79" s="4"/>
      <c r="Z79" t="str">
        <f>IFERROR(INDEX(הגדרות!$B$2:$B$17,MATCH(H79,הגדרות!$A$2:$A$17,0)),"")</f>
        <v>מדברי</v>
      </c>
      <c r="AA79">
        <f>IFERROR(INDEX(הגדרות!$C$2:$C$17,MATCH(H79,הגדרות!$A$2:$A$17,0)),"")</f>
        <v>0</v>
      </c>
      <c r="AB79" t="str">
        <f>IFERROR(INDEX(הגדרות!$B$2:$B$17,MATCH(I79,הגדרות!$A$2:$A$17,0)),"")</f>
        <v>מדברי</v>
      </c>
      <c r="AC79">
        <f>IFERROR(INDEX(הגדרות!$C$2:$C$17,MATCH(I79,הגדרות!$A$2:$A$17,0)),"")</f>
        <v>0</v>
      </c>
      <c r="AD79" t="e">
        <f>IF(AND(מלאי!D53&lt;&gt;"",OR(#REF!="הכל",מלאי!Z53=#REF!,מלאי!AA53=#REF!,מלאי!AB53=#REF!,מלאי!AC53=#REF!),OR(#REF!="הכל",מלאי!A53=#REF!),OR(#REF!="הכל",מלאי!B53=#REF!),OR(#REF!="הכל",מלאי!F53=#REF!,מלאי!G53=#REF!),OR(#REF!="הכל",מלאי!T53=#REF!),OR(#REF!="הכל",מלאי!Q53=#REF!),OR(#REF!="הכל",מלאי!J53=#REF!),OR(#REF!="הכל",מלאי!L53=#REF!),OR(#REF!="הכל",מלאי!O53=#REF!),OR(#REF!="הכל",מלאי!R53=#REF!),OR(#REF!="הכל",#REF!="",מלאי!W53=#REF!),OR(#REF!="הכל",#REF!="",ISNUMBER(SEARCH(#REF!,מלאי!C53)))),1,0)</f>
        <v>#REF!</v>
      </c>
      <c r="AE79" t="e">
        <f>IF(AND(מלאי!D53&lt;&gt;"",OR(#REF!="הכל",מלאי!Z53=#REF!,מלאי!AA53=#REF!,מלאי!AB53=#REF!,מלאי!AC53=#REF!),OR(#REF!="הכל",מלאי!A53=#REF!),OR(#REF!="הכל",מלאי!B53=#REF!),OR(#REF!="הכל",מלאי!F53=#REF!,מלאי!G53=#REF!),OR(#REF!="הכל",מלאי!T53=#REF!),OR(#REF!="הכל",מלאי!Q53=#REF!),OR(#REF!="הכל",מלאי!J53=#REF!),OR(#REF!="הכל",מלאי!L53=#REF!),OR(#REF!="הכל",מלאי!O53=#REF!),OR(#REF!="הכל",מלאי!R53=#REF!),OR(#REF!="הכל",#REF!="",מלאי!W53=#REF!),OR(#REF!="הכל",#REF!="",ISNUMBER(SEARCH(#REF!,מלאי!C53))),OR(#REF!="הכל",מלאי!#REF!=#REF!)),1,0)</f>
        <v>#REF!</v>
      </c>
      <c r="AF79" t="e">
        <f>IF(AD79=1,COUNTIF($AD$3:$AD79,1),"")</f>
        <v>#REF!</v>
      </c>
      <c r="AG79" t="e">
        <f>IF(AE79=1,COUNTIF($AE$3:$AE79,1),"")</f>
        <v>#REF!</v>
      </c>
    </row>
    <row r="80" spans="1:33" ht="15" hidden="1" customHeight="1" x14ac:dyDescent="0.35">
      <c r="A80" s="5" t="s">
        <v>78</v>
      </c>
      <c r="B80" s="5" t="s">
        <v>79</v>
      </c>
      <c r="C80" s="5" t="s">
        <v>36</v>
      </c>
      <c r="D80" s="5" t="s">
        <v>281</v>
      </c>
      <c r="E80" s="5" t="str">
        <f>IFERROR(INDEX(הגדרות!$I$2:$I$47,MATCH(B80,הגדרות!$H$2:$H$47,0)),"")</f>
        <v>9001-00</v>
      </c>
      <c r="F80" s="5" t="s">
        <v>80</v>
      </c>
      <c r="G80" s="5"/>
      <c r="H80" s="5" t="s">
        <v>39</v>
      </c>
      <c r="I80" s="5" t="s">
        <v>68</v>
      </c>
      <c r="J80" s="5" t="s">
        <v>40</v>
      </c>
      <c r="K80" s="5"/>
      <c r="L80" s="5" t="s">
        <v>40</v>
      </c>
      <c r="M80" s="5" t="s">
        <v>40</v>
      </c>
      <c r="N80" s="5"/>
      <c r="O80" s="5" t="s">
        <v>40</v>
      </c>
      <c r="P80" s="5"/>
      <c r="Q80" s="5" t="s">
        <v>2</v>
      </c>
      <c r="R80" s="5"/>
      <c r="S80" s="5" t="s">
        <v>2</v>
      </c>
      <c r="T80" s="5" t="s">
        <v>41</v>
      </c>
      <c r="U80" s="5"/>
      <c r="V80" s="5"/>
      <c r="W80" s="5"/>
      <c r="X80" s="5"/>
      <c r="Y80" s="5"/>
      <c r="Z80" t="str">
        <f>IFERROR(INDEX(הגדרות!$B$2:$B$17,MATCH(H80,הגדרות!$A$2:$A$17,0)),"")</f>
        <v>מדברי</v>
      </c>
      <c r="AA80">
        <f>IFERROR(INDEX(הגדרות!$C$2:$C$17,MATCH(H80,הגדרות!$A$2:$A$17,0)),"")</f>
        <v>0</v>
      </c>
      <c r="AB80" t="str">
        <f>IFERROR(INDEX(הגדרות!$B$2:$B$17,MATCH(I80,הגדרות!$A$2:$A$17,0)),"")</f>
        <v>מדברי</v>
      </c>
      <c r="AC80">
        <f>IFERROR(INDEX(הגדרות!$C$2:$C$17,MATCH(I80,הגדרות!$A$2:$A$17,0)),"")</f>
        <v>0</v>
      </c>
      <c r="AD80" t="e">
        <f>IF(AND(מלאי!D54&lt;&gt;"",OR(#REF!="הכל",מלאי!Z54=#REF!,מלאי!AA54=#REF!,מלאי!AB54=#REF!,מלאי!AC54=#REF!),OR(#REF!="הכל",מלאי!A54=#REF!),OR(#REF!="הכל",מלאי!B54=#REF!),OR(#REF!="הכל",מלאי!F54=#REF!,מלאי!G54=#REF!),OR(#REF!="הכל",מלאי!T54=#REF!),OR(#REF!="הכל",מלאי!Q54=#REF!),OR(#REF!="הכל",מלאי!J54=#REF!),OR(#REF!="הכל",מלאי!L54=#REF!),OR(#REF!="הכל",מלאי!O54=#REF!),OR(#REF!="הכל",מלאי!R54=#REF!),OR(#REF!="הכל",#REF!="",מלאי!W54=#REF!),OR(#REF!="הכל",#REF!="",ISNUMBER(SEARCH(#REF!,מלאי!C54)))),1,0)</f>
        <v>#REF!</v>
      </c>
      <c r="AE80" t="e">
        <f>IF(AND(מלאי!D54&lt;&gt;"",OR(#REF!="הכל",מלאי!Z54=#REF!,מלאי!AA54=#REF!,מלאי!AB54=#REF!,מלאי!AC54=#REF!),OR(#REF!="הכל",מלאי!A54=#REF!),OR(#REF!="הכל",מלאי!B54=#REF!),OR(#REF!="הכל",מלאי!F54=#REF!,מלאי!G54=#REF!),OR(#REF!="הכל",מלאי!T54=#REF!),OR(#REF!="הכל",מלאי!Q54=#REF!),OR(#REF!="הכל",מלאי!J54=#REF!),OR(#REF!="הכל",מלאי!L54=#REF!),OR(#REF!="הכל",מלאי!O54=#REF!),OR(#REF!="הכל",מלאי!R54=#REF!),OR(#REF!="הכל",#REF!="",מלאי!W54=#REF!),OR(#REF!="הכל",#REF!="",ISNUMBER(SEARCH(#REF!,מלאי!C54))),OR(#REF!="הכל",מלאי!#REF!=#REF!)),1,0)</f>
        <v>#REF!</v>
      </c>
      <c r="AF80" t="e">
        <f>IF(AD80=1,COUNTIF($AD$3:$AD80,1),"")</f>
        <v>#REF!</v>
      </c>
      <c r="AG80" t="e">
        <f>IF(AE80=1,COUNTIF($AE$3:$AE80,1),"")</f>
        <v>#REF!</v>
      </c>
    </row>
    <row r="81" spans="1:33" ht="15" hidden="1" customHeight="1" x14ac:dyDescent="0.35">
      <c r="A81" s="4" t="s">
        <v>78</v>
      </c>
      <c r="B81" s="4" t="s">
        <v>79</v>
      </c>
      <c r="C81" s="4" t="s">
        <v>36</v>
      </c>
      <c r="D81" s="12" t="s">
        <v>280</v>
      </c>
      <c r="E81" s="4" t="str">
        <f>IFERROR(INDEX(הגדרות!$I$2:$I$47,MATCH(B81,הגדרות!$H$2:$H$47,0)),"")</f>
        <v>9001-00</v>
      </c>
      <c r="F81" s="4" t="s">
        <v>81</v>
      </c>
      <c r="G81" s="4"/>
      <c r="H81" s="4" t="s">
        <v>82</v>
      </c>
      <c r="I81" s="4" t="s">
        <v>83</v>
      </c>
      <c r="J81" s="4" t="s">
        <v>40</v>
      </c>
      <c r="K81" s="4" t="s">
        <v>40</v>
      </c>
      <c r="L81" s="4" t="s">
        <v>40</v>
      </c>
      <c r="M81" s="4" t="s">
        <v>40</v>
      </c>
      <c r="N81" s="4"/>
      <c r="O81" s="4" t="s">
        <v>40</v>
      </c>
      <c r="P81" s="4"/>
      <c r="Q81" s="4" t="s">
        <v>2</v>
      </c>
      <c r="R81" s="4"/>
      <c r="S81" s="4" t="s">
        <v>40</v>
      </c>
      <c r="T81" s="4" t="s">
        <v>41</v>
      </c>
      <c r="U81" s="4" t="s">
        <v>84</v>
      </c>
      <c r="V81" s="4"/>
      <c r="W81" s="4"/>
      <c r="X81" s="4"/>
      <c r="Y81" s="4"/>
      <c r="Z81" t="str">
        <f>IFERROR(INDEX(הגדרות!$B$2:$B$17,MATCH(H81,הגדרות!$A$2:$A$17,0)),"")</f>
        <v>מיוער</v>
      </c>
      <c r="AA81" t="str">
        <f>IFERROR(INDEX(הגדרות!$C$2:$C$17,MATCH(H81,הגדרות!$A$2:$A$17,0)),"")</f>
        <v>בולדר/שטח בנוי</v>
      </c>
      <c r="AB81" t="str">
        <f>IFERROR(INDEX(הגדרות!$B$2:$B$17,MATCH(I81,הגדרות!$A$2:$A$17,0)),"")</f>
        <v>מיוער</v>
      </c>
      <c r="AC81">
        <f>IFERROR(INDEX(הגדרות!$C$2:$C$17,MATCH(I81,הגדרות!$A$2:$A$17,0)),"")</f>
        <v>0</v>
      </c>
      <c r="AD81" t="e">
        <f>IF(AND(מלאי!D55&lt;&gt;"",OR(#REF!="הכל",מלאי!Z55=#REF!,מלאי!AA55=#REF!,מלאי!AB55=#REF!,מלאי!AC55=#REF!),OR(#REF!="הכל",מלאי!A55=#REF!),OR(#REF!="הכל",מלאי!B55=#REF!),OR(#REF!="הכל",מלאי!F55=#REF!,מלאי!G55=#REF!),OR(#REF!="הכל",מלאי!T55=#REF!),OR(#REF!="הכל",מלאי!Q55=#REF!),OR(#REF!="הכל",מלאי!J55=#REF!),OR(#REF!="הכל",מלאי!L55=#REF!),OR(#REF!="הכל",מלאי!O55=#REF!),OR(#REF!="הכל",מלאי!R55=#REF!),OR(#REF!="הכל",#REF!="",מלאי!W55=#REF!),OR(#REF!="הכל",#REF!="",ISNUMBER(SEARCH(#REF!,מלאי!C55)))),1,0)</f>
        <v>#REF!</v>
      </c>
      <c r="AE81" t="e">
        <f>IF(AND(מלאי!D55&lt;&gt;"",OR(#REF!="הכל",מלאי!Z55=#REF!,מלאי!AA55=#REF!,מלאי!AB55=#REF!,מלאי!AC55=#REF!),OR(#REF!="הכל",מלאי!A55=#REF!),OR(#REF!="הכל",מלאי!B55=#REF!),OR(#REF!="הכל",מלאי!F55=#REF!,מלאי!G55=#REF!),OR(#REF!="הכל",מלאי!T55=#REF!),OR(#REF!="הכל",מלאי!Q55=#REF!),OR(#REF!="הכל",מלאי!J55=#REF!),OR(#REF!="הכל",מלאי!L55=#REF!),OR(#REF!="הכל",מלאי!O55=#REF!),OR(#REF!="הכל",מלאי!R55=#REF!),OR(#REF!="הכל",#REF!="",מלאי!W55=#REF!),OR(#REF!="הכל",#REF!="",ISNUMBER(SEARCH(#REF!,מלאי!C55))),OR(#REF!="הכל",מלאי!#REF!=#REF!)),1,0)</f>
        <v>#REF!</v>
      </c>
      <c r="AF81" t="e">
        <f>IF(AD81=1,COUNTIF($AD$3:$AD81,1),"")</f>
        <v>#REF!</v>
      </c>
      <c r="AG81" t="e">
        <f>IF(AE81=1,COUNTIF($AE$3:$AE81,1),"")</f>
        <v>#REF!</v>
      </c>
    </row>
    <row r="82" spans="1:33" ht="15" hidden="1" customHeight="1" x14ac:dyDescent="0.35">
      <c r="A82" s="4" t="s">
        <v>78</v>
      </c>
      <c r="B82" s="4" t="s">
        <v>79</v>
      </c>
      <c r="C82" s="4" t="s">
        <v>36</v>
      </c>
      <c r="D82" s="12" t="s">
        <v>282</v>
      </c>
      <c r="E82" s="4" t="str">
        <f>IFERROR(INDEX(הגדרות!$I$2:$I$47,MATCH(B82,הגדרות!$H$2:$H$47,0)),"")</f>
        <v>9001-00</v>
      </c>
      <c r="F82" s="4" t="s">
        <v>81</v>
      </c>
      <c r="G82" s="4"/>
      <c r="H82" s="4" t="s">
        <v>82</v>
      </c>
      <c r="I82" s="4" t="s">
        <v>83</v>
      </c>
      <c r="J82" s="4" t="s">
        <v>40</v>
      </c>
      <c r="K82" s="4" t="s">
        <v>40</v>
      </c>
      <c r="L82" s="4" t="s">
        <v>40</v>
      </c>
      <c r="M82" s="4" t="s">
        <v>40</v>
      </c>
      <c r="N82" s="4"/>
      <c r="O82" s="4" t="s">
        <v>40</v>
      </c>
      <c r="P82" s="4"/>
      <c r="Q82" s="4" t="s">
        <v>2</v>
      </c>
      <c r="R82" s="4"/>
      <c r="S82" s="4" t="s">
        <v>40</v>
      </c>
      <c r="T82" s="4" t="s">
        <v>41</v>
      </c>
      <c r="U82" s="4" t="s">
        <v>228</v>
      </c>
      <c r="V82" s="4"/>
      <c r="W82" s="4"/>
      <c r="X82" s="4"/>
      <c r="Y82" s="4"/>
      <c r="Z82" t="str">
        <f>IFERROR(INDEX(הגדרות!$B$2:$B$17,MATCH(H82,הגדרות!$A$2:$A$17,0)),"")</f>
        <v>מיוער</v>
      </c>
      <c r="AA82" t="str">
        <f>IFERROR(INDEX(הגדרות!$C$2:$C$17,MATCH(H82,הגדרות!$A$2:$A$17,0)),"")</f>
        <v>בולדר/שטח בנוי</v>
      </c>
      <c r="AB82" t="str">
        <f>IFERROR(INDEX(הגדרות!$B$2:$B$17,MATCH(I82,הגדרות!$A$2:$A$17,0)),"")</f>
        <v>מיוער</v>
      </c>
      <c r="AC82">
        <f>IFERROR(INDEX(הגדרות!$C$2:$C$17,MATCH(I82,הגדרות!$A$2:$A$17,0)),"")</f>
        <v>0</v>
      </c>
      <c r="AD82" t="e">
        <f>IF(AND(מלאי!D56&lt;&gt;"",OR(#REF!="הכל",מלאי!Z56=#REF!,מלאי!AA56=#REF!,מלאי!AB56=#REF!,מלאי!AC56=#REF!),OR(#REF!="הכל",מלאי!A56=#REF!),OR(#REF!="הכל",מלאי!B56=#REF!),OR(#REF!="הכל",מלאי!F56=#REF!,מלאי!G56=#REF!),OR(#REF!="הכל",מלאי!T56=#REF!),OR(#REF!="הכל",מלאי!Q56=#REF!),OR(#REF!="הכל",מלאי!J56=#REF!),OR(#REF!="הכל",מלאי!L56=#REF!),OR(#REF!="הכל",מלאי!O56=#REF!),OR(#REF!="הכל",מלאי!R56=#REF!),OR(#REF!="הכל",#REF!="",מלאי!W56=#REF!),OR(#REF!="הכל",#REF!="",ISNUMBER(SEARCH(#REF!,מלאי!C56)))),1,0)</f>
        <v>#REF!</v>
      </c>
      <c r="AE82" t="e">
        <f>IF(AND(מלאי!D56&lt;&gt;"",OR(#REF!="הכל",מלאי!Z56=#REF!,מלאי!AA56=#REF!,מלאי!AB56=#REF!,מלאי!AC56=#REF!),OR(#REF!="הכל",מלאי!A56=#REF!),OR(#REF!="הכל",מלאי!B56=#REF!),OR(#REF!="הכל",מלאי!F56=#REF!,מלאי!G56=#REF!),OR(#REF!="הכל",מלאי!T56=#REF!),OR(#REF!="הכל",מלאי!Q56=#REF!),OR(#REF!="הכל",מלאי!J56=#REF!),OR(#REF!="הכל",מלאי!L56=#REF!),OR(#REF!="הכל",מלאי!O56=#REF!),OR(#REF!="הכל",מלאי!R56=#REF!),OR(#REF!="הכל",#REF!="",מלאי!W56=#REF!),OR(#REF!="הכל",#REF!="",ISNUMBER(SEARCH(#REF!,מלאי!C56))),OR(#REF!="הכל",מלאי!#REF!=#REF!)),1,0)</f>
        <v>#REF!</v>
      </c>
      <c r="AF82" t="e">
        <f>IF(AD82=1,COUNTIF($AD$3:$AD82,1),"")</f>
        <v>#REF!</v>
      </c>
      <c r="AG82" t="e">
        <f>IF(AE82=1,COUNTIF($AE$3:$AE82,1),"")</f>
        <v>#REF!</v>
      </c>
    </row>
    <row r="83" spans="1:33" ht="15" hidden="1" customHeight="1" x14ac:dyDescent="0.35">
      <c r="A83" s="5" t="s">
        <v>78</v>
      </c>
      <c r="B83" s="29" t="s">
        <v>79</v>
      </c>
      <c r="C83" s="5"/>
      <c r="D83" s="12" t="s">
        <v>336</v>
      </c>
      <c r="E83" s="5" t="str">
        <f>IFERROR(INDEX(הגדרות!$I$2:$I$47,MATCH(B83,הגדרות!$H$2:$H$47,0)),"")</f>
        <v>9001-00</v>
      </c>
      <c r="F83" s="5" t="s">
        <v>37</v>
      </c>
      <c r="G83" s="5"/>
      <c r="H83" s="5" t="s">
        <v>165</v>
      </c>
      <c r="I83" s="5"/>
      <c r="J83" s="5" t="s">
        <v>40</v>
      </c>
      <c r="K83" s="5" t="s">
        <v>40</v>
      </c>
      <c r="L83" s="5" t="s">
        <v>40</v>
      </c>
      <c r="M83" s="5" t="s">
        <v>40</v>
      </c>
      <c r="N83" s="5" t="s">
        <v>40</v>
      </c>
      <c r="O83" s="5"/>
      <c r="P83" s="5"/>
      <c r="Q83" s="5"/>
      <c r="R83" s="5"/>
      <c r="S83" s="5"/>
      <c r="T83" s="4" t="s">
        <v>41</v>
      </c>
      <c r="U83" s="5"/>
      <c r="V83" s="5"/>
      <c r="W83" s="5"/>
      <c r="X83" s="5"/>
      <c r="Y83" s="5"/>
      <c r="Z83" t="str">
        <f>IFERROR(INDEX(הגדרות!$B$2:$B$17,MATCH(H83,הגדרות!$A$2:$A$17,0)),"")</f>
        <v>שלג</v>
      </c>
      <c r="AA83">
        <f>IFERROR(INDEX(הגדרות!$C$2:$C$17,MATCH(H83,הגדרות!$A$2:$A$17,0)),"")</f>
        <v>0</v>
      </c>
      <c r="AB83" t="str">
        <f>IFERROR(INDEX(הגדרות!$B$2:$B$17,MATCH(I83,הגדרות!$A$2:$A$17,0)),"")</f>
        <v/>
      </c>
      <c r="AC83" t="str">
        <f>IFERROR(INDEX(הגדרות!$C$2:$C$17,MATCH(I83,הגדרות!$A$2:$A$17,0)),"")</f>
        <v/>
      </c>
      <c r="AD83" t="e">
        <f>IF(AND(מלאי!D112&lt;&gt;"",OR(#REF!="הכל",מלאי!Z112=#REF!,מלאי!AA112=#REF!,מלאי!AB112=#REF!,מלאי!AC112=#REF!),OR(#REF!="הכל",מלאי!A112=#REF!),OR(#REF!="הכל",מלאי!B112=#REF!),OR(#REF!="הכל",מלאי!F112=#REF!,מלאי!G112=#REF!),OR(#REF!="הכל",מלאי!T112=#REF!),OR(#REF!="הכל",מלאי!Q112=#REF!),OR(#REF!="הכל",מלאי!J112=#REF!),OR(#REF!="הכל",מלאי!L112=#REF!),OR(#REF!="הכל",מלאי!O112=#REF!),OR(#REF!="הכל",מלאי!R112=#REF!),OR(#REF!="הכל",#REF!="",מלאי!W112=#REF!),OR(#REF!="הכל",#REF!="",ISNUMBER(SEARCH(#REF!,מלאי!C112)))),1,0)</f>
        <v>#REF!</v>
      </c>
      <c r="AE83" t="e">
        <f>IF(AND(מלאי!D112&lt;&gt;"",OR(#REF!="הכל",מלאי!Z112=#REF!,מלאי!AA112=#REF!,מלאי!AB112=#REF!,מלאי!AC112=#REF!),OR(#REF!="הכל",מלאי!A112=#REF!),OR(#REF!="הכל",מלאי!B112=#REF!),OR(#REF!="הכל",מלאי!F112=#REF!,מלאי!G112=#REF!),OR(#REF!="הכל",מלאי!T112=#REF!),OR(#REF!="הכל",מלאי!Q112=#REF!),OR(#REF!="הכל",מלאי!J112=#REF!),OR(#REF!="הכל",מלאי!L112=#REF!),OR(#REF!="הכל",מלאי!O112=#REF!),OR(#REF!="הכל",מלאי!R112=#REF!),OR(#REF!="הכל",#REF!="",מלאי!W112=#REF!),OR(#REF!="הכל",#REF!="",ISNUMBER(SEARCH(#REF!,מלאי!C112))),OR(#REF!="הכל",מלאי!#REF!=#REF!)),1,0)</f>
        <v>#REF!</v>
      </c>
      <c r="AF83" t="e">
        <f>IF(AD83=1,COUNTIF($AD$3:$AD83,1),"")</f>
        <v>#REF!</v>
      </c>
      <c r="AG83" t="e">
        <f>IF(AE83=1,COUNTIF($AE$3:$AE83,1),"")</f>
        <v>#REF!</v>
      </c>
    </row>
    <row r="84" spans="1:33" ht="15" hidden="1" customHeight="1" x14ac:dyDescent="0.35">
      <c r="A84" s="4" t="s">
        <v>78</v>
      </c>
      <c r="B84" s="4" t="s">
        <v>79</v>
      </c>
      <c r="C84" s="4"/>
      <c r="D84" s="12" t="s">
        <v>335</v>
      </c>
      <c r="E84" s="4" t="str">
        <f>IFERROR(INDEX(הגדרות!$I$2:$I$47,MATCH(B84,הגדרות!$H$2:$H$47,0)),"")</f>
        <v>9001-00</v>
      </c>
      <c r="F84" s="4" t="s">
        <v>51</v>
      </c>
      <c r="G84" s="4"/>
      <c r="H84" s="4" t="s">
        <v>165</v>
      </c>
      <c r="I84" s="4"/>
      <c r="J84" s="5" t="s">
        <v>40</v>
      </c>
      <c r="K84" s="5" t="s">
        <v>40</v>
      </c>
      <c r="L84" s="5" t="s">
        <v>40</v>
      </c>
      <c r="M84" s="5" t="s">
        <v>40</v>
      </c>
      <c r="N84" s="5" t="s">
        <v>40</v>
      </c>
      <c r="O84" s="4"/>
      <c r="P84" s="4"/>
      <c r="Q84" s="4"/>
      <c r="R84" s="4"/>
      <c r="S84" s="4"/>
      <c r="T84" s="4" t="s">
        <v>41</v>
      </c>
      <c r="U84" s="4"/>
      <c r="V84" s="4"/>
      <c r="W84" s="4"/>
      <c r="X84" s="4"/>
      <c r="Y84" s="4"/>
      <c r="Z84" t="str">
        <f>IFERROR(INDEX(הגדרות!$B$2:$B$17,MATCH(H84,הגדרות!$A$2:$A$17,0)),"")</f>
        <v>שלג</v>
      </c>
      <c r="AA84">
        <f>IFERROR(INDEX(הגדרות!$C$2:$C$17,MATCH(H84,הגדרות!$A$2:$A$17,0)),"")</f>
        <v>0</v>
      </c>
      <c r="AB84" t="str">
        <f>IFERROR(INDEX(הגדרות!$B$2:$B$17,MATCH(I84,הגדרות!$A$2:$A$17,0)),"")</f>
        <v/>
      </c>
      <c r="AC84" t="str">
        <f>IFERROR(INDEX(הגדרות!$C$2:$C$17,MATCH(I84,הגדרות!$A$2:$A$17,0)),"")</f>
        <v/>
      </c>
      <c r="AD84" t="e">
        <f>IF(AND(מלאי!D113&lt;&gt;"",OR(#REF!="הכל",מלאי!Z113=#REF!,מלאי!AA113=#REF!,מלאי!AB113=#REF!,מלאי!AC113=#REF!),OR(#REF!="הכל",מלאי!A113=#REF!),OR(#REF!="הכל",מלאי!B113=#REF!),OR(#REF!="הכל",מלאי!F113=#REF!,מלאי!G113=#REF!),OR(#REF!="הכל",מלאי!T113=#REF!),OR(#REF!="הכל",מלאי!Q113=#REF!),OR(#REF!="הכל",מלאי!J113=#REF!),OR(#REF!="הכל",מלאי!L113=#REF!),OR(#REF!="הכל",מלאי!O113=#REF!),OR(#REF!="הכל",מלאי!R113=#REF!),OR(#REF!="הכל",#REF!="",מלאי!W113=#REF!),OR(#REF!="הכל",#REF!="",ISNUMBER(SEARCH(#REF!,מלאי!C113)))),1,0)</f>
        <v>#REF!</v>
      </c>
      <c r="AE84" t="e">
        <f>IF(AND(מלאי!D113&lt;&gt;"",OR(#REF!="הכל",מלאי!Z113=#REF!,מלאי!AA113=#REF!,מלאי!AB113=#REF!,מלאי!AC113=#REF!),OR(#REF!="הכל",מלאי!A113=#REF!),OR(#REF!="הכל",מלאי!B113=#REF!),OR(#REF!="הכל",מלאי!F113=#REF!,מלאי!G113=#REF!),OR(#REF!="הכל",מלאי!T113=#REF!),OR(#REF!="הכל",מלאי!Q113=#REF!),OR(#REF!="הכל",מלאי!J113=#REF!),OR(#REF!="הכל",מלאי!L113=#REF!),OR(#REF!="הכל",מלאי!O113=#REF!),OR(#REF!="הכל",מלאי!R113=#REF!),OR(#REF!="הכל",#REF!="",מלאי!W113=#REF!),OR(#REF!="הכל",#REF!="",ISNUMBER(SEARCH(#REF!,מלאי!C113))),OR(#REF!="הכל",מלאי!#REF!=#REF!)),1,0)</f>
        <v>#REF!</v>
      </c>
      <c r="AF84" t="e">
        <f>IF(AD84=1,COUNTIF($AD$3:$AD84,1),"")</f>
        <v>#REF!</v>
      </c>
      <c r="AG84" t="e">
        <f>IF(AE84=1,COUNTIF($AE$3:$AE84,1),"")</f>
        <v>#REF!</v>
      </c>
    </row>
    <row r="85" spans="1:33" ht="15" hidden="1" customHeight="1" x14ac:dyDescent="0.35">
      <c r="A85" s="5" t="s">
        <v>78</v>
      </c>
      <c r="B85" s="5" t="s">
        <v>79</v>
      </c>
      <c r="C85" s="5" t="s">
        <v>36</v>
      </c>
      <c r="D85" s="5" t="s">
        <v>435</v>
      </c>
      <c r="E85" s="5" t="s">
        <v>184</v>
      </c>
      <c r="F85" s="5" t="s">
        <v>80</v>
      </c>
      <c r="G85" s="5"/>
      <c r="H85" s="5" t="s">
        <v>39</v>
      </c>
      <c r="I85" s="31" t="s">
        <v>68</v>
      </c>
      <c r="J85" s="5" t="s">
        <v>40</v>
      </c>
      <c r="K85" s="5"/>
      <c r="L85" s="5" t="s">
        <v>40</v>
      </c>
      <c r="M85" s="5" t="s">
        <v>40</v>
      </c>
      <c r="N85" s="5"/>
      <c r="O85" s="5" t="s">
        <v>40</v>
      </c>
      <c r="P85" s="5"/>
      <c r="Q85" s="5" t="s">
        <v>2</v>
      </c>
      <c r="R85" s="5"/>
      <c r="S85" s="5" t="s">
        <v>2</v>
      </c>
      <c r="T85" s="5" t="s">
        <v>41</v>
      </c>
      <c r="U85" s="5"/>
      <c r="V85" s="5"/>
      <c r="W85" s="5"/>
      <c r="X85" s="5"/>
      <c r="Y85" s="5"/>
    </row>
    <row r="86" spans="1:33" hidden="1" x14ac:dyDescent="0.35">
      <c r="A86" s="18" t="s">
        <v>78</v>
      </c>
      <c r="B86" s="18" t="s">
        <v>79</v>
      </c>
      <c r="C86" s="29" t="s">
        <v>36</v>
      </c>
      <c r="D86" s="18" t="s">
        <v>369</v>
      </c>
      <c r="E86" s="18" t="str">
        <f>IFERROR(INDEX(הגדרות!$I$2:$I$47,MATCH(B86,הגדרות!$H$2:$H$47,0)),"")</f>
        <v>9001-00</v>
      </c>
      <c r="F86" s="18" t="s">
        <v>51</v>
      </c>
      <c r="G86" s="18"/>
      <c r="H86" s="17" t="s">
        <v>162</v>
      </c>
      <c r="I86" s="18"/>
      <c r="J86" s="17" t="s">
        <v>40</v>
      </c>
      <c r="K86" s="17" t="s">
        <v>40</v>
      </c>
      <c r="L86" s="17" t="s">
        <v>40</v>
      </c>
      <c r="M86" s="17" t="s">
        <v>40</v>
      </c>
      <c r="N86" s="17" t="s">
        <v>40</v>
      </c>
      <c r="O86" s="18"/>
      <c r="P86" s="18"/>
      <c r="Q86" s="18"/>
      <c r="R86" s="18"/>
      <c r="S86" s="18"/>
      <c r="T86" s="18" t="s">
        <v>41</v>
      </c>
      <c r="U86" s="18"/>
      <c r="V86" s="18"/>
      <c r="W86" s="18"/>
      <c r="X86" s="18"/>
      <c r="Y86" s="18"/>
      <c r="Z86" t="str">
        <f>IFERROR(INDEX(הגדרות!$B$2:$B$17,MATCH(H86,הגדרות!$A$2:$A$17,0)),"")</f>
        <v>שלג</v>
      </c>
      <c r="AA86">
        <f>IFERROR(INDEX(הגדרות!$C$2:$C$17,MATCH(H86,הגדרות!$A$2:$A$17,0)),"")</f>
        <v>0</v>
      </c>
      <c r="AB86" t="str">
        <f>IFERROR(INDEX(הגדרות!$B$2:$B$17,MATCH(I86,הגדרות!$A$2:$A$17,0)),"")</f>
        <v/>
      </c>
      <c r="AC86" t="str">
        <f>IFERROR(INDEX(הגדרות!$C$2:$C$17,MATCH(I86,הגדרות!$A$2:$A$17,0)),"")</f>
        <v/>
      </c>
      <c r="AD86" t="e">
        <f>IF(AND(מלאי!D148&lt;&gt;"",OR(#REF!="הכל",מלאי!Z148=#REF!,מלאי!AA148=#REF!,מלאי!AB148=#REF!,מלאי!AC148=#REF!),OR(#REF!="הכל",מלאי!A148=#REF!),OR(#REF!="הכל",מלאי!B148=#REF!),OR(#REF!="הכל",מלאי!F148=#REF!,מלאי!G148=#REF!),OR(#REF!="הכל",מלאי!T148=#REF!),OR(#REF!="הכל",מלאי!Q148=#REF!),OR(#REF!="הכל",מלאי!J148=#REF!),OR(#REF!="הכל",מלאי!L148=#REF!),OR(#REF!="הכל",מלאי!O148=#REF!),OR(#REF!="הכל",מלאי!R148=#REF!),OR(#REF!="הכל",#REF!="",מלאי!W148=#REF!),OR(#REF!="הכל",#REF!="",ISNUMBER(SEARCH(#REF!,מלאי!C148)))),1,0)</f>
        <v>#REF!</v>
      </c>
      <c r="AE86" t="e">
        <f>IF(AND(מלאי!D148&lt;&gt;"",OR(#REF!="הכל",מלאי!Z148=#REF!,מלאי!AA148=#REF!,מלאי!AB148=#REF!,מלאי!AC148=#REF!),OR(#REF!="הכל",מלאי!A148=#REF!),OR(#REF!="הכל",מלאי!B148=#REF!),OR(#REF!="הכל",מלאי!F148=#REF!,מלאי!G148=#REF!),OR(#REF!="הכל",מלאי!T148=#REF!),OR(#REF!="הכל",מלאי!Q148=#REF!),OR(#REF!="הכל",מלאי!J148=#REF!),OR(#REF!="הכל",מלאי!L148=#REF!),OR(#REF!="הכל",מלאי!O148=#REF!),OR(#REF!="הכל",מלאי!R148=#REF!),OR(#REF!="הכל",#REF!="",מלאי!W148=#REF!),OR(#REF!="הכל",#REF!="",ISNUMBER(SEARCH(#REF!,מלאי!C148))),OR(#REF!="הכל",מלאי!#REF!=#REF!)),1,0)</f>
        <v>#REF!</v>
      </c>
      <c r="AF86" t="e">
        <f>IF(AD86=1,COUNTIF($AD$3:$AD86,1),"")</f>
        <v>#REF!</v>
      </c>
      <c r="AG86" t="e">
        <f>IF(AE86=1,COUNTIF($AE$3:$AE86,1),"")</f>
        <v>#REF!</v>
      </c>
    </row>
    <row r="87" spans="1:33" hidden="1" x14ac:dyDescent="0.35">
      <c r="A87" s="18" t="s">
        <v>78</v>
      </c>
      <c r="B87" s="18" t="s">
        <v>79</v>
      </c>
      <c r="C87" s="18" t="s">
        <v>36</v>
      </c>
      <c r="D87" s="18" t="s">
        <v>375</v>
      </c>
      <c r="E87" s="18" t="str">
        <f>IFERROR(INDEX(הגדרות!$I$2:$I$47,MATCH(B87,הגדרות!$H$2:$H$47,0)),"")</f>
        <v>9001-00</v>
      </c>
      <c r="F87" s="18" t="s">
        <v>51</v>
      </c>
      <c r="G87" s="18"/>
      <c r="H87" s="17" t="s">
        <v>165</v>
      </c>
      <c r="I87" s="18"/>
      <c r="J87" s="17" t="s">
        <v>40</v>
      </c>
      <c r="K87" s="17" t="s">
        <v>40</v>
      </c>
      <c r="L87" s="17" t="s">
        <v>40</v>
      </c>
      <c r="M87" s="17" t="s">
        <v>40</v>
      </c>
      <c r="N87" s="17" t="s">
        <v>40</v>
      </c>
      <c r="O87" s="18"/>
      <c r="P87" s="18"/>
      <c r="Q87" s="18"/>
      <c r="R87" s="18"/>
      <c r="S87" s="18"/>
      <c r="T87" s="18" t="s">
        <v>41</v>
      </c>
      <c r="U87" s="18"/>
      <c r="V87" s="18"/>
      <c r="W87" s="18"/>
      <c r="X87" s="18"/>
      <c r="Y87" s="18"/>
      <c r="Z87" t="str">
        <f>IFERROR(INDEX(הגדרות!$B$2:$B$17,MATCH(H87,הגדרות!$A$2:$A$17,0)),"")</f>
        <v>שלג</v>
      </c>
      <c r="AA87">
        <f>IFERROR(INDEX(הגדרות!$C$2:$C$17,MATCH(H87,הגדרות!$A$2:$A$17,0)),"")</f>
        <v>0</v>
      </c>
      <c r="AB87" t="str">
        <f>IFERROR(INDEX(הגדרות!$B$2:$B$17,MATCH(I87,הגדרות!$A$2:$A$17,0)),"")</f>
        <v/>
      </c>
      <c r="AC87" t="str">
        <f>IFERROR(INDEX(הגדרות!$C$2:$C$17,MATCH(I87,הגדרות!$A$2:$A$17,0)),"")</f>
        <v/>
      </c>
      <c r="AD87" t="e">
        <f>IF(AND(מלאי!D153&lt;&gt;"",OR(#REF!="הכל",מלאי!Z153=#REF!,מלאי!AA153=#REF!,מלאי!AB153=#REF!,מלאי!AC153=#REF!),OR(#REF!="הכל",מלאי!A153=#REF!),OR(#REF!="הכל",מלאי!B153=#REF!),OR(#REF!="הכל",מלאי!F153=#REF!,מלאי!G153=#REF!),OR(#REF!="הכל",מלאי!T153=#REF!),OR(#REF!="הכל",מלאי!Q153=#REF!),OR(#REF!="הכל",מלאי!J153=#REF!),OR(#REF!="הכל",מלאי!L153=#REF!),OR(#REF!="הכל",מלאי!O153=#REF!),OR(#REF!="הכל",מלאי!R153=#REF!),OR(#REF!="הכל",#REF!="",מלאי!W153=#REF!),OR(#REF!="הכל",#REF!="",ISNUMBER(SEARCH(#REF!,מלאי!C153)))),1,0)</f>
        <v>#REF!</v>
      </c>
      <c r="AE87" t="e">
        <f>IF(AND(מלאי!D153&lt;&gt;"",OR(#REF!="הכל",מלאי!Z153=#REF!,מלאי!AA153=#REF!,מלאי!AB153=#REF!,מלאי!AC153=#REF!),OR(#REF!="הכל",מלאי!A153=#REF!),OR(#REF!="הכל",מלאי!B153=#REF!),OR(#REF!="הכל",מלאי!F153=#REF!,מלאי!G153=#REF!),OR(#REF!="הכל",מלאי!T153=#REF!),OR(#REF!="הכל",מלאי!Q153=#REF!),OR(#REF!="הכל",מלאי!J153=#REF!),OR(#REF!="הכל",מלאי!L153=#REF!),OR(#REF!="הכל",מלאי!O153=#REF!),OR(#REF!="הכל",מלאי!R153=#REF!),OR(#REF!="הכל",#REF!="",מלאי!W153=#REF!),OR(#REF!="הכל",#REF!="",ISNUMBER(SEARCH(#REF!,מלאי!C153))),OR(#REF!="הכל",מלאי!#REF!=#REF!)),1,0)</f>
        <v>#REF!</v>
      </c>
      <c r="AF87" t="e">
        <f>IF(AD87=1,COUNTIF($AD$3:$AD87,1),"")</f>
        <v>#REF!</v>
      </c>
      <c r="AG87" t="e">
        <f>IF(AE87=1,COUNTIF($AE$3:$AE87,1),"")</f>
        <v>#REF!</v>
      </c>
    </row>
    <row r="88" spans="1:33" hidden="1" x14ac:dyDescent="0.35">
      <c r="A88" s="5" t="s">
        <v>78</v>
      </c>
      <c r="B88" s="29" t="s">
        <v>185</v>
      </c>
      <c r="C88" s="12" t="s">
        <v>36</v>
      </c>
      <c r="D88" s="5" t="s">
        <v>304</v>
      </c>
      <c r="E88" s="5" t="str">
        <f>IFERROR(INDEX(הגדרות!$I$2:$I$47,MATCH(B88,הגדרות!$H$2:$H$47,0)),"")</f>
        <v>9004-01</v>
      </c>
      <c r="F88" s="5" t="s">
        <v>80</v>
      </c>
      <c r="G88" s="5"/>
      <c r="H88" s="5" t="s">
        <v>68</v>
      </c>
      <c r="I88" s="5" t="s">
        <v>39</v>
      </c>
      <c r="J88" s="4" t="s">
        <v>40</v>
      </c>
      <c r="K88" s="4" t="s">
        <v>40</v>
      </c>
      <c r="L88" s="4" t="s">
        <v>40</v>
      </c>
      <c r="M88" s="4" t="s">
        <v>40</v>
      </c>
      <c r="N88" s="5" t="s">
        <v>40</v>
      </c>
      <c r="O88" s="5"/>
      <c r="P88" s="5"/>
      <c r="Q88" s="5"/>
      <c r="R88" s="5"/>
      <c r="S88" s="5"/>
      <c r="T88" s="5" t="s">
        <v>41</v>
      </c>
      <c r="U88" s="5"/>
      <c r="V88" s="5"/>
      <c r="W88" s="5"/>
      <c r="X88" s="5"/>
      <c r="Y88" s="5"/>
      <c r="Z88" t="str">
        <f>IFERROR(INDEX(הגדרות!$B$2:$B$17,MATCH(H88,הגדרות!$A$2:$A$17,0)),"")</f>
        <v>מדברי</v>
      </c>
      <c r="AA88">
        <f>IFERROR(INDEX(הגדרות!$C$2:$C$17,MATCH(H88,הגדרות!$A$2:$A$17,0)),"")</f>
        <v>0</v>
      </c>
      <c r="AB88" t="str">
        <f>IFERROR(INDEX(הגדרות!$B$2:$B$17,MATCH(I88,הגדרות!$A$2:$A$17,0)),"")</f>
        <v>מדברי</v>
      </c>
      <c r="AC88">
        <f>IFERROR(INDEX(הגדרות!$C$2:$C$17,MATCH(I88,הגדרות!$A$2:$A$17,0)),"")</f>
        <v>0</v>
      </c>
      <c r="AD88" t="e">
        <f>IF(AND(מלאי!D91&lt;&gt;"",OR(#REF!="הכל",מלאי!Z91=#REF!,מלאי!AA91=#REF!,מלאי!AB91=#REF!,מלאי!AC91=#REF!),OR(#REF!="הכל",מלאי!A91=#REF!),OR(#REF!="הכל",מלאי!B91=#REF!),OR(#REF!="הכל",מלאי!F91=#REF!,מלאי!G91=#REF!),OR(#REF!="הכל",מלאי!T91=#REF!),OR(#REF!="הכל",מלאי!Q91=#REF!),OR(#REF!="הכל",מלאי!J91=#REF!),OR(#REF!="הכל",מלאי!L91=#REF!),OR(#REF!="הכל",מלאי!O91=#REF!),OR(#REF!="הכל",מלאי!R91=#REF!),OR(#REF!="הכל",#REF!="",מלאי!W91=#REF!),OR(#REF!="הכל",#REF!="",ISNUMBER(SEARCH(#REF!,מלאי!C91)))),1,0)</f>
        <v>#REF!</v>
      </c>
      <c r="AE88" t="e">
        <f>IF(AND(מלאי!D91&lt;&gt;"",OR(#REF!="הכל",מלאי!Z91=#REF!,מלאי!AA91=#REF!,מלאי!AB91=#REF!,מלאי!AC91=#REF!),OR(#REF!="הכל",מלאי!A91=#REF!),OR(#REF!="הכל",מלאי!B91=#REF!),OR(#REF!="הכל",מלאי!F91=#REF!,מלאי!G91=#REF!),OR(#REF!="הכל",מלאי!T91=#REF!),OR(#REF!="הכל",מלאי!Q91=#REF!),OR(#REF!="הכל",מלאי!J91=#REF!),OR(#REF!="הכל",מלאי!L91=#REF!),OR(#REF!="הכל",מלאי!O91=#REF!),OR(#REF!="הכל",מלאי!R91=#REF!),OR(#REF!="הכל",#REF!="",מלאי!W91=#REF!),OR(#REF!="הכל",#REF!="",ISNUMBER(SEARCH(#REF!,מלאי!C91))),OR(#REF!="הכל",מלאי!#REF!=#REF!)),1,0)</f>
        <v>#REF!</v>
      </c>
      <c r="AF88" t="e">
        <f>IF(AD88=1,COUNTIF($AD$3:$AD88,1),"")</f>
        <v>#REF!</v>
      </c>
      <c r="AG88" t="e">
        <f>IF(AE88=1,COUNTIF($AE$3:$AE88,1),"")</f>
        <v>#REF!</v>
      </c>
    </row>
    <row r="89" spans="1:33" ht="15" hidden="1" customHeight="1" x14ac:dyDescent="0.35">
      <c r="A89" s="4" t="s">
        <v>78</v>
      </c>
      <c r="B89" s="4" t="s">
        <v>185</v>
      </c>
      <c r="C89" s="12" t="s">
        <v>36</v>
      </c>
      <c r="D89" s="5" t="s">
        <v>368</v>
      </c>
      <c r="E89" s="4" t="str">
        <f>IFERROR(INDEX(הגדרות!$I$2:$I$47,MATCH(B89,הגדרות!$H$2:$H$47,0)),"")</f>
        <v>9004-01</v>
      </c>
      <c r="F89" s="4" t="s">
        <v>80</v>
      </c>
      <c r="G89" s="4"/>
      <c r="H89" s="5" t="s">
        <v>68</v>
      </c>
      <c r="I89" s="5" t="s">
        <v>39</v>
      </c>
      <c r="J89" s="4" t="s">
        <v>40</v>
      </c>
      <c r="K89" s="4" t="s">
        <v>40</v>
      </c>
      <c r="L89" s="4" t="s">
        <v>40</v>
      </c>
      <c r="M89" s="4" t="s">
        <v>40</v>
      </c>
      <c r="N89" s="5" t="s">
        <v>40</v>
      </c>
      <c r="O89" s="4"/>
      <c r="P89" s="4"/>
      <c r="Q89" s="4"/>
      <c r="R89" s="4"/>
      <c r="S89" s="4"/>
      <c r="T89" s="4" t="s">
        <v>41</v>
      </c>
      <c r="U89" s="4"/>
      <c r="V89" s="4"/>
      <c r="W89" s="4"/>
      <c r="X89" s="4"/>
      <c r="Y89" s="4"/>
      <c r="Z89" t="str">
        <f>IFERROR(INDEX(הגדרות!$B$2:$B$17,MATCH(H89,הגדרות!$A$2:$A$17,0)),"")</f>
        <v>מדברי</v>
      </c>
      <c r="AA89">
        <f>IFERROR(INDEX(הגדרות!$C$2:$C$17,MATCH(H89,הגדרות!$A$2:$A$17,0)),"")</f>
        <v>0</v>
      </c>
      <c r="AB89" t="str">
        <f>IFERROR(INDEX(הגדרות!$B$2:$B$17,MATCH(I89,הגדרות!$A$2:$A$17,0)),"")</f>
        <v>מדברי</v>
      </c>
      <c r="AC89">
        <f>IFERROR(INDEX(הגדרות!$C$2:$C$17,MATCH(I89,הגדרות!$A$2:$A$17,0)),"")</f>
        <v>0</v>
      </c>
      <c r="AD89" t="e">
        <f>IF(AND(מלאי!D92&lt;&gt;"",OR(#REF!="הכל",מלאי!Z92=#REF!,מלאי!AA92=#REF!,מלאי!AB92=#REF!,מלאי!AC92=#REF!),OR(#REF!="הכל",מלאי!A92=#REF!),OR(#REF!="הכל",מלאי!B92=#REF!),OR(#REF!="הכל",מלאי!F92=#REF!,מלאי!G92=#REF!),OR(#REF!="הכל",מלאי!T92=#REF!),OR(#REF!="הכל",מלאי!Q92=#REF!),OR(#REF!="הכל",מלאי!J92=#REF!),OR(#REF!="הכל",מלאי!L92=#REF!),OR(#REF!="הכל",מלאי!O92=#REF!),OR(#REF!="הכל",מלאי!R92=#REF!),OR(#REF!="הכל",#REF!="",מלאי!W92=#REF!),OR(#REF!="הכל",#REF!="",ISNUMBER(SEARCH(#REF!,מלאי!C92)))),1,0)</f>
        <v>#REF!</v>
      </c>
      <c r="AE89" t="e">
        <f>IF(AND(מלאי!D92&lt;&gt;"",OR(#REF!="הכל",מלאי!Z92=#REF!,מלאי!AA92=#REF!,מלאי!AB92=#REF!,מלאי!AC92=#REF!),OR(#REF!="הכל",מלאי!A92=#REF!),OR(#REF!="הכל",מלאי!B92=#REF!),OR(#REF!="הכל",מלאי!F92=#REF!,מלאי!G92=#REF!),OR(#REF!="הכל",מלאי!T92=#REF!),OR(#REF!="הכל",מלאי!Q92=#REF!),OR(#REF!="הכל",מלאי!J92=#REF!),OR(#REF!="הכל",מלאי!L92=#REF!),OR(#REF!="הכל",מלאי!O92=#REF!),OR(#REF!="הכל",מלאי!R92=#REF!),OR(#REF!="הכל",#REF!="",מלאי!W92=#REF!),OR(#REF!="הכל",#REF!="",ISNUMBER(SEARCH(#REF!,מלאי!C92))),OR(#REF!="הכל",מלאי!#REF!=#REF!)),1,0)</f>
        <v>#REF!</v>
      </c>
      <c r="AF89" t="e">
        <f>IF(AD89=1,COUNTIF($AD$3:$AD89,1),"")</f>
        <v>#REF!</v>
      </c>
      <c r="AG89" t="e">
        <f>IF(AE89=1,COUNTIF($AE$3:$AE89,1),"")</f>
        <v>#REF!</v>
      </c>
    </row>
    <row r="90" spans="1:33" ht="31.5" hidden="1" customHeight="1" x14ac:dyDescent="0.35">
      <c r="A90" s="27" t="s">
        <v>78</v>
      </c>
      <c r="B90" s="27" t="s">
        <v>185</v>
      </c>
      <c r="C90" s="27" t="s">
        <v>36</v>
      </c>
      <c r="D90" s="5" t="s">
        <v>427</v>
      </c>
      <c r="E90" s="5" t="str">
        <f>IFERROR(INDEX(הגדרות!$I$2:$I$47,MATCH(B90,הגדרות!$H$2:$H$47,0)),"")</f>
        <v>9004-01</v>
      </c>
      <c r="F90" s="5" t="s">
        <v>80</v>
      </c>
      <c r="G90" s="5"/>
      <c r="H90" s="5" t="s">
        <v>38</v>
      </c>
      <c r="I90" s="5" t="s">
        <v>39</v>
      </c>
      <c r="J90" s="5" t="s">
        <v>40</v>
      </c>
      <c r="K90" s="5" t="s">
        <v>40</v>
      </c>
      <c r="L90" s="5"/>
      <c r="M90" s="5"/>
      <c r="N90" s="5"/>
      <c r="O90" s="5" t="s">
        <v>40</v>
      </c>
      <c r="P90" s="4" t="s">
        <v>442</v>
      </c>
      <c r="Q90" s="5" t="s">
        <v>2</v>
      </c>
      <c r="R90" s="5"/>
      <c r="S90" s="5"/>
      <c r="T90" s="5" t="s">
        <v>41</v>
      </c>
      <c r="U90" s="5"/>
      <c r="V90" s="5"/>
      <c r="W90" s="5"/>
      <c r="X90" s="5"/>
      <c r="Y90" s="5"/>
      <c r="Z90" t="str">
        <f>IFERROR(INDEX(הגדרות!$B$2:$B$17,MATCH(H90,הגדרות!$A$2:$A$17,0)),"")</f>
        <v>מיוער</v>
      </c>
      <c r="AA90">
        <f>IFERROR(INDEX(הגדרות!$C$2:$C$17,MATCH(H90,הגדרות!$A$2:$A$17,0)),"")</f>
        <v>0</v>
      </c>
      <c r="AB90" t="str">
        <f>IFERROR(INDEX(הגדרות!$B$2:$B$17,MATCH(I90,הגדרות!$A$2:$A$17,0)),"")</f>
        <v>מדברי</v>
      </c>
      <c r="AC90">
        <f>IFERROR(INDEX(הגדרות!$C$2:$C$17,MATCH(I90,הגדרות!$A$2:$A$17,0)),"")</f>
        <v>0</v>
      </c>
      <c r="AD90" t="e">
        <f>IF(AND(מלאי!D130&lt;&gt;"",OR(#REF!="הכל",מלאי!Z130=#REF!,מלאי!AA130=#REF!,מלאי!AB130=#REF!,מלאי!AC130=#REF!),OR(#REF!="הכל",מלאי!A130=#REF!),OR(#REF!="הכל",מלאי!B130=#REF!),OR(#REF!="הכל",מלאי!F130=#REF!,מלאי!G130=#REF!),OR(#REF!="הכל",מלאי!T130=#REF!),OR(#REF!="הכל",מלאי!Q130=#REF!),OR(#REF!="הכל",מלאי!J130=#REF!),OR(#REF!="הכל",מלאי!L130=#REF!),OR(#REF!="הכל",מלאי!O130=#REF!),OR(#REF!="הכל",מלאי!R130=#REF!),OR(#REF!="הכל",#REF!="",מלאי!W130=#REF!),OR(#REF!="הכל",#REF!="",ISNUMBER(SEARCH(#REF!,מלאי!C130)))),1,0)</f>
        <v>#REF!</v>
      </c>
      <c r="AE90" t="e">
        <f>IF(AND(מלאי!D130&lt;&gt;"",OR(#REF!="הכל",מלאי!Z130=#REF!,מלאי!AA130=#REF!,מלאי!AB130=#REF!,מלאי!AC130=#REF!),OR(#REF!="הכל",מלאי!A130=#REF!),OR(#REF!="הכל",מלאי!B130=#REF!),OR(#REF!="הכל",מלאי!F130=#REF!,מלאי!G130=#REF!),OR(#REF!="הכל",מלאי!T130=#REF!),OR(#REF!="הכל",מלאי!Q130=#REF!),OR(#REF!="הכל",מלאי!J130=#REF!),OR(#REF!="הכל",מלאי!L130=#REF!),OR(#REF!="הכל",מלאי!O130=#REF!),OR(#REF!="הכל",מלאי!R130=#REF!),OR(#REF!="הכל",#REF!="",מלאי!W130=#REF!),OR(#REF!="הכל",#REF!="",ISNUMBER(SEARCH(#REF!,מלאי!C130))),OR(#REF!="הכל",מלאי!#REF!=#REF!)),1,0)</f>
        <v>#REF!</v>
      </c>
      <c r="AF90" t="e">
        <f>IF(AD90=1,COUNTIF($AD$3:$AD90,1),"")</f>
        <v>#REF!</v>
      </c>
      <c r="AG90" t="e">
        <f>IF(AE90=1,COUNTIF($AE$3:$AE90,1),"")</f>
        <v>#REF!</v>
      </c>
    </row>
    <row r="91" spans="1:33" ht="15" hidden="1" customHeight="1" x14ac:dyDescent="0.35">
      <c r="A91" s="27" t="s">
        <v>78</v>
      </c>
      <c r="B91" s="32" t="s">
        <v>185</v>
      </c>
      <c r="C91" s="27" t="s">
        <v>36</v>
      </c>
      <c r="D91" s="5" t="s">
        <v>428</v>
      </c>
      <c r="E91" s="5" t="str">
        <f>IFERROR(INDEX(הגדרות!$I$2:$I$47,MATCH(B91,הגדרות!$H$2:$H$47,0)),"")</f>
        <v>9004-01</v>
      </c>
      <c r="F91" s="5" t="s">
        <v>80</v>
      </c>
      <c r="G91" s="5"/>
      <c r="H91" s="5" t="s">
        <v>38</v>
      </c>
      <c r="I91" s="5" t="s">
        <v>39</v>
      </c>
      <c r="J91" s="5" t="s">
        <v>40</v>
      </c>
      <c r="K91" s="5" t="s">
        <v>40</v>
      </c>
      <c r="L91" s="5"/>
      <c r="M91" s="5"/>
      <c r="N91" s="5"/>
      <c r="O91" s="5" t="s">
        <v>40</v>
      </c>
      <c r="P91" s="4" t="s">
        <v>442</v>
      </c>
      <c r="Q91" s="5" t="s">
        <v>2</v>
      </c>
      <c r="R91" s="5"/>
      <c r="S91" s="5"/>
      <c r="T91" s="5" t="s">
        <v>41</v>
      </c>
      <c r="U91" s="5" t="s">
        <v>430</v>
      </c>
      <c r="V91" s="5"/>
      <c r="W91" s="5"/>
      <c r="X91" s="5"/>
      <c r="Y91" s="5"/>
      <c r="Z91" t="str">
        <f>IFERROR(INDEX(הגדרות!$B$2:$B$17,MATCH(H91,הגדרות!$A$2:$A$17,0)),"")</f>
        <v>מיוער</v>
      </c>
      <c r="AA91">
        <f>IFERROR(INDEX(הגדרות!$C$2:$C$17,MATCH(H91,הגדרות!$A$2:$A$17,0)),"")</f>
        <v>0</v>
      </c>
      <c r="AB91" t="str">
        <f>IFERROR(INDEX(הגדרות!$B$2:$B$17,MATCH(I91,הגדרות!$A$2:$A$17,0)),"")</f>
        <v>מדברי</v>
      </c>
      <c r="AC91">
        <f>IFERROR(INDEX(הגדרות!$C$2:$C$17,MATCH(I91,הגדרות!$A$2:$A$17,0)),"")</f>
        <v>0</v>
      </c>
      <c r="AD91" t="e">
        <f>IF(AND(מלאי!D131&lt;&gt;"",OR(#REF!="הכל",מלאי!Z131=#REF!,מלאי!AA131=#REF!,מלאי!AB131=#REF!,מלאי!AC131=#REF!),OR(#REF!="הכל",מלאי!A131=#REF!),OR(#REF!="הכל",מלאי!B131=#REF!),OR(#REF!="הכל",מלאי!F131=#REF!,מלאי!G131=#REF!),OR(#REF!="הכל",מלאי!T131=#REF!),OR(#REF!="הכל",מלאי!Q131=#REF!),OR(#REF!="הכל",מלאי!J131=#REF!),OR(#REF!="הכל",מלאי!L131=#REF!),OR(#REF!="הכל",מלאי!O131=#REF!),OR(#REF!="הכל",מלאי!R131=#REF!),OR(#REF!="הכל",#REF!="",מלאי!W131=#REF!),OR(#REF!="הכל",#REF!="",ISNUMBER(SEARCH(#REF!,מלאי!C131)))),1,0)</f>
        <v>#REF!</v>
      </c>
      <c r="AE91" t="e">
        <f>IF(AND(מלאי!D131&lt;&gt;"",OR(#REF!="הכל",מלאי!Z131=#REF!,מלאי!AA131=#REF!,מלאי!AB131=#REF!,מלאי!AC131=#REF!),OR(#REF!="הכל",מלאי!A131=#REF!),OR(#REF!="הכל",מלאי!B131=#REF!),OR(#REF!="הכל",מלאי!F131=#REF!,מלאי!G131=#REF!),OR(#REF!="הכל",מלאי!T131=#REF!),OR(#REF!="הכל",מלאי!Q131=#REF!),OR(#REF!="הכל",מלאי!J131=#REF!),OR(#REF!="הכל",מלאי!L131=#REF!),OR(#REF!="הכל",מלאי!O131=#REF!),OR(#REF!="הכל",מלאי!R131=#REF!),OR(#REF!="הכל",#REF!="",מלאי!W131=#REF!),OR(#REF!="הכל",#REF!="",ISNUMBER(SEARCH(#REF!,מלאי!C131))),OR(#REF!="הכל",מלאי!#REF!=#REF!)),1,0)</f>
        <v>#REF!</v>
      </c>
      <c r="AF91" t="e">
        <f>IF(AD91=1,COUNTIF($AD$3:$AD91,1),"")</f>
        <v>#REF!</v>
      </c>
      <c r="AG91" t="e">
        <f>IF(AE91=1,COUNTIF($AE$3:$AE91,1),"")</f>
        <v>#REF!</v>
      </c>
    </row>
    <row r="92" spans="1:33" ht="15" hidden="1" customHeight="1" x14ac:dyDescent="0.35">
      <c r="A92" s="27" t="s">
        <v>78</v>
      </c>
      <c r="B92" s="27" t="s">
        <v>185</v>
      </c>
      <c r="C92" s="27" t="s">
        <v>36</v>
      </c>
      <c r="D92" s="5" t="s">
        <v>429</v>
      </c>
      <c r="E92" s="5" t="str">
        <f>IFERROR(INDEX(הגדרות!$I$2:$I$47,MATCH(B92,הגדרות!$H$2:$H$47,0)),"")</f>
        <v>9004-01</v>
      </c>
      <c r="F92" s="5" t="s">
        <v>80</v>
      </c>
      <c r="G92" s="5"/>
      <c r="H92" s="5" t="s">
        <v>38</v>
      </c>
      <c r="I92" s="5" t="s">
        <v>39</v>
      </c>
      <c r="J92" s="5" t="s">
        <v>40</v>
      </c>
      <c r="K92" s="5" t="s">
        <v>40</v>
      </c>
      <c r="L92" s="5"/>
      <c r="M92" s="5"/>
      <c r="N92" s="5"/>
      <c r="O92" s="5" t="s">
        <v>40</v>
      </c>
      <c r="P92" s="4" t="s">
        <v>442</v>
      </c>
      <c r="Q92" s="5" t="s">
        <v>2</v>
      </c>
      <c r="R92" s="5"/>
      <c r="S92" s="5"/>
      <c r="T92" s="5" t="s">
        <v>41</v>
      </c>
      <c r="U92" s="5" t="s">
        <v>430</v>
      </c>
      <c r="V92" s="5"/>
      <c r="W92" s="5"/>
      <c r="X92" s="5"/>
      <c r="Y92" s="5"/>
      <c r="Z92" t="str">
        <f>IFERROR(INDEX(הגדרות!$B$2:$B$17,MATCH(H92,הגדרות!$A$2:$A$17,0)),"")</f>
        <v>מיוער</v>
      </c>
      <c r="AA92">
        <f>IFERROR(INDEX(הגדרות!$C$2:$C$17,MATCH(H92,הגדרות!$A$2:$A$17,0)),"")</f>
        <v>0</v>
      </c>
      <c r="AB92" t="str">
        <f>IFERROR(INDEX(הגדרות!$B$2:$B$17,MATCH(I92,הגדרות!$A$2:$A$17,0)),"")</f>
        <v>מדברי</v>
      </c>
      <c r="AC92">
        <f>IFERROR(INDEX(הגדרות!$C$2:$C$17,MATCH(I92,הגדרות!$A$2:$A$17,0)),"")</f>
        <v>0</v>
      </c>
      <c r="AD92" t="e">
        <f>IF(AND(מלאי!D132&lt;&gt;"",OR(#REF!="הכל",מלאי!Z132=#REF!,מלאי!AA132=#REF!,מלאי!AB132=#REF!,מלאי!AC132=#REF!),OR(#REF!="הכל",מלאי!A132=#REF!),OR(#REF!="הכל",מלאי!B132=#REF!),OR(#REF!="הכל",מלאי!F132=#REF!,מלאי!G132=#REF!),OR(#REF!="הכל",מלאי!T132=#REF!),OR(#REF!="הכל",מלאי!Q132=#REF!),OR(#REF!="הכל",מלאי!J132=#REF!),OR(#REF!="הכל",מלאי!L132=#REF!),OR(#REF!="הכל",מלאי!O132=#REF!),OR(#REF!="הכל",מלאי!R132=#REF!),OR(#REF!="הכל",#REF!="",מלאי!W132=#REF!),OR(#REF!="הכל",#REF!="",ISNUMBER(SEARCH(#REF!,מלאי!C132)))),1,0)</f>
        <v>#REF!</v>
      </c>
      <c r="AE92" t="e">
        <f>IF(AND(מלאי!D132&lt;&gt;"",OR(#REF!="הכל",מלאי!Z132=#REF!,מלאי!AA132=#REF!,מלאי!AB132=#REF!,מלאי!AC132=#REF!),OR(#REF!="הכל",מלאי!A132=#REF!),OR(#REF!="הכל",מלאי!B132=#REF!),OR(#REF!="הכל",מלאי!F132=#REF!,מלאי!G132=#REF!),OR(#REF!="הכל",מלאי!T132=#REF!),OR(#REF!="הכל",מלאי!Q132=#REF!),OR(#REF!="הכל",מלאי!J132=#REF!),OR(#REF!="הכל",מלאי!L132=#REF!),OR(#REF!="הכל",מלאי!O132=#REF!),OR(#REF!="הכל",מלאי!R132=#REF!),OR(#REF!="הכל",#REF!="",מלאי!W132=#REF!),OR(#REF!="הכל",#REF!="",ISNUMBER(SEARCH(#REF!,מלאי!C132))),OR(#REF!="הכל",מלאי!#REF!=#REF!)),1,0)</f>
        <v>#REF!</v>
      </c>
      <c r="AF92" t="e">
        <f>IF(AD92=1,COUNTIF($AD$3:$AD92,1),"")</f>
        <v>#REF!</v>
      </c>
      <c r="AG92" t="e">
        <f>IF(AE92=1,COUNTIF($AE$3:$AE92,1),"")</f>
        <v>#REF!</v>
      </c>
    </row>
    <row r="93" spans="1:33" ht="15" hidden="1" customHeight="1" x14ac:dyDescent="0.35">
      <c r="A93" s="27" t="s">
        <v>78</v>
      </c>
      <c r="B93" s="32" t="s">
        <v>185</v>
      </c>
      <c r="C93" s="27" t="s">
        <v>36</v>
      </c>
      <c r="D93" s="31" t="s">
        <v>431</v>
      </c>
      <c r="E93" s="5" t="str">
        <f>IFERROR(INDEX(הגדרות!$I$2:$I$47,MATCH(B93,הגדרות!$H$2:$H$47,0)),"")</f>
        <v>9004-01</v>
      </c>
      <c r="F93" s="5" t="s">
        <v>157</v>
      </c>
      <c r="G93" s="5"/>
      <c r="H93" s="31" t="s">
        <v>38</v>
      </c>
      <c r="I93" s="5" t="s">
        <v>39</v>
      </c>
      <c r="J93" s="5" t="s">
        <v>40</v>
      </c>
      <c r="K93" s="5" t="s">
        <v>40</v>
      </c>
      <c r="L93" s="5"/>
      <c r="M93" s="5"/>
      <c r="N93" s="5"/>
      <c r="O93" s="5" t="s">
        <v>40</v>
      </c>
      <c r="P93" s="4" t="s">
        <v>442</v>
      </c>
      <c r="Q93" s="5" t="s">
        <v>2</v>
      </c>
      <c r="R93" s="5"/>
      <c r="S93" s="5"/>
      <c r="T93" s="5" t="s">
        <v>41</v>
      </c>
      <c r="U93" s="5" t="s">
        <v>430</v>
      </c>
      <c r="V93" s="5"/>
      <c r="W93" s="5"/>
      <c r="X93" s="5"/>
      <c r="Y93" s="5"/>
      <c r="Z93" t="str">
        <f>IFERROR(INDEX(הגדרות!$B$2:$B$17,MATCH(H93,הגדרות!$A$2:$A$17,0)),"")</f>
        <v>מיוער</v>
      </c>
      <c r="AA93">
        <f>IFERROR(INDEX(הגדרות!$C$2:$C$17,MATCH(H93,הגדרות!$A$2:$A$17,0)),"")</f>
        <v>0</v>
      </c>
      <c r="AB93" t="str">
        <f>IFERROR(INDEX(הגדרות!$B$2:$B$17,MATCH(I93,הגדרות!$A$2:$A$17,0)),"")</f>
        <v>מדברי</v>
      </c>
      <c r="AC93">
        <f>IFERROR(INDEX(הגדרות!$C$2:$C$17,MATCH(I93,הגדרות!$A$2:$A$17,0)),"")</f>
        <v>0</v>
      </c>
      <c r="AD93" t="e">
        <f>IF(AND(מלאי!D133&lt;&gt;"",OR(#REF!="הכל",מלאי!Z133=#REF!,מלאי!AA133=#REF!,מלאי!AB133=#REF!,מלאי!AC133=#REF!),OR(#REF!="הכל",מלאי!A133=#REF!),OR(#REF!="הכל",מלאי!B133=#REF!),OR(#REF!="הכל",מלאי!F133=#REF!,מלאי!G133=#REF!),OR(#REF!="הכל",מלאי!T133=#REF!),OR(#REF!="הכל",מלאי!Q133=#REF!),OR(#REF!="הכל",מלאי!J133=#REF!),OR(#REF!="הכל",מלאי!L133=#REF!),OR(#REF!="הכל",מלאי!O133=#REF!),OR(#REF!="הכל",מלאי!R133=#REF!),OR(#REF!="הכל",#REF!="",מלאי!W133=#REF!),OR(#REF!="הכל",#REF!="",ISNUMBER(SEARCH(#REF!,מלאי!C133)))),1,0)</f>
        <v>#REF!</v>
      </c>
      <c r="AE93" t="e">
        <f>IF(AND(מלאי!D133&lt;&gt;"",OR(#REF!="הכל",מלאי!Z133=#REF!,מלאי!AA133=#REF!,מלאי!AB133=#REF!,מלאי!AC133=#REF!),OR(#REF!="הכל",מלאי!A133=#REF!),OR(#REF!="הכל",מלאי!B133=#REF!),OR(#REF!="הכל",מלאי!F133=#REF!,מלאי!G133=#REF!),OR(#REF!="הכל",מלאי!T133=#REF!),OR(#REF!="הכל",מלאי!Q133=#REF!),OR(#REF!="הכל",מלאי!J133=#REF!),OR(#REF!="הכל",מלאי!L133=#REF!),OR(#REF!="הכל",מלאי!O133=#REF!),OR(#REF!="הכל",מלאי!R133=#REF!),OR(#REF!="הכל",#REF!="",מלאי!W133=#REF!),OR(#REF!="הכל",#REF!="",ISNUMBER(SEARCH(#REF!,מלאי!C133))),OR(#REF!="הכל",מלאי!#REF!=#REF!)),1,0)</f>
        <v>#REF!</v>
      </c>
      <c r="AF93" t="e">
        <f>IF(AD93=1,COUNTIF($AD$3:$AD93,1),"")</f>
        <v>#REF!</v>
      </c>
      <c r="AG93" t="e">
        <f>IF(AE93=1,COUNTIF($AE$3:$AE93,1),"")</f>
        <v>#REF!</v>
      </c>
    </row>
    <row r="94" spans="1:33" ht="15" hidden="1" customHeight="1" x14ac:dyDescent="0.35">
      <c r="A94" s="20" t="s">
        <v>139</v>
      </c>
      <c r="B94" s="21" t="s">
        <v>185</v>
      </c>
      <c r="C94" s="19" t="s">
        <v>36</v>
      </c>
      <c r="D94" s="31" t="s">
        <v>441</v>
      </c>
      <c r="E94" s="4" t="str">
        <f>IFERROR(INDEX(הגדרות!$I$2:$I$47,MATCH(B94,הגדרות!$H$2:$H$47,0)),"")</f>
        <v>9004-01</v>
      </c>
      <c r="F94" s="4" t="s">
        <v>80</v>
      </c>
      <c r="G94" s="4"/>
      <c r="H94" s="17" t="s">
        <v>68</v>
      </c>
      <c r="I94" s="17" t="s">
        <v>39</v>
      </c>
      <c r="J94" s="4" t="s">
        <v>40</v>
      </c>
      <c r="K94" s="4" t="s">
        <v>40</v>
      </c>
      <c r="L94" s="4"/>
      <c r="M94" s="4"/>
      <c r="N94" s="4"/>
      <c r="O94" s="4"/>
      <c r="P94" s="4" t="s">
        <v>442</v>
      </c>
      <c r="Q94" s="4"/>
      <c r="R94" s="4"/>
      <c r="S94" s="4" t="s">
        <v>40</v>
      </c>
      <c r="T94" s="4" t="s">
        <v>41</v>
      </c>
      <c r="U94" s="4" t="s">
        <v>443</v>
      </c>
      <c r="V94" s="4"/>
      <c r="W94" s="4"/>
      <c r="X94" s="4"/>
      <c r="Y94" s="4"/>
      <c r="Z94" t="str">
        <f>IFERROR(INDEX(הגדרות!$B$2:$B$17,MATCH(H94,הגדרות!$A$2:$A$17,0)),"")</f>
        <v>מדברי</v>
      </c>
      <c r="AA94">
        <f>IFERROR(INDEX(הגדרות!$C$2:$C$17,MATCH(H94,הגדרות!$A$2:$A$17,0)),"")</f>
        <v>0</v>
      </c>
      <c r="AB94" t="str">
        <f>IFERROR(INDEX(הגדרות!$B$2:$B$17,MATCH(I94,הגדרות!$A$2:$A$17,0)),"")</f>
        <v>מדברי</v>
      </c>
      <c r="AC94">
        <f>IFERROR(INDEX(הגדרות!$C$2:$C$17,MATCH(I94,הגדרות!$A$2:$A$17,0)),"")</f>
        <v>0</v>
      </c>
      <c r="AD94" t="e">
        <f>IF(AND(מלאי!D145&lt;&gt;"",OR(#REF!="הכל",מלאי!Z145=#REF!,מלאי!AA145=#REF!,מלאי!AB145=#REF!,מלאי!AC145=#REF!),OR(#REF!="הכל",מלאי!A145=#REF!),OR(#REF!="הכל",מלאי!B145=#REF!),OR(#REF!="הכל",מלאי!F145=#REF!,מלאי!G145=#REF!),OR(#REF!="הכל",מלאי!T144=#REF!),OR(#REF!="הכל",מלאי!Q145=#REF!),OR(#REF!="הכל",מלאי!J145=#REF!),OR(#REF!="הכל",מלאי!L145=#REF!),OR(#REF!="הכל",מלאי!O145=#REF!),OR(#REF!="הכל",מלאי!R145=#REF!),OR(#REF!="הכל",#REF!="",מלאי!W145=#REF!),OR(#REF!="הכל",#REF!="",ISNUMBER(SEARCH(#REF!,מלאי!C145)))),1,0)</f>
        <v>#REF!</v>
      </c>
      <c r="AE94" t="e">
        <f>IF(AND(מלאי!D145&lt;&gt;"",OR(#REF!="הכל",מלאי!Z145=#REF!,מלאי!AA145=#REF!,מלאי!AB145=#REF!,מלאי!AC145=#REF!),OR(#REF!="הכל",מלאי!A145=#REF!),OR(#REF!="הכל",מלאי!B145=#REF!),OR(#REF!="הכל",מלאי!F145=#REF!,מלאי!G145=#REF!),OR(#REF!="הכל",מלאי!T144=#REF!),OR(#REF!="הכל",מלאי!Q145=#REF!),OR(#REF!="הכל",מלאי!J145=#REF!),OR(#REF!="הכל",מלאי!L145=#REF!),OR(#REF!="הכל",מלאי!O145=#REF!),OR(#REF!="הכל",מלאי!R145=#REF!),OR(#REF!="הכל",#REF!="",מלאי!W145=#REF!),OR(#REF!="הכל",#REF!="",ISNUMBER(SEARCH(#REF!,מלאי!C145))),OR(#REF!="הכל",מלאי!#REF!=#REF!)),1,0)</f>
        <v>#REF!</v>
      </c>
      <c r="AF94" t="e">
        <f>IF(AD94=1,COUNTIF($AD$3:$AD94,1),"")</f>
        <v>#REF!</v>
      </c>
      <c r="AG94" t="e">
        <f>IF(AE94=1,COUNTIF($AE$3:$AE94,1),"")</f>
        <v>#REF!</v>
      </c>
    </row>
    <row r="95" spans="1:33" ht="15" hidden="1" customHeight="1" x14ac:dyDescent="0.35">
      <c r="A95" s="22" t="s">
        <v>139</v>
      </c>
      <c r="B95" s="21" t="s">
        <v>185</v>
      </c>
      <c r="C95" s="19" t="s">
        <v>36</v>
      </c>
      <c r="D95" s="31" t="s">
        <v>444</v>
      </c>
      <c r="E95" s="5" t="str">
        <f>IFERROR(INDEX(הגדרות!$I$2:$I$47,MATCH(#REF!,הגדרות!$H$2:$H$47,0)),"")</f>
        <v/>
      </c>
      <c r="F95" s="5" t="s">
        <v>80</v>
      </c>
      <c r="G95" s="5"/>
      <c r="H95" s="5" t="s">
        <v>68</v>
      </c>
      <c r="I95" s="5" t="s">
        <v>39</v>
      </c>
      <c r="J95" s="4" t="s">
        <v>40</v>
      </c>
      <c r="K95" s="4" t="s">
        <v>40</v>
      </c>
      <c r="L95" s="5"/>
      <c r="M95" s="5"/>
      <c r="N95" s="5"/>
      <c r="O95" s="5"/>
      <c r="P95" s="5"/>
      <c r="Q95" s="5"/>
      <c r="R95" s="5"/>
      <c r="S95" s="5"/>
      <c r="T95" s="4" t="s">
        <v>41</v>
      </c>
      <c r="U95" s="4" t="s">
        <v>445</v>
      </c>
      <c r="V95" s="5"/>
      <c r="W95" s="5"/>
      <c r="X95" s="5"/>
      <c r="Y95" s="5"/>
      <c r="Z95" t="str">
        <f>IFERROR(INDEX(הגדרות!$B$2:$B$17,MATCH(H95,הגדרות!$A$2:$A$17,0)),"")</f>
        <v>מדברי</v>
      </c>
      <c r="AA95">
        <f>IFERROR(INDEX(הגדרות!$C$2:$C$17,MATCH(H95,הגדרות!$A$2:$A$17,0)),"")</f>
        <v>0</v>
      </c>
      <c r="AB95" t="str">
        <f>IFERROR(INDEX(הגדרות!$B$2:$B$17,MATCH(I95,הגדרות!$A$2:$A$17,0)),"")</f>
        <v>מדברי</v>
      </c>
      <c r="AC95">
        <f>IFERROR(INDEX(הגדרות!$C$2:$C$17,MATCH(I95,הגדרות!$A$2:$A$17,0)),"")</f>
        <v>0</v>
      </c>
      <c r="AD95" t="e">
        <f>IF(AND(מלאי!D146&lt;&gt;"",OR(#REF!="הכל",מלאי!Z146=#REF!,מלאי!AA146=#REF!,מלאי!AB146=#REF!,מלאי!AC146=#REF!),OR(#REF!="הכל",מלאי!A146=#REF!),OR(#REF!="הכל",מלאי!#REF!=#REF!),OR(#REF!="הכל",מלאי!F146=#REF!,מלאי!G146=#REF!),OR(#REF!="הכל",מלאי!T146=#REF!),OR(#REF!="הכל",מלאי!Q146=#REF!),OR(#REF!="הכל",מלאי!J146=#REF!),OR(#REF!="הכל",מלאי!L146=#REF!),OR(#REF!="הכל",מלאי!O146=#REF!),OR(#REF!="הכל",מלאי!R146=#REF!),OR(#REF!="הכל",#REF!="",מלאי!W146=#REF!),OR(#REF!="הכל",#REF!="",ISNUMBER(SEARCH(#REF!,מלאי!C146)))),1,0)</f>
        <v>#REF!</v>
      </c>
      <c r="AE95" t="e">
        <f>IF(AND(מלאי!D146&lt;&gt;"",OR(#REF!="הכל",מלאי!Z146=#REF!,מלאי!AA146=#REF!,מלאי!AB146=#REF!,מלאי!AC146=#REF!),OR(#REF!="הכל",מלאי!A146=#REF!),OR(#REF!="הכל",מלאי!#REF!=#REF!),OR(#REF!="הכל",מלאי!F146=#REF!,מלאי!G146=#REF!),OR(#REF!="הכל",מלאי!T146=#REF!),OR(#REF!="הכל",מלאי!Q146=#REF!),OR(#REF!="הכל",מלאי!J146=#REF!),OR(#REF!="הכל",מלאי!L146=#REF!),OR(#REF!="הכל",מלאי!O146=#REF!),OR(#REF!="הכל",מלאי!R146=#REF!),OR(#REF!="הכל",#REF!="",מלאי!W146=#REF!),OR(#REF!="הכל",#REF!="",ISNUMBER(SEARCH(#REF!,מלאי!C146))),OR(#REF!="הכל",מלאי!#REF!=#REF!)),1,0)</f>
        <v>#REF!</v>
      </c>
      <c r="AF95" t="e">
        <f>IF(AD95=1,COUNTIF($AD$3:$AD95,1),"")</f>
        <v>#REF!</v>
      </c>
      <c r="AG95" t="e">
        <f>IF(AE95=1,COUNTIF($AE$3:$AE95,1),"")</f>
        <v>#REF!</v>
      </c>
    </row>
    <row r="96" spans="1:33" ht="15" customHeight="1" x14ac:dyDescent="0.35">
      <c r="A96" s="4" t="s">
        <v>144</v>
      </c>
      <c r="B96" s="4" t="s">
        <v>202</v>
      </c>
      <c r="C96" s="4" t="s">
        <v>310</v>
      </c>
      <c r="D96" s="30" t="s">
        <v>315</v>
      </c>
      <c r="E96" s="4">
        <f>IFERROR(INDEX(הגדרות!$I$2:$I$47,MATCH(B96,הגדרות!$H$2:$H$47,0)),"")</f>
        <v>0</v>
      </c>
      <c r="F96" s="4" t="s">
        <v>311</v>
      </c>
      <c r="G96" s="4"/>
      <c r="H96" s="4" t="s">
        <v>64</v>
      </c>
      <c r="I96" s="4"/>
      <c r="J96" s="4" t="s">
        <v>40</v>
      </c>
      <c r="K96" s="4"/>
      <c r="L96" s="4"/>
      <c r="M96" s="4"/>
      <c r="N96" s="4"/>
      <c r="O96" s="4"/>
      <c r="P96" s="4" t="s">
        <v>317</v>
      </c>
      <c r="Q96" s="4"/>
      <c r="R96" s="4" t="s">
        <v>147</v>
      </c>
      <c r="S96" s="4"/>
      <c r="T96" s="4" t="s">
        <v>41</v>
      </c>
      <c r="U96" s="4"/>
      <c r="V96" s="4"/>
      <c r="W96" s="4"/>
      <c r="X96" s="4"/>
      <c r="Y96" s="4"/>
      <c r="Z96" t="str">
        <f>IFERROR(INDEX(הגדרות!$B$2:$B$17,MATCH(H96,הגדרות!$A$2:$A$17,0)),"")</f>
        <v>ימי</v>
      </c>
      <c r="AA96">
        <f>IFERROR(INDEX(הגדרות!$C$2:$C$17,MATCH(H96,הגדרות!$A$2:$A$17,0)),"")</f>
        <v>0</v>
      </c>
      <c r="AB96" t="str">
        <f>IFERROR(INDEX(הגדרות!$B$2:$B$17,MATCH(I96,הגדרות!$A$2:$A$17,0)),"")</f>
        <v/>
      </c>
      <c r="AC96" t="str">
        <f>IFERROR(INDEX(הגדרות!$C$2:$C$17,MATCH(I96,הגדרות!$A$2:$A$17,0)),"")</f>
        <v/>
      </c>
      <c r="AD96" t="e">
        <f>IF(AND(מלאי!D103&lt;&gt;"",OR(#REF!="הכל",מלאי!Z103=#REF!,מלאי!AA103=#REF!,מלאי!AB103=#REF!,מלאי!AC103=#REF!),OR(#REF!="הכל",מלאי!A103=#REF!),OR(#REF!="הכל",מלאי!B103=#REF!),OR(#REF!="הכל",מלאי!F103=#REF!,מלאי!G103=#REF!),OR(#REF!="הכל",מלאי!T103=#REF!),OR(#REF!="הכל",מלאי!Q103=#REF!),OR(#REF!="הכל",מלאי!J103=#REF!),OR(#REF!="הכל",מלאי!L103=#REF!),OR(#REF!="הכל",מלאי!O103=#REF!),OR(#REF!="הכל",מלאי!R103=#REF!),OR(#REF!="הכל",#REF!="",מלאי!W103=#REF!),OR(#REF!="הכל",#REF!="",ISNUMBER(SEARCH(#REF!,מלאי!C103)))),1,0)</f>
        <v>#REF!</v>
      </c>
      <c r="AE96" t="e">
        <f>IF(AND(מלאי!D103&lt;&gt;"",OR(#REF!="הכל",מלאי!Z103=#REF!,מלאי!AA103=#REF!,מלאי!AB103=#REF!,מלאי!AC103=#REF!),OR(#REF!="הכל",מלאי!A103=#REF!),OR(#REF!="הכל",מלאי!B103=#REF!),OR(#REF!="הכל",מלאי!F103=#REF!,מלאי!G103=#REF!),OR(#REF!="הכל",מלאי!T103=#REF!),OR(#REF!="הכל",מלאי!Q103=#REF!),OR(#REF!="הכל",מלאי!J103=#REF!),OR(#REF!="הכל",מלאי!L103=#REF!),OR(#REF!="הכל",מלאי!O103=#REF!),OR(#REF!="הכל",מלאי!R103=#REF!),OR(#REF!="הכל",#REF!="",מלאי!W103=#REF!),OR(#REF!="הכל",#REF!="",ISNUMBER(SEARCH(#REF!,מלאי!C103))),OR(#REF!="הכל",מלאי!#REF!=#REF!)),1,0)</f>
        <v>#REF!</v>
      </c>
      <c r="AF96" t="e">
        <f>IF(AD96=1,COUNTIF($AD$3:$AD96,1),"")</f>
        <v>#REF!</v>
      </c>
      <c r="AG96" t="e">
        <f>IF(AE96=1,COUNTIF($AE$3:$AE96,1),"")</f>
        <v>#REF!</v>
      </c>
    </row>
    <row r="97" spans="1:33" ht="15" customHeight="1" x14ac:dyDescent="0.35">
      <c r="A97" s="5" t="s">
        <v>144</v>
      </c>
      <c r="B97" s="31" t="s">
        <v>202</v>
      </c>
      <c r="C97" s="5"/>
      <c r="D97" s="31" t="s">
        <v>406</v>
      </c>
      <c r="E97" s="5">
        <f>IFERROR(INDEX(הגדרות!$I$2:$I$47,MATCH(B97,הגדרות!$H$2:$H$47,0)),"")</f>
        <v>0</v>
      </c>
      <c r="F97" s="5" t="s">
        <v>311</v>
      </c>
      <c r="G97" s="5"/>
      <c r="H97" s="5" t="s">
        <v>72</v>
      </c>
      <c r="I97" s="5"/>
      <c r="J97" s="5" t="s">
        <v>2</v>
      </c>
      <c r="K97" s="5"/>
      <c r="L97" s="5"/>
      <c r="M97" s="5"/>
      <c r="N97" s="5"/>
      <c r="O97" s="5"/>
      <c r="P97" s="5"/>
      <c r="Q97" s="5"/>
      <c r="R97" s="5" t="s">
        <v>151</v>
      </c>
      <c r="S97" s="5"/>
      <c r="T97" s="5" t="s">
        <v>41</v>
      </c>
      <c r="U97" s="5" t="s">
        <v>404</v>
      </c>
      <c r="V97" s="5"/>
      <c r="W97" s="5"/>
      <c r="X97" s="5"/>
      <c r="Y97" s="5"/>
      <c r="Z97" t="str">
        <f>IFERROR(INDEX(הגדרות!$B$2:$B$17,MATCH(H97,הגדרות!$A$2:$A$17,0)),"")</f>
        <v>מיוער</v>
      </c>
      <c r="AA97">
        <f>IFERROR(INDEX(הגדרות!$C$2:$C$17,MATCH(H97,הגדרות!$A$2:$A$17,0)),"")</f>
        <v>0</v>
      </c>
      <c r="AB97" t="str">
        <f>IFERROR(INDEX(הגדרות!$B$2:$B$17,MATCH(I97,הגדרות!$A$2:$A$17,0)),"")</f>
        <v/>
      </c>
      <c r="AC97" t="str">
        <f>IFERROR(INDEX(הגדרות!$C$2:$C$17,MATCH(I97,הגדרות!$A$2:$A$17,0)),"")</f>
        <v/>
      </c>
      <c r="AD97" t="e">
        <f>IF(AND(מלאי!D159&lt;&gt;"",OR(#REF!="הכל",מלאי!Z159=#REF!,מלאי!AA159=#REF!,מלאי!AB159=#REF!,מלאי!AC159=#REF!),OR(#REF!="הכל",מלאי!A159=#REF!),OR(#REF!="הכל",מלאי!B159=#REF!),OR(#REF!="הכל",מלאי!F159=#REF!,מלאי!G159=#REF!),OR(#REF!="הכל",מלאי!T159=#REF!),OR(#REF!="הכל",מלאי!Q159=#REF!),OR(#REF!="הכל",מלאי!J159=#REF!),OR(#REF!="הכל",מלאי!L159=#REF!),OR(#REF!="הכל",מלאי!O159=#REF!),OR(#REF!="הכל",מלאי!R159=#REF!),OR(#REF!="הכל",#REF!="",מלאי!W159=#REF!),OR(#REF!="הכל",#REF!="",ISNUMBER(SEARCH(#REF!,מלאי!C159)))),1,0)</f>
        <v>#REF!</v>
      </c>
      <c r="AE97" t="e">
        <f>IF(AND(מלאי!D159&lt;&gt;"",OR(#REF!="הכל",מלאי!Z159=#REF!,מלאי!AA159=#REF!,מלאי!AB159=#REF!,מלאי!AC159=#REF!),OR(#REF!="הכל",מלאי!A159=#REF!),OR(#REF!="הכל",מלאי!B159=#REF!),OR(#REF!="הכל",מלאי!F159=#REF!,מלאי!G159=#REF!),OR(#REF!="הכל",מלאי!T159=#REF!),OR(#REF!="הכל",מלאי!Q159=#REF!),OR(#REF!="הכל",מלאי!J159=#REF!),OR(#REF!="הכל",מלאי!L159=#REF!),OR(#REF!="הכל",מלאי!O159=#REF!),OR(#REF!="הכל",מלאי!R159=#REF!),OR(#REF!="הכל",#REF!="",מלאי!W159=#REF!),OR(#REF!="הכל",#REF!="",ISNUMBER(SEARCH(#REF!,מלאי!C159))),OR(#REF!="הכל",מלאי!#REF!=#REF!)),1,0)</f>
        <v>#REF!</v>
      </c>
      <c r="AF97" t="e">
        <f>IF(AD97=1,COUNTIF($AD$3:$AD97,1),"")</f>
        <v>#REF!</v>
      </c>
      <c r="AG97" t="e">
        <f>IF(AE97=1,COUNTIF($AE$3:$AE97,1),"")</f>
        <v>#REF!</v>
      </c>
    </row>
    <row r="98" spans="1:33" ht="15" customHeight="1" x14ac:dyDescent="0.35">
      <c r="A98" s="5" t="s">
        <v>144</v>
      </c>
      <c r="B98" s="5" t="s">
        <v>202</v>
      </c>
      <c r="C98" s="12" t="s">
        <v>323</v>
      </c>
      <c r="D98" s="31" t="s">
        <v>405</v>
      </c>
      <c r="E98" s="5">
        <f>IFERROR(INDEX(הגדרות!$I$2:$I$47,MATCH(B98,הגדרות!$H$2:$H$47,0)),"")</f>
        <v>0</v>
      </c>
      <c r="F98" s="5" t="s">
        <v>311</v>
      </c>
      <c r="G98" s="5"/>
      <c r="H98" s="5" t="s">
        <v>72</v>
      </c>
      <c r="I98" s="5"/>
      <c r="J98" s="5" t="s">
        <v>2</v>
      </c>
      <c r="K98" s="5"/>
      <c r="L98" s="5"/>
      <c r="M98" s="5"/>
      <c r="N98" s="5"/>
      <c r="O98" s="5"/>
      <c r="P98" s="5"/>
      <c r="Q98" s="5"/>
      <c r="R98" s="5" t="s">
        <v>151</v>
      </c>
      <c r="S98" s="5"/>
      <c r="T98" s="5" t="s">
        <v>41</v>
      </c>
      <c r="U98" s="5" t="s">
        <v>404</v>
      </c>
      <c r="V98" s="5"/>
      <c r="W98" s="5"/>
      <c r="X98" s="5"/>
      <c r="Y98" s="5"/>
      <c r="Z98" t="str">
        <f>IFERROR(INDEX(הגדרות!$B$2:$B$17,MATCH(H98,הגדרות!$A$2:$A$17,0)),"")</f>
        <v>מיוער</v>
      </c>
      <c r="AA98">
        <f>IFERROR(INDEX(הגדרות!$C$2:$C$17,MATCH(H98,הגדרות!$A$2:$A$17,0)),"")</f>
        <v>0</v>
      </c>
      <c r="AB98" t="str">
        <f>IFERROR(INDEX(הגדרות!$B$2:$B$17,MATCH(I98,הגדרות!$A$2:$A$17,0)),"")</f>
        <v/>
      </c>
      <c r="AC98" t="str">
        <f>IFERROR(INDEX(הגדרות!$C$2:$C$17,MATCH(I98,הגדרות!$A$2:$A$17,0)),"")</f>
        <v/>
      </c>
      <c r="AD98" t="e">
        <f>IF(AND(מלאי!D160&lt;&gt;"",OR(#REF!="הכל",מלאי!Z160=#REF!,מלאי!AA160=#REF!,מלאי!AB160=#REF!,מלאי!AC160=#REF!),OR(#REF!="הכל",מלאי!A160=#REF!),OR(#REF!="הכל",מלאי!B160=#REF!),OR(#REF!="הכל",מלאי!F160=#REF!,מלאי!G160=#REF!),OR(#REF!="הכל",מלאי!T160=#REF!),OR(#REF!="הכל",מלאי!Q160=#REF!),OR(#REF!="הכל",מלאי!J160=#REF!),OR(#REF!="הכל",מלאי!L160=#REF!),OR(#REF!="הכל",מלאי!O160=#REF!),OR(#REF!="הכל",מלאי!R160=#REF!),OR(#REF!="הכל",#REF!="",מלאי!W160=#REF!),OR(#REF!="הכל",#REF!="",ISNUMBER(SEARCH(#REF!,מלאי!C160)))),1,0)</f>
        <v>#REF!</v>
      </c>
      <c r="AE98" t="e">
        <f>IF(AND(מלאי!D160&lt;&gt;"",OR(#REF!="הכל",מלאי!Z160=#REF!,מלאי!AA160=#REF!,מלאי!AB160=#REF!,מלאי!AC160=#REF!),OR(#REF!="הכל",מלאי!A160=#REF!),OR(#REF!="הכל",מלאי!B160=#REF!),OR(#REF!="הכל",מלאי!F160=#REF!,מלאי!G160=#REF!),OR(#REF!="הכל",מלאי!T160=#REF!),OR(#REF!="הכל",מלאי!Q160=#REF!),OR(#REF!="הכל",מלאי!J160=#REF!),OR(#REF!="הכל",מלאי!L160=#REF!),OR(#REF!="הכל",מלאי!O160=#REF!),OR(#REF!="הכל",מלאי!R160=#REF!),OR(#REF!="הכל",#REF!="",מלאי!W160=#REF!),OR(#REF!="הכל",#REF!="",ISNUMBER(SEARCH(#REF!,מלאי!C160))),OR(#REF!="הכל",מלאי!#REF!=#REF!)),1,0)</f>
        <v>#REF!</v>
      </c>
      <c r="AF98" t="e">
        <f>IF(AD98=1,COUNTIF($AD$3:$AD98,1),"")</f>
        <v>#REF!</v>
      </c>
      <c r="AG98" t="e">
        <f>IF(AE98=1,COUNTIF($AE$3:$AE98,1),"")</f>
        <v>#REF!</v>
      </c>
    </row>
    <row r="99" spans="1:33" ht="15" customHeight="1" x14ac:dyDescent="0.35">
      <c r="A99" s="5" t="s">
        <v>144</v>
      </c>
      <c r="B99" s="5" t="s">
        <v>202</v>
      </c>
      <c r="C99" s="12" t="s">
        <v>323</v>
      </c>
      <c r="D99" s="31" t="s">
        <v>407</v>
      </c>
      <c r="E99" s="5">
        <f>IFERROR(INDEX(הגדרות!$I$2:$I$47,MATCH(B99,הגדרות!$H$2:$H$47,0)),"")</f>
        <v>0</v>
      </c>
      <c r="F99" s="5" t="s">
        <v>311</v>
      </c>
      <c r="G99" s="5"/>
      <c r="H99" s="5" t="s">
        <v>72</v>
      </c>
      <c r="I99" s="5"/>
      <c r="J99" s="5" t="s">
        <v>2</v>
      </c>
      <c r="K99" s="5"/>
      <c r="L99" s="5"/>
      <c r="M99" s="5"/>
      <c r="N99" s="5"/>
      <c r="O99" s="5"/>
      <c r="P99" s="5"/>
      <c r="Q99" s="5"/>
      <c r="R99" s="5" t="s">
        <v>151</v>
      </c>
      <c r="S99" s="5"/>
      <c r="T99" s="5" t="s">
        <v>41</v>
      </c>
      <c r="U99" s="5" t="s">
        <v>404</v>
      </c>
      <c r="V99" s="5"/>
      <c r="W99" s="5"/>
      <c r="X99" s="5"/>
      <c r="Y99" s="5"/>
      <c r="Z99" t="str">
        <f>IFERROR(INDEX(הגדרות!$B$2:$B$17,MATCH(H99,הגדרות!$A$2:$A$17,0)),"")</f>
        <v>מיוער</v>
      </c>
      <c r="AA99">
        <f>IFERROR(INDEX(הגדרות!$C$2:$C$17,MATCH(H99,הגדרות!$A$2:$A$17,0)),"")</f>
        <v>0</v>
      </c>
      <c r="AB99" t="str">
        <f>IFERROR(INDEX(הגדרות!$B$2:$B$17,MATCH(I99,הגדרות!$A$2:$A$17,0)),"")</f>
        <v/>
      </c>
      <c r="AC99" t="str">
        <f>IFERROR(INDEX(הגדרות!$C$2:$C$17,MATCH(I99,הגדרות!$A$2:$A$17,0)),"")</f>
        <v/>
      </c>
      <c r="AD99" t="e">
        <f>IF(AND(מלאי!D161&lt;&gt;"",OR(#REF!="הכל",מלאי!Z161=#REF!,מלאי!AA161=#REF!,מלאי!AB161=#REF!,מלאי!AC161=#REF!),OR(#REF!="הכל",מלאי!A161=#REF!),OR(#REF!="הכל",מלאי!B161=#REF!),OR(#REF!="הכל",מלאי!F161=#REF!,מלאי!G161=#REF!),OR(#REF!="הכל",מלאי!T161=#REF!),OR(#REF!="הכל",מלאי!Q161=#REF!),OR(#REF!="הכל",מלאי!J161=#REF!),OR(#REF!="הכל",מלאי!L161=#REF!),OR(#REF!="הכל",מלאי!O161=#REF!),OR(#REF!="הכל",מלאי!R161=#REF!),OR(#REF!="הכל",#REF!="",מלאי!W161=#REF!),OR(#REF!="הכל",#REF!="",ISNUMBER(SEARCH(#REF!,מלאי!C161)))),1,0)</f>
        <v>#REF!</v>
      </c>
      <c r="AE99" t="e">
        <f>IF(AND(מלאי!D161&lt;&gt;"",OR(#REF!="הכל",מלאי!Z161=#REF!,מלאי!AA161=#REF!,מלאי!AB161=#REF!,מלאי!AC161=#REF!),OR(#REF!="הכל",מלאי!A161=#REF!),OR(#REF!="הכל",מלאי!B161=#REF!),OR(#REF!="הכל",מלאי!F161=#REF!,מלאי!G161=#REF!),OR(#REF!="הכל",מלאי!T161=#REF!),OR(#REF!="הכל",מלאי!Q161=#REF!),OR(#REF!="הכל",מלאי!J161=#REF!),OR(#REF!="הכל",מלאי!L161=#REF!),OR(#REF!="הכל",מלאי!O161=#REF!),OR(#REF!="הכל",מלאי!R161=#REF!),OR(#REF!="הכל",#REF!="",מלאי!W161=#REF!),OR(#REF!="הכל",#REF!="",ISNUMBER(SEARCH(#REF!,מלאי!C161))),OR(#REF!="הכל",מלאי!#REF!=#REF!)),1,0)</f>
        <v>#REF!</v>
      </c>
      <c r="AF99" t="e">
        <f>IF(AD99=1,COUNTIF($AD$3:$AD99,1),"")</f>
        <v>#REF!</v>
      </c>
      <c r="AG99" t="e">
        <f>IF(AE99=1,COUNTIF($AE$3:$AE99,1),"")</f>
        <v>#REF!</v>
      </c>
    </row>
    <row r="100" spans="1:33" ht="15" customHeight="1" x14ac:dyDescent="0.35">
      <c r="A100" s="5" t="s">
        <v>144</v>
      </c>
      <c r="B100" s="31" t="s">
        <v>202</v>
      </c>
      <c r="C100" s="4" t="s">
        <v>323</v>
      </c>
      <c r="D100" s="31" t="s">
        <v>475</v>
      </c>
      <c r="E100" s="5">
        <f>IFERROR(INDEX(הגדרות!$I$2:$I$47,MATCH(B100,הגדרות!$H$2:$H$47,0)),"")</f>
        <v>0</v>
      </c>
      <c r="F100" s="4" t="s">
        <v>311</v>
      </c>
      <c r="G100" s="5"/>
      <c r="H100" s="5" t="s">
        <v>165</v>
      </c>
      <c r="I100" s="5"/>
      <c r="J100" s="5" t="s">
        <v>40</v>
      </c>
      <c r="K100" s="5"/>
      <c r="L100" s="5"/>
      <c r="M100" s="5"/>
      <c r="N100" s="5"/>
      <c r="O100" s="5"/>
      <c r="P100" s="5" t="s">
        <v>476</v>
      </c>
      <c r="Q100" s="5"/>
      <c r="R100" s="5"/>
      <c r="S100" s="5"/>
      <c r="T100" s="5" t="s">
        <v>41</v>
      </c>
      <c r="U100" s="5"/>
      <c r="V100" s="5"/>
      <c r="W100" s="5"/>
      <c r="X100" s="5"/>
      <c r="Y100" s="5"/>
      <c r="Z100" t="str">
        <f>IFERROR(INDEX(הגדרות!$B$2:$B$17,MATCH(H100,הגדרות!$A$2:$A$17,0)),"")</f>
        <v>שלג</v>
      </c>
      <c r="AA100">
        <f>IFERROR(INDEX(הגדרות!$C$2:$C$17,MATCH(H100,הגדרות!$A$2:$A$17,0)),"")</f>
        <v>0</v>
      </c>
      <c r="AB100" t="str">
        <f>IFERROR(INDEX(הגדרות!$B$2:$B$17,MATCH(I100,הגדרות!$A$2:$A$17,0)),"")</f>
        <v/>
      </c>
      <c r="AC100" t="str">
        <f>IFERROR(INDEX(הגדרות!$C$2:$C$17,MATCH(I100,הגדרות!$A$2:$A$17,0)),"")</f>
        <v/>
      </c>
      <c r="AD100" t="e">
        <f>IF(AND(מלאי!D188&lt;&gt;"",OR(#REF!="הכל",מלאי!Z188=#REF!,מלאי!AA188=#REF!,מלאי!AB188=#REF!,מלאי!AC188=#REF!),OR(#REF!="הכל",מלאי!A188=#REF!),OR(#REF!="הכל",מלאי!B188=#REF!),OR(#REF!="הכל",מלאי!F188=#REF!,מלאי!G188=#REF!),OR(#REF!="הכל",מלאי!T188=#REF!),OR(#REF!="הכל",מלאי!Q188=#REF!),OR(#REF!="הכל",מלאי!J188=#REF!),OR(#REF!="הכל",מלאי!L188=#REF!),OR(#REF!="הכל",מלאי!O188=#REF!),OR(#REF!="הכל",מלאי!R188=#REF!),OR(#REF!="הכל",#REF!="",מלאי!W188=#REF!),OR(#REF!="הכל",#REF!="",ISNUMBER(SEARCH(#REF!,מלאי!C188)))),1,0)</f>
        <v>#REF!</v>
      </c>
      <c r="AE100" t="e">
        <f>IF(AND(מלאי!D188&lt;&gt;"",OR(#REF!="הכל",מלאי!Z188=#REF!,מלאי!AA188=#REF!,מלאי!AB188=#REF!,מלאי!AC188=#REF!),OR(#REF!="הכל",מלאי!A188=#REF!),OR(#REF!="הכל",מלאי!B188=#REF!),OR(#REF!="הכל",מלאי!F188=#REF!,מלאי!G188=#REF!),OR(#REF!="הכל",מלאי!T188=#REF!),OR(#REF!="הכל",מלאי!Q188=#REF!),OR(#REF!="הכל",מלאי!J188=#REF!),OR(#REF!="הכל",מלאי!L188=#REF!),OR(#REF!="הכל",מלאי!O188=#REF!),OR(#REF!="הכל",מלאי!R188=#REF!),OR(#REF!="הכל",#REF!="",מלאי!W188=#REF!),OR(#REF!="הכל",#REF!="",ISNUMBER(SEARCH(#REF!,מלאי!C188))),OR(#REF!="הכל",מלאי!#REF!=#REF!)),1,0)</f>
        <v>#REF!</v>
      </c>
      <c r="AF100" t="e">
        <f>IF(AD100=1,COUNTIF($AD$3:$AD100,1),"")</f>
        <v>#REF!</v>
      </c>
      <c r="AG100" t="e">
        <f>IF(AE100=1,COUNTIF($AE$3:$AE100,1),"")</f>
        <v>#REF!</v>
      </c>
    </row>
    <row r="101" spans="1:33" ht="15" hidden="1" customHeight="1" x14ac:dyDescent="0.35">
      <c r="A101" s="5" t="s">
        <v>34</v>
      </c>
      <c r="B101" s="31" t="s">
        <v>44</v>
      </c>
      <c r="C101" s="5" t="s">
        <v>36</v>
      </c>
      <c r="D101" s="31" t="s">
        <v>344</v>
      </c>
      <c r="E101" s="5" t="str">
        <f>IFERROR(INDEX(הגדרות!$I$2:$I$47,MATCH(B101,הגדרות!$H$2:$H$47,0)),"")</f>
        <v>7030-01</v>
      </c>
      <c r="F101" s="5" t="s">
        <v>45</v>
      </c>
      <c r="G101" s="5"/>
      <c r="H101" s="5" t="s">
        <v>46</v>
      </c>
      <c r="I101" s="5" t="s">
        <v>39</v>
      </c>
      <c r="J101" s="5" t="s">
        <v>40</v>
      </c>
      <c r="K101" s="5" t="s">
        <v>40</v>
      </c>
      <c r="L101" s="5" t="s">
        <v>40</v>
      </c>
      <c r="M101" s="5" t="s">
        <v>40</v>
      </c>
      <c r="N101" s="5" t="s">
        <v>2</v>
      </c>
      <c r="O101" s="5" t="s">
        <v>2</v>
      </c>
      <c r="P101" s="5" t="s">
        <v>47</v>
      </c>
      <c r="Q101" s="5" t="s">
        <v>2</v>
      </c>
      <c r="R101" s="5"/>
      <c r="S101" s="5" t="s">
        <v>2</v>
      </c>
      <c r="T101" s="5" t="s">
        <v>41</v>
      </c>
      <c r="U101" s="5" t="s">
        <v>48</v>
      </c>
      <c r="V101" s="5"/>
      <c r="W101" s="5"/>
      <c r="X101" s="5"/>
      <c r="Y101" s="5"/>
      <c r="Z101" t="str">
        <f>IFERROR(INDEX(הגדרות!$B$2:$B$17,MATCH(H101,הגדרות!$A$2:$A$17,0)),"")</f>
        <v>מיוער</v>
      </c>
      <c r="AA101">
        <f>IFERROR(INDEX(הגדרות!$C$2:$C$17,MATCH(H101,הגדרות!$A$2:$A$17,0)),"")</f>
        <v>0</v>
      </c>
      <c r="AB101" t="str">
        <f>IFERROR(INDEX(הגדרות!$B$2:$B$17,MATCH(I101,הגדרות!$A$2:$A$17,0)),"")</f>
        <v>מדברי</v>
      </c>
      <c r="AC101">
        <f>IFERROR(INDEX(הגדרות!$C$2:$C$17,MATCH(I101,הגדרות!$A$2:$A$17,0)),"")</f>
        <v>0</v>
      </c>
      <c r="AD101" t="e">
        <f>IF(AND(מלאי!D10&lt;&gt;"",OR(#REF!="הכל",מלאי!Z10=#REF!,מלאי!AA10=#REF!,מלאי!AB10=#REF!,מלאי!AC10=#REF!),OR(#REF!="הכל",מלאי!A10=#REF!),OR(#REF!="הכל",מלאי!B10=#REF!),OR(#REF!="הכל",מלאי!F10=#REF!,מלאי!G10=#REF!),OR(#REF!="הכל",מלאי!T10=#REF!),OR(#REF!="הכל",מלאי!Q10=#REF!),OR(#REF!="הכל",מלאי!J10=#REF!),OR(#REF!="הכל",מלאי!L10=#REF!),OR(#REF!="הכל",מלאי!O10=#REF!),OR(#REF!="הכל",מלאי!R10=#REF!),OR(#REF!="הכל",#REF!="",מלאי!W10=#REF!),OR(#REF!="הכל",#REF!="",ISNUMBER(SEARCH(#REF!,מלאי!C10)))),1,0)</f>
        <v>#REF!</v>
      </c>
      <c r="AE101" t="e">
        <f>IF(AND(מלאי!D10&lt;&gt;"",OR(#REF!="הכל",מלאי!Z10=#REF!,מלאי!AA10=#REF!,מלאי!AB10=#REF!,מלאי!AC10=#REF!),OR(#REF!="הכל",מלאי!A10=#REF!),OR(#REF!="הכל",מלאי!B10=#REF!),OR(#REF!="הכל",מלאי!F10=#REF!,מלאי!G10=#REF!),OR(#REF!="הכל",מלאי!T10=#REF!),OR(#REF!="הכל",מלאי!Q10=#REF!),OR(#REF!="הכל",מלאי!J10=#REF!),OR(#REF!="הכל",מלאי!L10=#REF!),OR(#REF!="הכל",מלאי!O10=#REF!),OR(#REF!="הכל",מלאי!R10=#REF!),OR(#REF!="הכל",#REF!="",מלאי!W10=#REF!),OR(#REF!="הכל",#REF!="",ISNUMBER(SEARCH(#REF!,מלאי!C10))),OR(#REF!="הכל",מלאי!#REF!=#REF!)),1,0)</f>
        <v>#REF!</v>
      </c>
      <c r="AF101" t="e">
        <f>IF(AD101=1,COUNTIF($AD$3:$AD101,1),"")</f>
        <v>#REF!</v>
      </c>
      <c r="AG101" t="e">
        <f>IF(AE101=1,COUNTIF($AE$3:$AE101,1),"")</f>
        <v>#REF!</v>
      </c>
    </row>
    <row r="102" spans="1:33" ht="15" hidden="1" customHeight="1" x14ac:dyDescent="0.35">
      <c r="A102" s="4" t="s">
        <v>34</v>
      </c>
      <c r="B102" s="4" t="s">
        <v>44</v>
      </c>
      <c r="C102" s="4" t="s">
        <v>36</v>
      </c>
      <c r="D102" s="30" t="s">
        <v>345</v>
      </c>
      <c r="E102" s="4" t="str">
        <f>IFERROR(INDEX(הגדרות!$I$2:$I$47,MATCH(B102,הגדרות!$H$2:$H$47,0)),"")</f>
        <v>7030-01</v>
      </c>
      <c r="F102" s="4" t="s">
        <v>45</v>
      </c>
      <c r="G102" s="4"/>
      <c r="H102" s="4" t="s">
        <v>46</v>
      </c>
      <c r="I102" s="4" t="s">
        <v>39</v>
      </c>
      <c r="J102" s="4" t="s">
        <v>40</v>
      </c>
      <c r="K102" s="4" t="s">
        <v>40</v>
      </c>
      <c r="L102" s="4" t="s">
        <v>40</v>
      </c>
      <c r="M102" s="4" t="s">
        <v>40</v>
      </c>
      <c r="N102" s="4" t="s">
        <v>2</v>
      </c>
      <c r="O102" s="4" t="s">
        <v>2</v>
      </c>
      <c r="P102" s="4" t="s">
        <v>47</v>
      </c>
      <c r="Q102" s="4" t="s">
        <v>2</v>
      </c>
      <c r="R102" s="4"/>
      <c r="S102" s="4" t="s">
        <v>2</v>
      </c>
      <c r="T102" s="4" t="s">
        <v>41</v>
      </c>
      <c r="U102" s="4" t="s">
        <v>48</v>
      </c>
      <c r="V102" s="4"/>
      <c r="W102" s="4"/>
      <c r="X102" s="4"/>
      <c r="Y102" s="4"/>
      <c r="Z102" t="str">
        <f>IFERROR(INDEX(הגדרות!$B$2:$B$17,MATCH(H102,הגדרות!$A$2:$A$17,0)),"")</f>
        <v>מיוער</v>
      </c>
      <c r="AA102">
        <f>IFERROR(INDEX(הגדרות!$C$2:$C$17,MATCH(H102,הגדרות!$A$2:$A$17,0)),"")</f>
        <v>0</v>
      </c>
      <c r="AB102" t="str">
        <f>IFERROR(INDEX(הגדרות!$B$2:$B$17,MATCH(I102,הגדרות!$A$2:$A$17,0)),"")</f>
        <v>מדברי</v>
      </c>
      <c r="AC102">
        <f>IFERROR(INDEX(הגדרות!$C$2:$C$17,MATCH(I102,הגדרות!$A$2:$A$17,0)),"")</f>
        <v>0</v>
      </c>
      <c r="AD102" t="e">
        <f>IF(AND(מלאי!D11&lt;&gt;"",OR(#REF!="הכל",מלאי!Z11=#REF!,מלאי!AA11=#REF!,מלאי!AB11=#REF!,מלאי!AC11=#REF!),OR(#REF!="הכל",מלאי!A11=#REF!),OR(#REF!="הכל",מלאי!B11=#REF!),OR(#REF!="הכל",מלאי!F11=#REF!,מלאי!G11=#REF!),OR(#REF!="הכל",מלאי!T11=#REF!),OR(#REF!="הכל",מלאי!Q11=#REF!),OR(#REF!="הכל",מלאי!J11=#REF!),OR(#REF!="הכל",מלאי!L11=#REF!),OR(#REF!="הכל",מלאי!O11=#REF!),OR(#REF!="הכל",מלאי!R11=#REF!),OR(#REF!="הכל",#REF!="",מלאי!W11=#REF!),OR(#REF!="הכל",#REF!="",ISNUMBER(SEARCH(#REF!,מלאי!C11)))),1,0)</f>
        <v>#REF!</v>
      </c>
      <c r="AE102" t="e">
        <f>IF(AND(מלאי!D11&lt;&gt;"",OR(#REF!="הכל",מלאי!Z11=#REF!,מלאי!AA11=#REF!,מלאי!AB11=#REF!,מלאי!AC11=#REF!),OR(#REF!="הכל",מלאי!A11=#REF!),OR(#REF!="הכל",מלאי!B11=#REF!),OR(#REF!="הכל",מלאי!F11=#REF!,מלאי!G11=#REF!),OR(#REF!="הכל",מלאי!T11=#REF!),OR(#REF!="הכל",מלאי!Q11=#REF!),OR(#REF!="הכל",מלאי!J11=#REF!),OR(#REF!="הכל",מלאי!L11=#REF!),OR(#REF!="הכל",מלאי!O11=#REF!),OR(#REF!="הכל",מלאי!R11=#REF!),OR(#REF!="הכל",#REF!="",מלאי!W11=#REF!),OR(#REF!="הכל",#REF!="",ISNUMBER(SEARCH(#REF!,מלאי!C11))),OR(#REF!="הכל",מלאי!#REF!=#REF!)),1,0)</f>
        <v>#REF!</v>
      </c>
      <c r="AF102" t="e">
        <f>IF(AD102=1,COUNTIF($AD$3:$AD102,1),"")</f>
        <v>#REF!</v>
      </c>
      <c r="AG102" t="e">
        <f>IF(AE102=1,COUNTIF($AE$3:$AE102,1),"")</f>
        <v>#REF!</v>
      </c>
    </row>
    <row r="103" spans="1:33" ht="15" hidden="1" customHeight="1" x14ac:dyDescent="0.35">
      <c r="A103" s="5" t="s">
        <v>34</v>
      </c>
      <c r="B103" s="5" t="s">
        <v>44</v>
      </c>
      <c r="C103" s="5" t="s">
        <v>36</v>
      </c>
      <c r="D103" s="5" t="s">
        <v>346</v>
      </c>
      <c r="E103" s="5" t="str">
        <f>IFERROR(INDEX(הגדרות!$I$2:$I$47,MATCH(B103,הגדרות!$H$2:$H$47,0)),"")</f>
        <v>7030-01</v>
      </c>
      <c r="F103" s="5" t="s">
        <v>45</v>
      </c>
      <c r="G103" s="5"/>
      <c r="H103" s="5" t="s">
        <v>46</v>
      </c>
      <c r="I103" s="5" t="s">
        <v>49</v>
      </c>
      <c r="J103" s="5" t="s">
        <v>40</v>
      </c>
      <c r="K103" s="5" t="s">
        <v>40</v>
      </c>
      <c r="L103" s="5" t="s">
        <v>40</v>
      </c>
      <c r="M103" s="5" t="s">
        <v>40</v>
      </c>
      <c r="N103" s="5"/>
      <c r="O103" s="5" t="s">
        <v>2</v>
      </c>
      <c r="P103" s="5"/>
      <c r="Q103" s="5" t="s">
        <v>2</v>
      </c>
      <c r="R103" s="5"/>
      <c r="S103" s="5" t="s">
        <v>2</v>
      </c>
      <c r="T103" s="5" t="s">
        <v>41</v>
      </c>
      <c r="U103" s="5"/>
      <c r="V103" s="5"/>
      <c r="W103" s="5"/>
      <c r="X103" s="5"/>
      <c r="Y103" s="5"/>
      <c r="Z103" t="str">
        <f>IFERROR(INDEX(הגדרות!$B$2:$B$17,MATCH(H103,הגדרות!$A$2:$A$17,0)),"")</f>
        <v>מיוער</v>
      </c>
      <c r="AA103">
        <f>IFERROR(INDEX(הגדרות!$C$2:$C$17,MATCH(H103,הגדרות!$A$2:$A$17,0)),"")</f>
        <v>0</v>
      </c>
      <c r="AB103" t="str">
        <f>IFERROR(INDEX(הגדרות!$B$2:$B$17,MATCH(I103,הגדרות!$A$2:$A$17,0)),"")</f>
        <v>מדברי</v>
      </c>
      <c r="AC103">
        <f>IFERROR(INDEX(הגדרות!$C$2:$C$17,MATCH(I103,הגדרות!$A$2:$A$17,0)),"")</f>
        <v>0</v>
      </c>
      <c r="AD103" t="e">
        <f>IF(AND(מלאי!D12&lt;&gt;"",OR(#REF!="הכל",מלאי!Z12=#REF!,מלאי!AA12=#REF!,מלאי!AB12=#REF!,מלאי!AC12=#REF!),OR(#REF!="הכל",מלאי!A12=#REF!),OR(#REF!="הכל",מלאי!B12=#REF!),OR(#REF!="הכל",מלאי!F12=#REF!,מלאי!G12=#REF!),OR(#REF!="הכל",מלאי!T12=#REF!),OR(#REF!="הכל",מלאי!Q12=#REF!),OR(#REF!="הכל",מלאי!J12=#REF!),OR(#REF!="הכל",מלאי!L12=#REF!),OR(#REF!="הכל",מלאי!O12=#REF!),OR(#REF!="הכל",מלאי!R12=#REF!),OR(#REF!="הכל",#REF!="",מלאי!W12=#REF!),OR(#REF!="הכל",#REF!="",ISNUMBER(SEARCH(#REF!,מלאי!C12)))),1,0)</f>
        <v>#REF!</v>
      </c>
      <c r="AE103" t="e">
        <f>IF(AND(מלאי!D12&lt;&gt;"",OR(#REF!="הכל",מלאי!Z12=#REF!,מלאי!AA12=#REF!,מלאי!AB12=#REF!,מלאי!AC12=#REF!),OR(#REF!="הכל",מלאי!A12=#REF!),OR(#REF!="הכל",מלאי!B12=#REF!),OR(#REF!="הכל",מלאי!F12=#REF!,מלאי!G12=#REF!),OR(#REF!="הכל",מלאי!T12=#REF!),OR(#REF!="הכל",מלאי!Q12=#REF!),OR(#REF!="הכל",מלאי!J12=#REF!),OR(#REF!="הכל",מלאי!L12=#REF!),OR(#REF!="הכל",מלאי!O12=#REF!),OR(#REF!="הכל",מלאי!R12=#REF!),OR(#REF!="הכל",#REF!="",מלאי!W12=#REF!),OR(#REF!="הכל",#REF!="",ISNUMBER(SEARCH(#REF!,מלאי!C12))),OR(#REF!="הכל",מלאי!#REF!=#REF!)),1,0)</f>
        <v>#REF!</v>
      </c>
      <c r="AF103" t="e">
        <f>IF(AD103=1,COUNTIF($AD$3:$AD103,1),"")</f>
        <v>#REF!</v>
      </c>
      <c r="AG103" t="e">
        <f>IF(AE103=1,COUNTIF($AE$3:$AE103,1),"")</f>
        <v>#REF!</v>
      </c>
    </row>
    <row r="104" spans="1:33" ht="15" hidden="1" customHeight="1" x14ac:dyDescent="0.35">
      <c r="A104" s="4" t="s">
        <v>34</v>
      </c>
      <c r="B104" s="30" t="s">
        <v>44</v>
      </c>
      <c r="C104" s="4" t="s">
        <v>36</v>
      </c>
      <c r="D104" s="30" t="s">
        <v>343</v>
      </c>
      <c r="E104" s="4" t="str">
        <f>IFERROR(INDEX(הגדרות!$I$2:$I$47,MATCH(B104,הגדרות!$H$2:$H$47,0)),"")</f>
        <v>7030-01</v>
      </c>
      <c r="F104" s="4" t="s">
        <v>45</v>
      </c>
      <c r="G104" s="4"/>
      <c r="H104" s="4" t="s">
        <v>46</v>
      </c>
      <c r="I104" s="4" t="s">
        <v>49</v>
      </c>
      <c r="J104" s="4" t="s">
        <v>40</v>
      </c>
      <c r="K104" s="4" t="s">
        <v>40</v>
      </c>
      <c r="L104" s="4" t="s">
        <v>40</v>
      </c>
      <c r="M104" s="4" t="s">
        <v>40</v>
      </c>
      <c r="N104" s="4"/>
      <c r="O104" s="4" t="s">
        <v>2</v>
      </c>
      <c r="P104" s="4"/>
      <c r="Q104" s="4" t="s">
        <v>2</v>
      </c>
      <c r="R104" s="4"/>
      <c r="S104" s="4" t="s">
        <v>2</v>
      </c>
      <c r="T104" s="4" t="s">
        <v>41</v>
      </c>
      <c r="U104" s="4"/>
      <c r="V104" s="4"/>
      <c r="W104" s="4"/>
      <c r="X104" s="4"/>
      <c r="Y104" s="4"/>
      <c r="Z104" t="str">
        <f>IFERROR(INDEX(הגדרות!$B$2:$B$17,MATCH(H104,הגדרות!$A$2:$A$17,0)),"")</f>
        <v>מיוער</v>
      </c>
      <c r="AA104">
        <f>IFERROR(INDEX(הגדרות!$C$2:$C$17,MATCH(H104,הגדרות!$A$2:$A$17,0)),"")</f>
        <v>0</v>
      </c>
      <c r="AB104" t="str">
        <f>IFERROR(INDEX(הגדרות!$B$2:$B$17,MATCH(I104,הגדרות!$A$2:$A$17,0)),"")</f>
        <v>מדברי</v>
      </c>
      <c r="AC104">
        <f>IFERROR(INDEX(הגדרות!$C$2:$C$17,MATCH(I104,הגדרות!$A$2:$A$17,0)),"")</f>
        <v>0</v>
      </c>
      <c r="AD104" t="e">
        <f>IF(AND(מלאי!D13&lt;&gt;"",OR(#REF!="הכל",מלאי!Z13=#REF!,מלאי!AA13=#REF!,מלאי!AB13=#REF!,מלאי!AC13=#REF!),OR(#REF!="הכל",מלאי!A13=#REF!),OR(#REF!="הכל",מלאי!B13=#REF!),OR(#REF!="הכל",מלאי!F13=#REF!,מלאי!G13=#REF!),OR(#REF!="הכל",מלאי!T13=#REF!),OR(#REF!="הכל",מלאי!Q13=#REF!),OR(#REF!="הכל",מלאי!J13=#REF!),OR(#REF!="הכל",מלאי!L13=#REF!),OR(#REF!="הכל",מלאי!O13=#REF!),OR(#REF!="הכל",מלאי!R13=#REF!),OR(#REF!="הכל",#REF!="",מלאי!W13=#REF!),OR(#REF!="הכל",#REF!="",ISNUMBER(SEARCH(#REF!,מלאי!C13)))),1,0)</f>
        <v>#REF!</v>
      </c>
      <c r="AE104" t="e">
        <f>IF(AND(מלאי!D13&lt;&gt;"",OR(#REF!="הכל",מלאי!Z13=#REF!,מלאי!AA13=#REF!,מלאי!AB13=#REF!,מלאי!AC13=#REF!),OR(#REF!="הכל",מלאי!A13=#REF!),OR(#REF!="הכל",מלאי!B13=#REF!),OR(#REF!="הכל",מלאי!F13=#REF!,מלאי!G13=#REF!),OR(#REF!="הכל",מלאי!T13=#REF!),OR(#REF!="הכל",מלאי!Q13=#REF!),OR(#REF!="הכל",מלאי!J13=#REF!),OR(#REF!="הכל",מלאי!L13=#REF!),OR(#REF!="הכל",מלאי!O13=#REF!),OR(#REF!="הכל",מלאי!R13=#REF!),OR(#REF!="הכל",#REF!="",מלאי!W13=#REF!),OR(#REF!="הכל",#REF!="",ISNUMBER(SEARCH(#REF!,מלאי!C13))),OR(#REF!="הכל",מלאי!#REF!=#REF!)),1,0)</f>
        <v>#REF!</v>
      </c>
      <c r="AF104" t="e">
        <f>IF(AD104=1,COUNTIF($AD$3:$AD104,1),"")</f>
        <v>#REF!</v>
      </c>
      <c r="AG104" t="e">
        <f>IF(AE104=1,COUNTIF($AE$3:$AE104,1),"")</f>
        <v>#REF!</v>
      </c>
    </row>
    <row r="105" spans="1:33" ht="15" hidden="1" customHeight="1" x14ac:dyDescent="0.35">
      <c r="A105" s="5" t="s">
        <v>34</v>
      </c>
      <c r="B105" s="31" t="s">
        <v>44</v>
      </c>
      <c r="C105" s="5" t="s">
        <v>36</v>
      </c>
      <c r="D105" s="5" t="s">
        <v>347</v>
      </c>
      <c r="E105" s="5" t="str">
        <f>IFERROR(INDEX(הגדרות!$I$2:$I$47,MATCH(B105,הגדרות!$H$2:$H$47,0)),"")</f>
        <v>7030-01</v>
      </c>
      <c r="F105" s="5" t="s">
        <v>45</v>
      </c>
      <c r="G105" s="5"/>
      <c r="H105" s="5" t="s">
        <v>46</v>
      </c>
      <c r="I105" s="5" t="s">
        <v>49</v>
      </c>
      <c r="J105" s="5" t="s">
        <v>40</v>
      </c>
      <c r="K105" s="5" t="s">
        <v>40</v>
      </c>
      <c r="L105" s="5" t="s">
        <v>40</v>
      </c>
      <c r="M105" s="5" t="s">
        <v>40</v>
      </c>
      <c r="N105" s="5"/>
      <c r="O105" s="5" t="s">
        <v>2</v>
      </c>
      <c r="P105" s="5"/>
      <c r="Q105" s="5" t="s">
        <v>2</v>
      </c>
      <c r="R105" s="5"/>
      <c r="S105" s="5" t="s">
        <v>2</v>
      </c>
      <c r="T105" s="5" t="s">
        <v>42</v>
      </c>
      <c r="U105" s="5"/>
      <c r="V105" s="5"/>
      <c r="W105" s="5"/>
      <c r="X105" s="5"/>
      <c r="Y105" s="5"/>
      <c r="Z105" t="str">
        <f>IFERROR(INDEX(הגדרות!$B$2:$B$17,MATCH(H105,הגדרות!$A$2:$A$17,0)),"")</f>
        <v>מיוער</v>
      </c>
      <c r="AA105">
        <f>IFERROR(INDEX(הגדרות!$C$2:$C$17,MATCH(H105,הגדרות!$A$2:$A$17,0)),"")</f>
        <v>0</v>
      </c>
      <c r="AB105" t="str">
        <f>IFERROR(INDEX(הגדרות!$B$2:$B$17,MATCH(I105,הגדרות!$A$2:$A$17,0)),"")</f>
        <v>מדברי</v>
      </c>
      <c r="AC105">
        <f>IFERROR(INDEX(הגדרות!$C$2:$C$17,MATCH(I105,הגדרות!$A$2:$A$17,0)),"")</f>
        <v>0</v>
      </c>
      <c r="AD105" t="e">
        <f>IF(AND(מלאי!D14&lt;&gt;"",OR(#REF!="הכל",מלאי!Z14=#REF!,מלאי!AA14=#REF!,מלאי!AB14=#REF!,מלאי!AC14=#REF!),OR(#REF!="הכל",מלאי!A14=#REF!),OR(#REF!="הכל",מלאי!B14=#REF!),OR(#REF!="הכל",מלאי!F14=#REF!,מלאי!G14=#REF!),OR(#REF!="הכל",מלאי!T14=#REF!),OR(#REF!="הכל",מלאי!Q14=#REF!),OR(#REF!="הכל",מלאי!J14=#REF!),OR(#REF!="הכל",מלאי!L14=#REF!),OR(#REF!="הכל",מלאי!O14=#REF!),OR(#REF!="הכל",מלאי!R14=#REF!),OR(#REF!="הכל",#REF!="",מלאי!W14=#REF!),OR(#REF!="הכל",#REF!="",ISNUMBER(SEARCH(#REF!,מלאי!C14)))),1,0)</f>
        <v>#REF!</v>
      </c>
      <c r="AE105" t="e">
        <f>IF(AND(מלאי!D14&lt;&gt;"",OR(#REF!="הכל",מלאי!Z14=#REF!,מלאי!AA14=#REF!,מלאי!AB14=#REF!,מלאי!AC14=#REF!),OR(#REF!="הכל",מלאי!A14=#REF!),OR(#REF!="הכל",מלאי!B14=#REF!),OR(#REF!="הכל",מלאי!F14=#REF!,מלאי!G14=#REF!),OR(#REF!="הכל",מלאי!T14=#REF!),OR(#REF!="הכל",מלאי!Q14=#REF!),OR(#REF!="הכל",מלאי!J14=#REF!),OR(#REF!="הכל",מלאי!L14=#REF!),OR(#REF!="הכל",מלאי!O14=#REF!),OR(#REF!="הכל",מלאי!R14=#REF!),OR(#REF!="הכל",#REF!="",מלאי!W14=#REF!),OR(#REF!="הכל",#REF!="",ISNUMBER(SEARCH(#REF!,מלאי!C14))),OR(#REF!="הכל",מלאי!#REF!=#REF!)),1,0)</f>
        <v>#REF!</v>
      </c>
      <c r="AF105" t="e">
        <f>IF(AD105=1,COUNTIF($AD$3:$AD105,1),"")</f>
        <v>#REF!</v>
      </c>
      <c r="AG105" t="e">
        <f>IF(AE105=1,COUNTIF($AE$3:$AE105,1),"")</f>
        <v>#REF!</v>
      </c>
    </row>
    <row r="106" spans="1:33" ht="15" hidden="1" customHeight="1" x14ac:dyDescent="0.35">
      <c r="A106" s="4" t="s">
        <v>34</v>
      </c>
      <c r="B106" s="4" t="s">
        <v>44</v>
      </c>
      <c r="C106" s="4" t="s">
        <v>36</v>
      </c>
      <c r="D106" s="4" t="s">
        <v>348</v>
      </c>
      <c r="E106" s="4" t="str">
        <f>IFERROR(INDEX(הגדרות!$I$2:$I$47,MATCH(B106,הגדרות!$H$2:$H$47,0)),"")</f>
        <v>7030-01</v>
      </c>
      <c r="F106" s="4" t="s">
        <v>45</v>
      </c>
      <c r="G106" s="4"/>
      <c r="H106" s="4" t="s">
        <v>46</v>
      </c>
      <c r="I106" s="4" t="s">
        <v>39</v>
      </c>
      <c r="J106" s="4" t="s">
        <v>40</v>
      </c>
      <c r="K106" s="4" t="s">
        <v>40</v>
      </c>
      <c r="L106" s="4" t="s">
        <v>40</v>
      </c>
      <c r="M106" s="4" t="s">
        <v>40</v>
      </c>
      <c r="N106" s="4" t="s">
        <v>2</v>
      </c>
      <c r="O106" s="4" t="s">
        <v>2</v>
      </c>
      <c r="P106" s="4" t="s">
        <v>47</v>
      </c>
      <c r="Q106" s="4" t="s">
        <v>2</v>
      </c>
      <c r="R106" s="4"/>
      <c r="S106" s="4" t="s">
        <v>2</v>
      </c>
      <c r="T106" s="4" t="s">
        <v>41</v>
      </c>
      <c r="U106" s="4" t="s">
        <v>48</v>
      </c>
      <c r="V106" s="4"/>
      <c r="W106" s="4"/>
      <c r="X106" s="4"/>
      <c r="Y106" s="4"/>
      <c r="Z106" t="str">
        <f>IFERROR(INDEX(הגדרות!$B$2:$B$17,MATCH(H106,הגדרות!$A$2:$A$17,0)),"")</f>
        <v>מיוער</v>
      </c>
      <c r="AA106">
        <f>IFERROR(INDEX(הגדרות!$C$2:$C$17,MATCH(H106,הגדרות!$A$2:$A$17,0)),"")</f>
        <v>0</v>
      </c>
      <c r="AB106" t="str">
        <f>IFERROR(INDEX(הגדרות!$B$2:$B$17,MATCH(I106,הגדרות!$A$2:$A$17,0)),"")</f>
        <v>מדברי</v>
      </c>
      <c r="AC106">
        <f>IFERROR(INDEX(הגדרות!$C$2:$C$17,MATCH(I106,הגדרות!$A$2:$A$17,0)),"")</f>
        <v>0</v>
      </c>
      <c r="AD106" t="e">
        <f>IF(AND(מלאי!D15&lt;&gt;"",OR(#REF!="הכל",מלאי!Z15=#REF!,מלאי!AA15=#REF!,מלאי!AB15=#REF!,מלאי!AC15=#REF!),OR(#REF!="הכל",מלאי!A15=#REF!),OR(#REF!="הכל",מלאי!B15=#REF!),OR(#REF!="הכל",מלאי!F15=#REF!,מלאי!G15=#REF!),OR(#REF!="הכל",מלאי!T15=#REF!),OR(#REF!="הכל",מלאי!Q15=#REF!),OR(#REF!="הכל",מלאי!J15=#REF!),OR(#REF!="הכל",מלאי!L15=#REF!),OR(#REF!="הכל",מלאי!O15=#REF!),OR(#REF!="הכל",מלאי!R15=#REF!),OR(#REF!="הכל",#REF!="",מלאי!W15=#REF!),OR(#REF!="הכל",#REF!="",ISNUMBER(SEARCH(#REF!,מלאי!C15)))),1,0)</f>
        <v>#REF!</v>
      </c>
      <c r="AE106" t="e">
        <f>IF(AND(מלאי!D15&lt;&gt;"",OR(#REF!="הכל",מלאי!Z15=#REF!,מלאי!AA15=#REF!,מלאי!AB15=#REF!,מלאי!AC15=#REF!),OR(#REF!="הכל",מלאי!A15=#REF!),OR(#REF!="הכל",מלאי!B15=#REF!),OR(#REF!="הכל",מלאי!F15=#REF!,מלאי!G15=#REF!),OR(#REF!="הכל",מלאי!T15=#REF!),OR(#REF!="הכל",מלאי!Q15=#REF!),OR(#REF!="הכל",מלאי!J15=#REF!),OR(#REF!="הכל",מלאי!L15=#REF!),OR(#REF!="הכל",מלאי!O15=#REF!),OR(#REF!="הכל",מלאי!R15=#REF!),OR(#REF!="הכל",#REF!="",מלאי!W15=#REF!),OR(#REF!="הכל",#REF!="",ISNUMBER(SEARCH(#REF!,מלאי!C15))),OR(#REF!="הכל",מלאי!#REF!=#REF!)),1,0)</f>
        <v>#REF!</v>
      </c>
      <c r="AF106" t="e">
        <f>IF(AD106=1,COUNTIF($AD$3:$AD106,1),"")</f>
        <v>#REF!</v>
      </c>
      <c r="AG106" t="e">
        <f>IF(AE106=1,COUNTIF($AE$3:$AE106,1),"")</f>
        <v>#REF!</v>
      </c>
    </row>
    <row r="107" spans="1:33" ht="15" hidden="1" customHeight="1" x14ac:dyDescent="0.35">
      <c r="A107" s="4" t="s">
        <v>34</v>
      </c>
      <c r="B107" s="4" t="s">
        <v>44</v>
      </c>
      <c r="C107" s="4" t="s">
        <v>36</v>
      </c>
      <c r="D107" s="4" t="s">
        <v>349</v>
      </c>
      <c r="E107" s="4" t="str">
        <f>IFERROR(INDEX(הגדרות!$I$2:$I$47,MATCH(B107,הגדרות!$H$2:$H$47,0)),"")</f>
        <v>7030-01</v>
      </c>
      <c r="F107" s="4" t="s">
        <v>45</v>
      </c>
      <c r="G107" s="4"/>
      <c r="H107" s="4" t="s">
        <v>46</v>
      </c>
      <c r="I107" s="4" t="s">
        <v>49</v>
      </c>
      <c r="J107" s="4" t="s">
        <v>40</v>
      </c>
      <c r="K107" s="4" t="s">
        <v>40</v>
      </c>
      <c r="L107" s="4" t="s">
        <v>40</v>
      </c>
      <c r="M107" s="4" t="s">
        <v>40</v>
      </c>
      <c r="N107" s="4" t="s">
        <v>2</v>
      </c>
      <c r="O107" s="4" t="s">
        <v>2</v>
      </c>
      <c r="P107" s="4" t="s">
        <v>69</v>
      </c>
      <c r="Q107" s="4" t="s">
        <v>2</v>
      </c>
      <c r="R107" s="4"/>
      <c r="S107" s="4" t="s">
        <v>2</v>
      </c>
      <c r="T107" s="4" t="s">
        <v>41</v>
      </c>
      <c r="U107" s="4"/>
      <c r="V107" s="4"/>
      <c r="W107" s="4"/>
      <c r="X107" s="4"/>
      <c r="Y107" s="4"/>
      <c r="Z107" t="str">
        <f>IFERROR(INDEX(הגדרות!$B$2:$B$17,MATCH(H107,הגדרות!$A$2:$A$17,0)),"")</f>
        <v>מיוער</v>
      </c>
      <c r="AA107">
        <f>IFERROR(INDEX(הגדרות!$C$2:$C$17,MATCH(H107,הגדרות!$A$2:$A$17,0)),"")</f>
        <v>0</v>
      </c>
      <c r="AB107" t="str">
        <f>IFERROR(INDEX(הגדרות!$B$2:$B$17,MATCH(I107,הגדרות!$A$2:$A$17,0)),"")</f>
        <v>מדברי</v>
      </c>
      <c r="AC107">
        <f>IFERROR(INDEX(הגדרות!$C$2:$C$17,MATCH(I107,הגדרות!$A$2:$A$17,0)),"")</f>
        <v>0</v>
      </c>
      <c r="AD107" t="e">
        <f>IF(AND(מלאי!D44&lt;&gt;"",OR(#REF!="הכל",מלאי!Z44=#REF!,מלאי!AA44=#REF!,מלאי!AB44=#REF!,מלאי!AC44=#REF!),OR(#REF!="הכל",מלאי!A44=#REF!),OR(#REF!="הכל",מלאי!B44=#REF!),OR(#REF!="הכל",מלאי!F44=#REF!,מלאי!G44=#REF!),OR(#REF!="הכל",מלאי!T44=#REF!),OR(#REF!="הכל",מלאי!Q44=#REF!),OR(#REF!="הכל",מלאי!J44=#REF!),OR(#REF!="הכל",מלאי!L44=#REF!),OR(#REF!="הכל",מלאי!O44=#REF!),OR(#REF!="הכל",מלאי!R44=#REF!),OR(#REF!="הכל",#REF!="",מלאי!W44=#REF!),OR(#REF!="הכל",#REF!="",ISNUMBER(SEARCH(#REF!,מלאי!C44)))),1,0)</f>
        <v>#REF!</v>
      </c>
      <c r="AE107" t="e">
        <f>IF(AND(מלאי!D44&lt;&gt;"",OR(#REF!="הכל",מלאי!Z44=#REF!,מלאי!AA44=#REF!,מלאי!AB44=#REF!,מלאי!AC44=#REF!),OR(#REF!="הכל",מלאי!A44=#REF!),OR(#REF!="הכל",מלאי!B44=#REF!),OR(#REF!="הכל",מלאי!F44=#REF!,מלאי!G44=#REF!),OR(#REF!="הכל",מלאי!T44=#REF!),OR(#REF!="הכל",מלאי!Q44=#REF!),OR(#REF!="הכל",מלאי!J44=#REF!),OR(#REF!="הכל",מלאי!L44=#REF!),OR(#REF!="הכל",מלאי!O44=#REF!),OR(#REF!="הכל",מלאי!R44=#REF!),OR(#REF!="הכל",#REF!="",מלאי!W44=#REF!),OR(#REF!="הכל",#REF!="",ISNUMBER(SEARCH(#REF!,מלאי!C44))),OR(#REF!="הכל",מלאי!#REF!=#REF!)),1,0)</f>
        <v>#REF!</v>
      </c>
      <c r="AF107" t="e">
        <f>IF(AD107=1,COUNTIF($AD$3:$AD107,1),"")</f>
        <v>#REF!</v>
      </c>
      <c r="AG107" t="e">
        <f>IF(AE107=1,COUNTIF($AE$3:$AE107,1),"")</f>
        <v>#REF!</v>
      </c>
    </row>
    <row r="108" spans="1:33" ht="15" hidden="1" customHeight="1" x14ac:dyDescent="0.35">
      <c r="A108" s="5" t="s">
        <v>34</v>
      </c>
      <c r="B108" s="5" t="s">
        <v>44</v>
      </c>
      <c r="C108" s="5" t="s">
        <v>36</v>
      </c>
      <c r="D108" s="31" t="s">
        <v>350</v>
      </c>
      <c r="E108" s="5" t="str">
        <f>IFERROR(INDEX(הגדרות!$I$2:$I$47,MATCH(B108,הגדרות!$H$2:$H$47,0)),"")</f>
        <v>7030-01</v>
      </c>
      <c r="F108" s="5" t="s">
        <v>45</v>
      </c>
      <c r="G108" s="5"/>
      <c r="H108" s="5" t="s">
        <v>46</v>
      </c>
      <c r="I108" s="5" t="s">
        <v>39</v>
      </c>
      <c r="J108" s="5" t="s">
        <v>40</v>
      </c>
      <c r="K108" s="5" t="s">
        <v>40</v>
      </c>
      <c r="L108" s="5" t="s">
        <v>40</v>
      </c>
      <c r="M108" s="5" t="s">
        <v>40</v>
      </c>
      <c r="N108" s="5" t="s">
        <v>2</v>
      </c>
      <c r="O108" s="5" t="s">
        <v>2</v>
      </c>
      <c r="P108" s="5" t="s">
        <v>47</v>
      </c>
      <c r="Q108" s="5" t="s">
        <v>2</v>
      </c>
      <c r="R108" s="5"/>
      <c r="S108" s="5" t="s">
        <v>2</v>
      </c>
      <c r="T108" s="5" t="s">
        <v>41</v>
      </c>
      <c r="U108" s="5" t="s">
        <v>48</v>
      </c>
      <c r="V108" s="5"/>
      <c r="W108" s="5"/>
      <c r="X108" s="5"/>
      <c r="Y108" s="5"/>
      <c r="Z108" t="str">
        <f>IFERROR(INDEX(הגדרות!$B$2:$B$17,MATCH(H108,הגדרות!$A$2:$A$17,0)),"")</f>
        <v>מיוער</v>
      </c>
      <c r="AA108">
        <f>IFERROR(INDEX(הגדרות!$C$2:$C$17,MATCH(H108,הגדרות!$A$2:$A$17,0)),"")</f>
        <v>0</v>
      </c>
      <c r="AB108" t="str">
        <f>IFERROR(INDEX(הגדרות!$B$2:$B$17,MATCH(I108,הגדרות!$A$2:$A$17,0)),"")</f>
        <v>מדברי</v>
      </c>
      <c r="AC108">
        <f>IFERROR(INDEX(הגדרות!$C$2:$C$17,MATCH(I108,הגדרות!$A$2:$A$17,0)),"")</f>
        <v>0</v>
      </c>
      <c r="AD108" t="e">
        <f>IF(AND(מלאי!D45&lt;&gt;"",OR(#REF!="הכל",מלאי!Z45=#REF!,מלאי!AA45=#REF!,מלאי!AB45=#REF!,מלאי!AC45=#REF!),OR(#REF!="הכל",מלאי!A45=#REF!),OR(#REF!="הכל",מלאי!B45=#REF!),OR(#REF!="הכל",מלאי!F45=#REF!,מלאי!G45=#REF!),OR(#REF!="הכל",מלאי!T45=#REF!),OR(#REF!="הכל",מלאי!Q45=#REF!),OR(#REF!="הכל",מלאי!J45=#REF!),OR(#REF!="הכל",מלאי!L45=#REF!),OR(#REF!="הכל",מלאי!O45=#REF!),OR(#REF!="הכל",מלאי!R45=#REF!),OR(#REF!="הכל",#REF!="",מלאי!W45=#REF!),OR(#REF!="הכל",#REF!="",ISNUMBER(SEARCH(#REF!,מלאי!C45)))),1,0)</f>
        <v>#REF!</v>
      </c>
      <c r="AE108" t="e">
        <f>IF(AND(מלאי!D45&lt;&gt;"",OR(#REF!="הכל",מלאי!Z45=#REF!,מלאי!AA45=#REF!,מלאי!AB45=#REF!,מלאי!AC45=#REF!),OR(#REF!="הכל",מלאי!A45=#REF!),OR(#REF!="הכל",מלאי!B45=#REF!),OR(#REF!="הכל",מלאי!F45=#REF!,מלאי!G45=#REF!),OR(#REF!="הכל",מלאי!T45=#REF!),OR(#REF!="הכל",מלאי!Q45=#REF!),OR(#REF!="הכל",מלאי!J45=#REF!),OR(#REF!="הכל",מלאי!L45=#REF!),OR(#REF!="הכל",מלאי!O45=#REF!),OR(#REF!="הכל",מלאי!R45=#REF!),OR(#REF!="הכל",#REF!="",מלאי!W45=#REF!),OR(#REF!="הכל",#REF!="",ISNUMBER(SEARCH(#REF!,מלאי!C45))),OR(#REF!="הכל",מלאי!#REF!=#REF!)),1,0)</f>
        <v>#REF!</v>
      </c>
      <c r="AF108" t="e">
        <f>IF(AD108=1,COUNTIF($AD$3:$AD108,1),"")</f>
        <v>#REF!</v>
      </c>
      <c r="AG108" t="e">
        <f>IF(AE108=1,COUNTIF($AE$3:$AE108,1),"")</f>
        <v>#REF!</v>
      </c>
    </row>
    <row r="109" spans="1:33" ht="15" hidden="1" customHeight="1" x14ac:dyDescent="0.35">
      <c r="A109" s="4" t="s">
        <v>34</v>
      </c>
      <c r="B109" s="29" t="s">
        <v>44</v>
      </c>
      <c r="C109" s="4" t="s">
        <v>36</v>
      </c>
      <c r="D109" s="12" t="s">
        <v>351</v>
      </c>
      <c r="E109" s="4" t="str">
        <f>IFERROR(INDEX(הגדרות!$I$2:$I$47,MATCH(B109,הגדרות!$H$2:$H$47,0)),"")</f>
        <v>7030-01</v>
      </c>
      <c r="F109" s="4" t="s">
        <v>45</v>
      </c>
      <c r="G109" s="4"/>
      <c r="H109" s="29" t="s">
        <v>46</v>
      </c>
      <c r="I109" s="29" t="s">
        <v>49</v>
      </c>
      <c r="J109" s="4" t="s">
        <v>40</v>
      </c>
      <c r="K109" s="4" t="s">
        <v>40</v>
      </c>
      <c r="L109" s="4" t="s">
        <v>40</v>
      </c>
      <c r="M109" s="4" t="s">
        <v>40</v>
      </c>
      <c r="N109" s="4"/>
      <c r="O109" s="4" t="s">
        <v>2</v>
      </c>
      <c r="P109" s="4"/>
      <c r="Q109" s="4" t="s">
        <v>2</v>
      </c>
      <c r="R109" s="4"/>
      <c r="S109" s="4" t="s">
        <v>2</v>
      </c>
      <c r="T109" s="4" t="s">
        <v>41</v>
      </c>
      <c r="U109" s="4"/>
      <c r="V109" s="4"/>
      <c r="W109" s="4"/>
      <c r="X109" s="4"/>
      <c r="Y109" s="4"/>
      <c r="Z109" t="str">
        <f>IFERROR(INDEX(הגדרות!$B$2:$B$17,MATCH(H109,הגדרות!$A$2:$A$17,0)),"")</f>
        <v>מיוער</v>
      </c>
      <c r="AA109">
        <f>IFERROR(INDEX(הגדרות!$C$2:$C$17,MATCH(H109,הגדרות!$A$2:$A$17,0)),"")</f>
        <v>0</v>
      </c>
      <c r="AB109" t="str">
        <f>IFERROR(INDEX(הגדרות!$B$2:$B$17,MATCH(I109,הגדרות!$A$2:$A$17,0)),"")</f>
        <v>מדברי</v>
      </c>
      <c r="AC109">
        <f>IFERROR(INDEX(הגדרות!$C$2:$C$17,MATCH(I109,הגדרות!$A$2:$A$17,0)),"")</f>
        <v>0</v>
      </c>
      <c r="AD109" t="e">
        <f>IF(AND(מלאי!D126&lt;&gt;"",OR(#REF!="הכל",מלאי!Z126=#REF!,מלאי!AA126=#REF!,מלאי!AB126=#REF!,מלאי!AC126=#REF!),OR(#REF!="הכל",מלאי!A126=#REF!),OR(#REF!="הכל",מלאי!B126=#REF!),OR(#REF!="הכל",מלאי!F126=#REF!,מלאי!G126=#REF!),OR(#REF!="הכל",מלאי!T126=#REF!),OR(#REF!="הכל",מלאי!Q126=#REF!),OR(#REF!="הכל",מלאי!J126=#REF!),OR(#REF!="הכל",מלאי!L126=#REF!),OR(#REF!="הכל",מלאי!O126=#REF!),OR(#REF!="הכל",מלאי!R126=#REF!),OR(#REF!="הכל",#REF!="",מלאי!W126=#REF!),OR(#REF!="הכל",#REF!="",ISNUMBER(SEARCH(#REF!,מלאי!C126)))),1,0)</f>
        <v>#REF!</v>
      </c>
      <c r="AE109" t="e">
        <f>IF(AND(מלאי!D126&lt;&gt;"",OR(#REF!="הכל",מלאי!Z126=#REF!,מלאי!AA126=#REF!,מלאי!AB126=#REF!,מלאי!AC126=#REF!),OR(#REF!="הכל",מלאי!A126=#REF!),OR(#REF!="הכל",מלאי!B126=#REF!),OR(#REF!="הכל",מלאי!F126=#REF!,מלאי!G126=#REF!),OR(#REF!="הכל",מלאי!T126=#REF!),OR(#REF!="הכל",מלאי!Q126=#REF!),OR(#REF!="הכל",מלאי!J126=#REF!),OR(#REF!="הכל",מלאי!L126=#REF!),OR(#REF!="הכל",מלאי!O126=#REF!),OR(#REF!="הכל",מלאי!R126=#REF!),OR(#REF!="הכל",#REF!="",מלאי!W126=#REF!),OR(#REF!="הכל",#REF!="",ISNUMBER(SEARCH(#REF!,מלאי!C126))),OR(#REF!="הכל",מלאי!#REF!=#REF!)),1,0)</f>
        <v>#REF!</v>
      </c>
      <c r="AF109" t="e">
        <f>IF(AD109=1,COUNTIF($AD$3:$AD109,1),"")</f>
        <v>#REF!</v>
      </c>
      <c r="AG109" t="e">
        <f>IF(AE109=1,COUNTIF($AE$3:$AE109,1),"")</f>
        <v>#REF!</v>
      </c>
    </row>
    <row r="110" spans="1:33" ht="15" hidden="1" customHeight="1" x14ac:dyDescent="0.35">
      <c r="A110" s="4" t="s">
        <v>34</v>
      </c>
      <c r="B110" s="4" t="s">
        <v>35</v>
      </c>
      <c r="C110" s="4" t="s">
        <v>36</v>
      </c>
      <c r="D110" s="30" t="s">
        <v>247</v>
      </c>
      <c r="E110" s="4" t="str">
        <f>IFERROR(INDEX(הגדרות!$I$2:$I$47,MATCH(B110,הגדרות!$H$2:$H$47,0)),"")</f>
        <v>7031-01</v>
      </c>
      <c r="F110" s="4" t="s">
        <v>37</v>
      </c>
      <c r="G110" s="4"/>
      <c r="H110" s="4" t="s">
        <v>38</v>
      </c>
      <c r="I110" s="4" t="s">
        <v>39</v>
      </c>
      <c r="J110" s="4" t="s">
        <v>40</v>
      </c>
      <c r="K110" s="4" t="s">
        <v>40</v>
      </c>
      <c r="L110" s="4" t="s">
        <v>40</v>
      </c>
      <c r="M110" s="4" t="s">
        <v>40</v>
      </c>
      <c r="N110" s="4" t="s">
        <v>40</v>
      </c>
      <c r="O110" s="4" t="s">
        <v>2</v>
      </c>
      <c r="P110" s="4"/>
      <c r="Q110" s="4" t="s">
        <v>355</v>
      </c>
      <c r="R110" s="4"/>
      <c r="S110" s="4" t="s">
        <v>355</v>
      </c>
      <c r="T110" s="4" t="s">
        <v>41</v>
      </c>
      <c r="U110" s="4"/>
      <c r="V110" s="4"/>
      <c r="W110" s="4"/>
      <c r="X110" s="4"/>
      <c r="Y110" s="4"/>
      <c r="Z110" t="str">
        <f>IFERROR(INDEX(הגדרות!$B$2:$B$17,MATCH(H110,הגדרות!$A$2:$A$17,0)),"")</f>
        <v>מיוער</v>
      </c>
      <c r="AA110">
        <f>IFERROR(INDEX(הגדרות!$C$2:$C$17,MATCH(H110,הגדרות!$A$2:$A$17,0)),"")</f>
        <v>0</v>
      </c>
      <c r="AB110" t="str">
        <f>IFERROR(INDEX(הגדרות!$B$2:$B$17,MATCH(I110,הגדרות!$A$2:$A$17,0)),"")</f>
        <v>מדברי</v>
      </c>
      <c r="AC110">
        <f>IFERROR(INDEX(הגדרות!$C$2:$C$17,MATCH(I110,הגדרות!$A$2:$A$17,0)),"")</f>
        <v>0</v>
      </c>
      <c r="AD110" t="e">
        <f>IF(AND([1]מלAי!D3&lt;&gt;"",OR(#REF!="הכל",[1]מלAי!AA3=#REF!,[1]מלAי!AB3=#REF!,[1]מלAי!AC3=#REF!,[1]מלAי!AD3=#REF!),OR(#REF!="הכל",[1]מלAי!A3=#REF!),OR(#REF!="הכל",[1]מלAי!B3=#REF!),OR(#REF!="הכל",[1]מלAי!F3=#REF!,[1]מלAי!G3=#REF!),OR(#REF!="הכל",[1]מלAי!U3=#REF!),OR(#REF!="הכל",[1]מלAי!R3=#REF!),OR(#REF!="הכל",[1]מלAי!J3=#REF!),OR(#REF!="הכל",[1]מלAי!L3=#REF!),OR(#REF!="הכל",[1]מלAי!O3=#REF!),OR(#REF!="הכל",[1]מלAי!S3=#REF!),OR(#REF!="הכל",#REF!="",[1]מלAי!X3=#REF!),OR(#REF!="הכל",#REF!="",ISNUMBER(SEARCH(#REF!,[1]מלAי!C3)))),1,0)</f>
        <v>#REF!</v>
      </c>
      <c r="AE110" t="e">
        <f>IF(AND(מלאי!D3&lt;&gt;"",OR(#REF!="הכל",מלאי!Z3=#REF!,מלאי!AA3=#REF!,מלאי!AB3=#REF!,מלאי!AC3=#REF!),OR(#REF!="הכל",מלאי!A3=#REF!),OR(#REF!="הכל",מלאי!B3=#REF!),OR(#REF!="הכל",מלאי!F3=#REF!,מלאי!G3=#REF!),OR(#REF!="הכל",מלאי!T3=#REF!),OR(#REF!="הכל",מלאי!Q3=#REF!),OR(#REF!="הכל",מלאי!J3=#REF!),OR(#REF!="הכל",מלאי!L3=#REF!),OR(#REF!="הכל",מלאי!O3=#REF!),OR(#REF!="הכל",מלאי!R3=#REF!),OR(#REF!="הכל",#REF!="",מלאי!W3=#REF!),OR(#REF!="הכל",#REF!="",ISNUMBER(SEARCH(#REF!,מלאי!C3))),OR(#REF!="הכל",מלאי!#REF!=#REF!)),1,0)</f>
        <v>#REF!</v>
      </c>
      <c r="AF110" t="e">
        <f>IF(AD110=1,COUNTIF($AD$3:$AD110,1),"")</f>
        <v>#REF!</v>
      </c>
      <c r="AG110" t="e">
        <f>IF(AE110=1,COUNTIF($AE$3:$AE110,1),"")</f>
        <v>#REF!</v>
      </c>
    </row>
    <row r="111" spans="1:33" ht="15" hidden="1" customHeight="1" x14ac:dyDescent="0.35">
      <c r="A111" s="5" t="s">
        <v>34</v>
      </c>
      <c r="B111" s="5" t="s">
        <v>35</v>
      </c>
      <c r="C111" s="5" t="s">
        <v>36</v>
      </c>
      <c r="D111" s="31" t="s">
        <v>248</v>
      </c>
      <c r="E111" s="5" t="str">
        <f>IFERROR(INDEX(הגדרות!$I$2:$I$47,MATCH(B111,הגדרות!$H$2:$H$47,0)),"")</f>
        <v>7031-01</v>
      </c>
      <c r="F111" s="5" t="s">
        <v>157</v>
      </c>
      <c r="G111" s="5"/>
      <c r="H111" s="5" t="s">
        <v>38</v>
      </c>
      <c r="I111" s="5" t="s">
        <v>39</v>
      </c>
      <c r="J111" s="5" t="s">
        <v>40</v>
      </c>
      <c r="K111" s="5" t="s">
        <v>40</v>
      </c>
      <c r="L111" s="5" t="s">
        <v>40</v>
      </c>
      <c r="M111" s="5" t="s">
        <v>40</v>
      </c>
      <c r="N111" s="5" t="s">
        <v>40</v>
      </c>
      <c r="O111" s="5" t="s">
        <v>2</v>
      </c>
      <c r="P111" s="5"/>
      <c r="Q111" s="5" t="s">
        <v>2</v>
      </c>
      <c r="R111" s="5"/>
      <c r="S111" s="5" t="s">
        <v>2</v>
      </c>
      <c r="T111" s="5" t="s">
        <v>41</v>
      </c>
      <c r="U111" s="5"/>
      <c r="V111" s="5"/>
      <c r="W111" s="5"/>
      <c r="X111" s="5"/>
      <c r="Y111" s="5"/>
      <c r="Z111" t="str">
        <f>IFERROR(INDEX(הגדרות!$B$2:$B$17,MATCH(H111,הגדרות!$A$2:$A$17,0)),"")</f>
        <v>מיוער</v>
      </c>
      <c r="AA111">
        <f>IFERROR(INDEX(הגדרות!$C$2:$C$17,MATCH(H111,הגדרות!$A$2:$A$17,0)),"")</f>
        <v>0</v>
      </c>
      <c r="AB111" t="str">
        <f>IFERROR(INDEX(הגדרות!$B$2:$B$17,MATCH(I111,הגדרות!$A$2:$A$17,0)),"")</f>
        <v>מדברי</v>
      </c>
      <c r="AC111">
        <f>IFERROR(INDEX(הגדרות!$C$2:$C$17,MATCH(I111,הגדרות!$A$2:$A$17,0)),"")</f>
        <v>0</v>
      </c>
      <c r="AD111" t="e">
        <f>IF(AND(מלאי!D4&lt;&gt;"",OR(#REF!="הכל",מלאי!Z4=#REF!,מלאי!AA4=#REF!,מלאי!AB4=#REF!,מלאי!AC4=#REF!),OR(#REF!="הכל",מלאי!A4=#REF!),OR(#REF!="הכל",מלאי!B4=#REF!),OR(#REF!="הכל",מלאי!F4=#REF!,מלאי!G4=#REF!),OR(#REF!="הכל",מלאי!T4=#REF!),OR(#REF!="הכל",מלאי!Q4=#REF!),OR(#REF!="הכל",מלאי!J4=#REF!),OR(#REF!="הכל",מלאי!L4=#REF!),OR(#REF!="הכל",מלאי!O4=#REF!),OR(#REF!="הכל",מלאי!R4=#REF!),OR(#REF!="הכל",#REF!="",מלאי!W4=#REF!),OR(#REF!="הכל",#REF!="",ISNUMBER(SEARCH(#REF!,מלאי!C4)))),1,0)</f>
        <v>#REF!</v>
      </c>
      <c r="AE111" t="e">
        <f>IF(AND(מלאי!D4&lt;&gt;"",OR(#REF!="הכל",מלאי!Z4=#REF!,מלאי!AA4=#REF!,מלאי!AB4=#REF!,מלאי!AC4=#REF!),OR(#REF!="הכל",מלאי!A4=#REF!),OR(#REF!="הכל",מלאי!B4=#REF!),OR(#REF!="הכל",מלאי!F4=#REF!,מלאי!G4=#REF!),OR(#REF!="הכל",מלאי!T4=#REF!),OR(#REF!="הכל",מלאי!Q4=#REF!),OR(#REF!="הכל",מלאי!J4=#REF!),OR(#REF!="הכל",מלאי!L4=#REF!),OR(#REF!="הכל",מלאי!O4=#REF!),OR(#REF!="הכל",מלאי!R4=#REF!),OR(#REF!="הכל",#REF!="",מלאי!W4=#REF!),OR(#REF!="הכל",#REF!="",ISNUMBER(SEARCH(#REF!,מלאי!C4))),OR(#REF!="הכל",מלאי!#REF!=#REF!)),1,0)</f>
        <v>#REF!</v>
      </c>
      <c r="AF111" t="e">
        <f>IF(AD111=1,COUNTIF($AD$3:$AD111,1),"")</f>
        <v>#REF!</v>
      </c>
      <c r="AG111" t="e">
        <f>IF(AE111=1,COUNTIF($AE$3:$AE111,1),"")</f>
        <v>#REF!</v>
      </c>
    </row>
    <row r="112" spans="1:33" ht="15" hidden="1" customHeight="1" x14ac:dyDescent="0.35">
      <c r="A112" s="4" t="s">
        <v>34</v>
      </c>
      <c r="B112" s="30" t="s">
        <v>35</v>
      </c>
      <c r="C112" s="4" t="s">
        <v>36</v>
      </c>
      <c r="D112" s="4" t="s">
        <v>249</v>
      </c>
      <c r="E112" s="4" t="str">
        <f>IFERROR(INDEX(הגדרות!$I$2:$I$47,MATCH(B112,הגדרות!$H$2:$H$47,0)),"")</f>
        <v>7031-01</v>
      </c>
      <c r="F112" s="4" t="s">
        <v>81</v>
      </c>
      <c r="G112" s="4"/>
      <c r="H112" s="4" t="s">
        <v>38</v>
      </c>
      <c r="I112" s="4" t="s">
        <v>39</v>
      </c>
      <c r="J112" s="4" t="s">
        <v>40</v>
      </c>
      <c r="K112" s="4" t="s">
        <v>40</v>
      </c>
      <c r="L112" s="4" t="s">
        <v>40</v>
      </c>
      <c r="M112" s="4" t="s">
        <v>40</v>
      </c>
      <c r="N112" s="5" t="s">
        <v>40</v>
      </c>
      <c r="O112" s="4" t="s">
        <v>2</v>
      </c>
      <c r="P112" s="4"/>
      <c r="Q112" s="4" t="s">
        <v>2</v>
      </c>
      <c r="R112" s="4"/>
      <c r="S112" s="4" t="s">
        <v>2</v>
      </c>
      <c r="T112" s="4" t="s">
        <v>41</v>
      </c>
      <c r="U112" s="4"/>
      <c r="V112" s="4"/>
      <c r="W112" s="4"/>
      <c r="X112" s="4"/>
      <c r="Y112" s="4"/>
      <c r="Z112" t="str">
        <f>IFERROR(INDEX(הגדרות!$B$2:$B$17,MATCH(H112,הגדרות!$A$2:$A$17,0)),"")</f>
        <v>מיוער</v>
      </c>
      <c r="AA112">
        <f>IFERROR(INDEX(הגדרות!$C$2:$C$17,MATCH(H112,הגדרות!$A$2:$A$17,0)),"")</f>
        <v>0</v>
      </c>
      <c r="AB112" t="str">
        <f>IFERROR(INDEX(הגדרות!$B$2:$B$17,MATCH(I112,הגדרות!$A$2:$A$17,0)),"")</f>
        <v>מדברי</v>
      </c>
      <c r="AC112">
        <f>IFERROR(INDEX(הגדרות!$C$2:$C$17,MATCH(I112,הגדרות!$A$2:$A$17,0)),"")</f>
        <v>0</v>
      </c>
      <c r="AD112" t="e">
        <f>IF(AND(מלאי!D5&lt;&gt;"",OR(#REF!="הכל",מלאי!Z5=#REF!,מלאי!AA5=#REF!,מלאי!AB5=#REF!,מלאי!AC5=#REF!),OR(#REF!="הכל",מלאי!A5=#REF!),OR(#REF!="הכל",מלאי!B5=#REF!),OR(#REF!="הכל",מלאי!F5=#REF!,מלאי!G5=#REF!),OR(#REF!="הכל",מלאי!T5=#REF!),OR(#REF!="הכל",מלאי!Q5=#REF!),OR(#REF!="הכל",מלאי!J5=#REF!),OR(#REF!="הכל",מלאי!L5=#REF!),OR(#REF!="הכל",מלאי!O5=#REF!),OR(#REF!="הכל",מלאי!R5=#REF!),OR(#REF!="הכל",#REF!="",מלאי!W5=#REF!),OR(#REF!="הכל",#REF!="",ISNUMBER(SEARCH(#REF!,מלאי!C5)))),1,0)</f>
        <v>#REF!</v>
      </c>
      <c r="AE112" t="e">
        <f>IF(AND(מלאי!D5&lt;&gt;"",OR(#REF!="הכל",מלאי!Z5=#REF!,מלאי!AA5=#REF!,מלאי!AB5=#REF!,מלאי!AC5=#REF!),OR(#REF!="הכל",מלאי!A5=#REF!),OR(#REF!="הכל",מלאי!B5=#REF!),OR(#REF!="הכל",מלאי!F5=#REF!,מלאי!G5=#REF!),OR(#REF!="הכל",מלאי!T5=#REF!),OR(#REF!="הכל",מלאי!Q5=#REF!),OR(#REF!="הכל",מלאי!J5=#REF!),OR(#REF!="הכל",מלאי!L5=#REF!),OR(#REF!="הכל",מלאי!O5=#REF!),OR(#REF!="הכל",מלאי!R5=#REF!),OR(#REF!="הכל",#REF!="",מלאי!W5=#REF!),OR(#REF!="הכל",#REF!="",ISNUMBER(SEARCH(#REF!,מלאי!C5))),OR(#REF!="הכל",מלאי!#REF!=#REF!)),1,0)</f>
        <v>#REF!</v>
      </c>
      <c r="AF112" t="e">
        <f>IF(AD112=1,COUNTIF($AD$3:$AD112,1),"")</f>
        <v>#REF!</v>
      </c>
      <c r="AG112" t="e">
        <f>IF(AE112=1,COUNTIF($AE$3:$AE112,1),"")</f>
        <v>#REF!</v>
      </c>
    </row>
    <row r="113" spans="1:33" ht="15" hidden="1" customHeight="1" x14ac:dyDescent="0.35">
      <c r="A113" s="5" t="s">
        <v>34</v>
      </c>
      <c r="B113" s="5" t="s">
        <v>35</v>
      </c>
      <c r="C113" s="5" t="s">
        <v>36</v>
      </c>
      <c r="D113" s="5" t="s">
        <v>244</v>
      </c>
      <c r="E113" s="5" t="str">
        <f>IFERROR(INDEX(הגדרות!$I$2:$I$47,MATCH(B113,הגדרות!$H$2:$H$47,0)),"")</f>
        <v>7031-01</v>
      </c>
      <c r="F113" s="5" t="s">
        <v>37</v>
      </c>
      <c r="G113" s="5"/>
      <c r="H113" s="5" t="s">
        <v>38</v>
      </c>
      <c r="I113" s="5" t="s">
        <v>39</v>
      </c>
      <c r="J113" s="5" t="s">
        <v>40</v>
      </c>
      <c r="K113" s="5" t="s">
        <v>40</v>
      </c>
      <c r="L113" s="5" t="s">
        <v>40</v>
      </c>
      <c r="M113" s="5" t="s">
        <v>40</v>
      </c>
      <c r="N113" s="5" t="s">
        <v>40</v>
      </c>
      <c r="O113" s="5" t="s">
        <v>2</v>
      </c>
      <c r="P113" s="5"/>
      <c r="Q113" s="5" t="s">
        <v>2</v>
      </c>
      <c r="R113" s="5"/>
      <c r="S113" s="5" t="s">
        <v>2</v>
      </c>
      <c r="T113" s="5" t="s">
        <v>41</v>
      </c>
      <c r="U113" s="5"/>
      <c r="V113" s="5"/>
      <c r="W113" s="5"/>
      <c r="X113" s="5"/>
      <c r="Y113" s="5"/>
      <c r="Z113" t="str">
        <f>IFERROR(INDEX(הגדרות!$B$2:$B$17,MATCH(H113,הגדרות!$A$2:$A$17,0)),"")</f>
        <v>מיוער</v>
      </c>
      <c r="AA113">
        <f>IFERROR(INDEX(הגדרות!$C$2:$C$17,MATCH(H113,הגדרות!$A$2:$A$17,0)),"")</f>
        <v>0</v>
      </c>
      <c r="AB113" t="str">
        <f>IFERROR(INDEX(הגדרות!$B$2:$B$17,MATCH(I113,הגדרות!$A$2:$A$17,0)),"")</f>
        <v>מדברי</v>
      </c>
      <c r="AC113">
        <f>IFERROR(INDEX(הגדרות!$C$2:$C$17,MATCH(I113,הגדרות!$A$2:$A$17,0)),"")</f>
        <v>0</v>
      </c>
      <c r="AD113" t="e">
        <f>IF(AND(מלאי!D6&lt;&gt;"",OR(#REF!="הכל",מלאי!Z6=#REF!,מלאי!AA6=#REF!,מלאי!AB6=#REF!,מלאי!AC6=#REF!),OR(#REF!="הכל",מלאי!A6=#REF!),OR(#REF!="הכל",מלאי!B6=#REF!),OR(#REF!="הכל",מלאי!F6=#REF!,מלאי!G6=#REF!),OR(#REF!="הכל",מלאי!T6=#REF!),OR(#REF!="הכל",מלאי!Q6=#REF!),OR(#REF!="הכל",מלאי!J6=#REF!),OR(#REF!="הכל",מלאי!L6=#REF!),OR(#REF!="הכל",מלאי!O6=#REF!),OR(#REF!="הכל",מלאי!R6=#REF!),OR(#REF!="הכל",#REF!="",מלאי!W6=#REF!),OR(#REF!="הכל",#REF!="",ISNUMBER(SEARCH(#REF!,מלאי!C6)))),1,0)</f>
        <v>#REF!</v>
      </c>
      <c r="AE113" t="e">
        <f>IF(AND(מלאי!D6&lt;&gt;"",OR(#REF!="הכל",מלאי!Z6=#REF!,מלאי!AA6=#REF!,מלאי!AB6=#REF!,מלאי!AC6=#REF!),OR(#REF!="הכל",מלאי!A6=#REF!),OR(#REF!="הכל",מלאי!B6=#REF!),OR(#REF!="הכל",מלאי!F6=#REF!,מלאי!G6=#REF!),OR(#REF!="הכל",מלאי!T6=#REF!),OR(#REF!="הכל",מלאי!Q6=#REF!),OR(#REF!="הכל",מלאי!J6=#REF!),OR(#REF!="הכל",מלאי!L6=#REF!),OR(#REF!="הכל",מלאי!O6=#REF!),OR(#REF!="הכל",מלאי!R6=#REF!),OR(#REF!="הכל",#REF!="",מלאי!W6=#REF!),OR(#REF!="הכל",#REF!="",ISNUMBER(SEARCH(#REF!,מלאי!C6))),OR(#REF!="הכל",מלאי!#REF!=#REF!)),1,0)</f>
        <v>#REF!</v>
      </c>
      <c r="AF113" t="e">
        <f>IF(AD113=1,COUNTIF($AD$3:$AD113,1),"")</f>
        <v>#REF!</v>
      </c>
      <c r="AG113" t="e">
        <f>IF(AE113=1,COUNTIF($AE$3:$AE113,1),"")</f>
        <v>#REF!</v>
      </c>
    </row>
    <row r="114" spans="1:33" ht="15" hidden="1" customHeight="1" x14ac:dyDescent="0.35">
      <c r="A114" s="4" t="s">
        <v>34</v>
      </c>
      <c r="B114" s="4" t="s">
        <v>35</v>
      </c>
      <c r="C114" s="4" t="s">
        <v>36</v>
      </c>
      <c r="D114" s="4" t="s">
        <v>245</v>
      </c>
      <c r="E114" s="4" t="str">
        <f>IFERROR(INDEX(הגדרות!$I$2:$I$47,MATCH(B114,הגדרות!$H$2:$H$47,0)),"")</f>
        <v>7031-01</v>
      </c>
      <c r="F114" s="4" t="s">
        <v>37</v>
      </c>
      <c r="G114" s="4"/>
      <c r="H114" s="30" t="s">
        <v>38</v>
      </c>
      <c r="I114" s="4" t="s">
        <v>39</v>
      </c>
      <c r="J114" s="4" t="s">
        <v>40</v>
      </c>
      <c r="K114" s="4" t="s">
        <v>40</v>
      </c>
      <c r="L114" s="4" t="s">
        <v>40</v>
      </c>
      <c r="M114" s="4" t="s">
        <v>40</v>
      </c>
      <c r="N114" s="5" t="s">
        <v>40</v>
      </c>
      <c r="O114" s="4" t="s">
        <v>2</v>
      </c>
      <c r="P114" s="4"/>
      <c r="Q114" s="4" t="s">
        <v>2</v>
      </c>
      <c r="R114" s="4"/>
      <c r="S114" s="4" t="s">
        <v>2</v>
      </c>
      <c r="T114" s="4" t="s">
        <v>42</v>
      </c>
      <c r="U114" s="4"/>
      <c r="V114" s="4"/>
      <c r="W114" s="4"/>
      <c r="X114" s="4"/>
      <c r="Y114" s="4"/>
      <c r="Z114" t="str">
        <f>IFERROR(INDEX(הגדרות!$B$2:$B$17,MATCH(H114,הגדרות!$A$2:$A$17,0)),"")</f>
        <v>מיוער</v>
      </c>
      <c r="AA114">
        <f>IFERROR(INDEX(הגדרות!$C$2:$C$17,MATCH(H114,הגדרות!$A$2:$A$17,0)),"")</f>
        <v>0</v>
      </c>
      <c r="AB114" t="str">
        <f>IFERROR(INDEX(הגדרות!$B$2:$B$17,MATCH(I114,הגדרות!$A$2:$A$17,0)),"")</f>
        <v>מדברי</v>
      </c>
      <c r="AC114">
        <f>IFERROR(INDEX(הגדרות!$C$2:$C$17,MATCH(I114,הגדרות!$A$2:$A$17,0)),"")</f>
        <v>0</v>
      </c>
      <c r="AD114" t="e">
        <f>IF(AND(מלאי!D7&lt;&gt;"",OR(#REF!="הכל",מלאי!Z7=#REF!,מלאי!AA7=#REF!,מלאי!AB7=#REF!,מלאי!AC7=#REF!),OR(#REF!="הכל",מלאי!A7=#REF!),OR(#REF!="הכל",מלאי!B7=#REF!),OR(#REF!="הכל",מלאי!F7=#REF!,מלאי!G7=#REF!),OR(#REF!="הכל",מלאי!T7=#REF!),OR(#REF!="הכל",מלאי!Q7=#REF!),OR(#REF!="הכל",מלאי!J7=#REF!),OR(#REF!="הכל",מלאי!L7=#REF!),OR(#REF!="הכל",מלאי!O7=#REF!),OR(#REF!="הכל",מלאי!R7=#REF!),OR(#REF!="הכל",#REF!="",מלאי!W7=#REF!),OR(#REF!="הכל",#REF!="",ISNUMBER(SEARCH(#REF!,מלאי!C7)))),1,0)</f>
        <v>#REF!</v>
      </c>
      <c r="AE114" t="e">
        <f>IF(AND(מלאי!D7&lt;&gt;"",OR(#REF!="הכל",מלאי!Z7=#REF!,מלאי!AA7=#REF!,מלאי!AB7=#REF!,מלאי!AC7=#REF!),OR(#REF!="הכל",מלאי!A7=#REF!),OR(#REF!="הכל",מלאי!B7=#REF!),OR(#REF!="הכל",מלאי!F7=#REF!,מלאי!G7=#REF!),OR(#REF!="הכל",מלאי!T7=#REF!),OR(#REF!="הכל",מלאי!Q7=#REF!),OR(#REF!="הכל",מלאי!J7=#REF!),OR(#REF!="הכל",מלאי!L7=#REF!),OR(#REF!="הכל",מלאי!O7=#REF!),OR(#REF!="הכל",מלאי!R7=#REF!),OR(#REF!="הכל",#REF!="",מלאי!W7=#REF!),OR(#REF!="הכל",#REF!="",ISNUMBER(SEARCH(#REF!,מלאי!C7))),OR(#REF!="הכל",מלאי!#REF!=#REF!)),1,0)</f>
        <v>#REF!</v>
      </c>
      <c r="AF114" t="e">
        <f>IF(AD114=1,COUNTIF($AD$3:$AD114,1),"")</f>
        <v>#REF!</v>
      </c>
      <c r="AG114" t="e">
        <f>IF(AE114=1,COUNTIF($AE$3:$AE114,1),"")</f>
        <v>#REF!</v>
      </c>
    </row>
    <row r="115" spans="1:33" ht="15" hidden="1" customHeight="1" x14ac:dyDescent="0.35">
      <c r="A115" s="5" t="s">
        <v>34</v>
      </c>
      <c r="B115" s="5" t="s">
        <v>35</v>
      </c>
      <c r="C115" s="5" t="s">
        <v>43</v>
      </c>
      <c r="D115" s="5" t="s">
        <v>246</v>
      </c>
      <c r="E115" s="5" t="str">
        <f>IFERROR(INDEX(הגדרות!$I$2:$I$47,MATCH(B115,הגדרות!$H$2:$H$47,0)),"")</f>
        <v>7031-01</v>
      </c>
      <c r="F115" s="5" t="s">
        <v>37</v>
      </c>
      <c r="G115" s="5"/>
      <c r="H115" s="5" t="s">
        <v>83</v>
      </c>
      <c r="I115" s="31" t="s">
        <v>72</v>
      </c>
      <c r="J115" s="5" t="s">
        <v>40</v>
      </c>
      <c r="K115" s="5" t="s">
        <v>40</v>
      </c>
      <c r="L115" s="5" t="s">
        <v>40</v>
      </c>
      <c r="M115" s="5" t="s">
        <v>40</v>
      </c>
      <c r="N115" s="5" t="s">
        <v>40</v>
      </c>
      <c r="O115" s="5" t="s">
        <v>2</v>
      </c>
      <c r="P115" s="5"/>
      <c r="Q115" s="5" t="s">
        <v>2</v>
      </c>
      <c r="R115" s="5"/>
      <c r="S115" s="5" t="s">
        <v>2</v>
      </c>
      <c r="T115" s="5" t="s">
        <v>41</v>
      </c>
      <c r="U115" s="5"/>
      <c r="V115" s="5"/>
      <c r="W115" s="5"/>
      <c r="X115" s="5"/>
      <c r="Y115" s="5"/>
      <c r="Z115" t="str">
        <f>IFERROR(INDEX(הגדרות!$B$2:$B$17,MATCH(H115,הגדרות!$A$2:$A$17,0)),"")</f>
        <v>מיוער</v>
      </c>
      <c r="AA115">
        <f>IFERROR(INDEX(הגדרות!$C$2:$C$17,MATCH(H115,הגדרות!$A$2:$A$17,0)),"")</f>
        <v>0</v>
      </c>
      <c r="AB115" t="str">
        <f>IFERROR(INDEX(הגדרות!$B$2:$B$17,MATCH(I115,הגדרות!$A$2:$A$17,0)),"")</f>
        <v>מיוער</v>
      </c>
      <c r="AC115">
        <f>IFERROR(INDEX(הגדרות!$C$2:$C$17,MATCH(I115,הגדרות!$A$2:$A$17,0)),"")</f>
        <v>0</v>
      </c>
      <c r="AD115" t="e">
        <f>IF(AND(מלאי!D8&lt;&gt;"",OR(#REF!="הכל",מלאי!Z8=#REF!,מלאי!AA8=#REF!,מלאי!AB8=#REF!,מלאי!AC8=#REF!),OR(#REF!="הכל",מלאי!A8=#REF!),OR(#REF!="הכל",מלאי!B8=#REF!),OR(#REF!="הכל",מלאי!F8=#REF!,מלאי!G8=#REF!),OR(#REF!="הכל",מלאי!T8=#REF!),OR(#REF!="הכל",מלאי!Q8=#REF!),OR(#REF!="הכל",מלאי!J8=#REF!),OR(#REF!="הכל",מלאי!L8=#REF!),OR(#REF!="הכל",מלאי!O8=#REF!),OR(#REF!="הכל",מלאי!R8=#REF!),OR(#REF!="הכל",#REF!="",מלאי!W8=#REF!),OR(#REF!="הכל",#REF!="",ISNUMBER(SEARCH(#REF!,מלאי!C8)))),1,0)</f>
        <v>#REF!</v>
      </c>
      <c r="AE115" t="e">
        <f>IF(AND(מלאי!D8&lt;&gt;"",OR(#REF!="הכל",מלאי!Z8=#REF!,מלאי!AA8=#REF!,מלאי!AB8=#REF!,מלאי!AC8=#REF!),OR(#REF!="הכל",מלאי!A8=#REF!),OR(#REF!="הכל",מלאי!B8=#REF!),OR(#REF!="הכל",מלאי!F8=#REF!,מלאי!G8=#REF!),OR(#REF!="הכל",מלאי!T8=#REF!),OR(#REF!="הכל",מלאי!Q8=#REF!),OR(#REF!="הכל",מלאי!J8=#REF!),OR(#REF!="הכל",מלאי!L8=#REF!),OR(#REF!="הכל",מלאי!O8=#REF!),OR(#REF!="הכל",מלאי!R8=#REF!),OR(#REF!="הכל",#REF!="",מלאי!W8=#REF!),OR(#REF!="הכל",#REF!="",ISNUMBER(SEARCH(#REF!,מלאי!C8))),OR(#REF!="הכל",מלאי!#REF!=#REF!)),1,0)</f>
        <v>#REF!</v>
      </c>
      <c r="AF115" t="e">
        <f>IF(AD115=1,COUNTIF($AD$3:$AD115,1),"")</f>
        <v>#REF!</v>
      </c>
      <c r="AG115" t="e">
        <f>IF(AE115=1,COUNTIF($AE$3:$AE115,1),"")</f>
        <v>#REF!</v>
      </c>
    </row>
    <row r="116" spans="1:33" ht="31.5" hidden="1" customHeight="1" x14ac:dyDescent="0.35">
      <c r="A116" s="4" t="s">
        <v>34</v>
      </c>
      <c r="B116" s="30" t="s">
        <v>35</v>
      </c>
      <c r="C116" s="4" t="s">
        <v>43</v>
      </c>
      <c r="D116" s="4" t="s">
        <v>250</v>
      </c>
      <c r="E116" s="4" t="str">
        <f>IFERROR(INDEX(הגדרות!$I$2:$I$47,MATCH(B116,הגדרות!$H$2:$H$47,0)),"")</f>
        <v>7031-01</v>
      </c>
      <c r="F116" s="4" t="s">
        <v>37</v>
      </c>
      <c r="G116" s="4"/>
      <c r="H116" s="30" t="s">
        <v>83</v>
      </c>
      <c r="I116" s="30" t="s">
        <v>72</v>
      </c>
      <c r="J116" s="4" t="s">
        <v>40</v>
      </c>
      <c r="K116" s="4" t="s">
        <v>40</v>
      </c>
      <c r="L116" s="4" t="s">
        <v>40</v>
      </c>
      <c r="M116" s="4" t="s">
        <v>40</v>
      </c>
      <c r="N116" s="4" t="s">
        <v>40</v>
      </c>
      <c r="O116" s="4" t="s">
        <v>2</v>
      </c>
      <c r="P116" s="4"/>
      <c r="Q116" s="4" t="s">
        <v>2</v>
      </c>
      <c r="R116" s="4"/>
      <c r="S116" s="4" t="s">
        <v>2</v>
      </c>
      <c r="T116" s="4" t="s">
        <v>42</v>
      </c>
      <c r="U116" s="4"/>
      <c r="V116" s="4"/>
      <c r="W116" s="4"/>
      <c r="X116" s="4"/>
      <c r="Y116" s="4"/>
      <c r="Z116" t="str">
        <f>IFERROR(INDEX(הגדרות!$B$2:$B$17,MATCH(H116,הגדרות!$A$2:$A$17,0)),"")</f>
        <v>מיוער</v>
      </c>
      <c r="AA116">
        <f>IFERROR(INDEX(הגדרות!$C$2:$C$17,MATCH(H116,הגדרות!$A$2:$A$17,0)),"")</f>
        <v>0</v>
      </c>
      <c r="AB116" t="str">
        <f>IFERROR(INDEX(הגדרות!$B$2:$B$17,MATCH(I116,הגדרות!$A$2:$A$17,0)),"")</f>
        <v>מיוער</v>
      </c>
      <c r="AC116">
        <f>IFERROR(INDEX(הגדרות!$C$2:$C$17,MATCH(I116,הגדרות!$A$2:$A$17,0)),"")</f>
        <v>0</v>
      </c>
      <c r="AD116" t="e">
        <f>IF(AND(מלאי!D9&lt;&gt;"",OR(#REF!="הכל",מלאי!Z9=#REF!,מלאי!AA9=#REF!,מלאי!AB9=#REF!,מלאי!AC9=#REF!),OR(#REF!="הכל",מלאי!A9=#REF!),OR(#REF!="הכל",מלאי!B9=#REF!),OR(#REF!="הכל",מלאי!F9=#REF!,מלאי!G9=#REF!),OR(#REF!="הכל",מלאי!T9=#REF!),OR(#REF!="הכל",מלאי!Q9=#REF!),OR(#REF!="הכל",מלאי!J9=#REF!),OR(#REF!="הכל",מלאי!L9=#REF!),OR(#REF!="הכל",מלאי!O9=#REF!),OR(#REF!="הכל",מלאי!R9=#REF!),OR(#REF!="הכל",#REF!="",מלאי!W9=#REF!),OR(#REF!="הכל",#REF!="",ISNUMBER(SEARCH(#REF!,מלאי!C9)))),1,0)</f>
        <v>#REF!</v>
      </c>
      <c r="AE116" t="e">
        <f>IF(AND(מלאי!D9&lt;&gt;"",OR(#REF!="הכל",מלאי!Z9=#REF!,מלאי!AA9=#REF!,מלאי!AB9=#REF!,מלאי!AC9=#REF!),OR(#REF!="הכל",מלאי!A9=#REF!),OR(#REF!="הכל",מלאי!B9=#REF!),OR(#REF!="הכל",מלאי!F9=#REF!,מלאי!G9=#REF!),OR(#REF!="הכל",מלאי!T9=#REF!),OR(#REF!="הכל",מלאי!Q9=#REF!),OR(#REF!="הכל",מלאי!J9=#REF!),OR(#REF!="הכל",מלאי!L9=#REF!),OR(#REF!="הכל",מלאי!O9=#REF!),OR(#REF!="הכל",מלאי!R9=#REF!),OR(#REF!="הכל",#REF!="",מלאי!W9=#REF!),OR(#REF!="הכל",#REF!="",ISNUMBER(SEARCH(#REF!,מלאי!C9))),OR(#REF!="הכל",מלאי!#REF!=#REF!)),1,0)</f>
        <v>#REF!</v>
      </c>
      <c r="AF116" t="e">
        <f>IF(AD116=1,COUNTIF($AD$3:$AD116,1),"")</f>
        <v>#REF!</v>
      </c>
      <c r="AG116" t="e">
        <f>IF(AE116=1,COUNTIF($AE$3:$AE116,1),"")</f>
        <v>#REF!</v>
      </c>
    </row>
    <row r="117" spans="1:33" ht="15" hidden="1" customHeight="1" x14ac:dyDescent="0.35">
      <c r="A117" s="5" t="s">
        <v>34</v>
      </c>
      <c r="B117" s="5" t="s">
        <v>35</v>
      </c>
      <c r="C117" s="5" t="s">
        <v>85</v>
      </c>
      <c r="D117" s="5" t="s">
        <v>251</v>
      </c>
      <c r="E117" s="5" t="str">
        <f>IFERROR(INDEX(הגדרות!$I$2:$I$47,MATCH(B117,הגדרות!$H$2:$H$47,0)),"")</f>
        <v>7031-01</v>
      </c>
      <c r="F117" s="5" t="s">
        <v>37</v>
      </c>
      <c r="G117" s="5" t="s">
        <v>77</v>
      </c>
      <c r="H117" s="5" t="s">
        <v>83</v>
      </c>
      <c r="I117" s="5" t="s">
        <v>72</v>
      </c>
      <c r="J117" s="5" t="s">
        <v>40</v>
      </c>
      <c r="K117" s="5" t="s">
        <v>40</v>
      </c>
      <c r="L117" s="5" t="s">
        <v>40</v>
      </c>
      <c r="M117" s="5" t="s">
        <v>40</v>
      </c>
      <c r="N117" s="5"/>
      <c r="O117" s="5" t="s">
        <v>2</v>
      </c>
      <c r="P117" s="5"/>
      <c r="Q117" s="5" t="s">
        <v>40</v>
      </c>
      <c r="R117" s="5"/>
      <c r="S117" s="5" t="s">
        <v>2</v>
      </c>
      <c r="T117" s="5" t="s">
        <v>41</v>
      </c>
      <c r="U117" s="5"/>
      <c r="V117" s="5"/>
      <c r="W117" s="5"/>
      <c r="X117" s="5"/>
      <c r="Y117" s="5"/>
      <c r="Z117" t="str">
        <f>IFERROR(INDEX(הגדרות!$B$2:$B$17,MATCH(H117,הגדרות!$A$2:$A$17,0)),"")</f>
        <v>מיוער</v>
      </c>
      <c r="AA117">
        <f>IFERROR(INDEX(הגדרות!$C$2:$C$17,MATCH(H117,הגדרות!$A$2:$A$17,0)),"")</f>
        <v>0</v>
      </c>
      <c r="AB117" t="str">
        <f>IFERROR(INDEX(הגדרות!$B$2:$B$17,MATCH(I117,הגדרות!$A$2:$A$17,0)),"")</f>
        <v>מיוער</v>
      </c>
      <c r="AC117">
        <f>IFERROR(INDEX(הגדרות!$C$2:$C$17,MATCH(I117,הגדרות!$A$2:$A$17,0)),"")</f>
        <v>0</v>
      </c>
      <c r="AD117" t="e">
        <f>IF(AND(מלאי!D57&lt;&gt;"",OR(#REF!="הכל",מלאי!Z57=#REF!,מלאי!AA57=#REF!,מלאי!AB57=#REF!,מלאי!AC57=#REF!),OR(#REF!="הכל",מלאי!A57=#REF!),OR(#REF!="הכל",מלאי!B57=#REF!),OR(#REF!="הכל",מלאי!F57=#REF!,מלאי!G57=#REF!),OR(#REF!="הכל",מלאי!T57=#REF!),OR(#REF!="הכל",מלאי!Q57=#REF!),OR(#REF!="הכל",מלאי!J57=#REF!),OR(#REF!="הכל",מלאי!L57=#REF!),OR(#REF!="הכל",מלאי!O57=#REF!),OR(#REF!="הכל",מלאי!R57=#REF!),OR(#REF!="הכל",#REF!="",מלאי!W57=#REF!),OR(#REF!="הכל",#REF!="",ISNUMBER(SEARCH(#REF!,מלאי!C57)))),1,0)</f>
        <v>#REF!</v>
      </c>
      <c r="AE117" t="e">
        <f>IF(AND(מלאי!D57&lt;&gt;"",OR(#REF!="הכל",מלאי!Z57=#REF!,מלאי!AA57=#REF!,מלאי!AB57=#REF!,מלאי!AC57=#REF!),OR(#REF!="הכל",מלאי!A57=#REF!),OR(#REF!="הכל",מלאי!B57=#REF!),OR(#REF!="הכל",מלאי!F57=#REF!,מלאי!G57=#REF!),OR(#REF!="הכל",מלאי!T57=#REF!),OR(#REF!="הכל",מלאי!Q57=#REF!),OR(#REF!="הכל",מלאי!J57=#REF!),OR(#REF!="הכל",מלאי!L57=#REF!),OR(#REF!="הכל",מלאי!O57=#REF!),OR(#REF!="הכל",מלאי!R57=#REF!),OR(#REF!="הכל",#REF!="",מלאי!W57=#REF!),OR(#REF!="הכל",#REF!="",ISNUMBER(SEARCH(#REF!,מלאי!C57))),OR(#REF!="הכל",מלאי!#REF!=#REF!)),1,0)</f>
        <v>#REF!</v>
      </c>
      <c r="AF117" t="e">
        <f>IF(AD117=1,COUNTIF($AD$3:$AD117,1),"")</f>
        <v>#REF!</v>
      </c>
      <c r="AG117" t="e">
        <f>IF(AE117=1,COUNTIF($AE$3:$AE117,1),"")</f>
        <v>#REF!</v>
      </c>
    </row>
    <row r="118" spans="1:33" ht="15" hidden="1" customHeight="1" x14ac:dyDescent="0.35">
      <c r="A118" s="5" t="s">
        <v>34</v>
      </c>
      <c r="B118" s="5" t="s">
        <v>35</v>
      </c>
      <c r="C118" s="11" t="s">
        <v>43</v>
      </c>
      <c r="D118" s="11" t="s">
        <v>252</v>
      </c>
      <c r="E118" s="5" t="str">
        <f>IFERROR(INDEX(הגדרות!$I$2:$I$47,MATCH(B118,הגדרות!$H$2:$H$47,0)),"")</f>
        <v>7031-01</v>
      </c>
      <c r="F118" s="5" t="s">
        <v>37</v>
      </c>
      <c r="G118" s="5"/>
      <c r="H118" s="5" t="s">
        <v>38</v>
      </c>
      <c r="I118" s="5" t="s">
        <v>39</v>
      </c>
      <c r="J118" s="4" t="s">
        <v>40</v>
      </c>
      <c r="K118" s="4" t="s">
        <v>40</v>
      </c>
      <c r="L118" s="4" t="s">
        <v>40</v>
      </c>
      <c r="M118" s="4" t="s">
        <v>40</v>
      </c>
      <c r="N118" s="5" t="s">
        <v>40</v>
      </c>
      <c r="O118" s="5" t="s">
        <v>40</v>
      </c>
      <c r="P118" s="5"/>
      <c r="Q118" s="5"/>
      <c r="R118" s="5"/>
      <c r="S118" s="5" t="s">
        <v>2</v>
      </c>
      <c r="T118" s="5" t="s">
        <v>41</v>
      </c>
      <c r="U118" s="5"/>
      <c r="V118" s="5"/>
      <c r="W118" s="5"/>
      <c r="X118" s="5"/>
      <c r="Y118" s="5"/>
      <c r="Z118" t="str">
        <f>IFERROR(INDEX(הגדרות!$B$2:$B$17,MATCH(H118,הגדרות!$A$2:$A$17,0)),"")</f>
        <v>מיוער</v>
      </c>
      <c r="AA118">
        <f>IFERROR(INDEX(הגדרות!$C$2:$C$17,MATCH(H118,הגדרות!$A$2:$A$17,0)),"")</f>
        <v>0</v>
      </c>
      <c r="AB118" t="str">
        <f>IFERROR(INDEX(הגדרות!$B$2:$B$17,MATCH(I118,הגדרות!$A$2:$A$17,0)),"")</f>
        <v>מדברי</v>
      </c>
      <c r="AC118">
        <f>IFERROR(INDEX(הגדרות!$C$2:$C$17,MATCH(I118,הגדרות!$A$2:$A$17,0)),"")</f>
        <v>0</v>
      </c>
      <c r="AD118" t="e">
        <f>IF(AND(מלאי!D89&lt;&gt;"",OR(#REF!="הכל",מלאי!Z89=#REF!,מלאי!AA89=#REF!,מלאי!AB89=#REF!,מלאי!AC89=#REF!),OR(#REF!="הכל",מלאי!A89=#REF!),OR(#REF!="הכל",מלאי!B89=#REF!),OR(#REF!="הכל",מלאי!F89=#REF!,מלאי!G89=#REF!),OR(#REF!="הכל",מלאי!T89=#REF!),OR(#REF!="הכל",מלאי!Q89=#REF!),OR(#REF!="הכל",מלאי!J89=#REF!),OR(#REF!="הכל",מלאי!L89=#REF!),OR(#REF!="הכל",מלאי!O89=#REF!),OR(#REF!="הכל",מלאי!R89=#REF!),OR(#REF!="הכל",#REF!="",מלאי!W89=#REF!),OR(#REF!="הכל",#REF!="",ISNUMBER(SEARCH(#REF!,מלאי!C89)))),1,0)</f>
        <v>#REF!</v>
      </c>
      <c r="AE118" t="e">
        <f>IF(AND(מלאי!D89&lt;&gt;"",OR(#REF!="הכל",מלאי!Z89=#REF!,מלאי!AA89=#REF!,מלאי!AB89=#REF!,מלאי!AC89=#REF!),OR(#REF!="הכל",מלאי!A89=#REF!),OR(#REF!="הכל",מלאי!B89=#REF!),OR(#REF!="הכל",מלאי!F89=#REF!,מלאי!G89=#REF!),OR(#REF!="הכל",מלאי!T89=#REF!),OR(#REF!="הכל",מלאי!Q89=#REF!),OR(#REF!="הכל",מלאי!J89=#REF!),OR(#REF!="הכל",מלאי!L89=#REF!),OR(#REF!="הכל",מלאי!O89=#REF!),OR(#REF!="הכל",מלאי!R89=#REF!),OR(#REF!="הכל",#REF!="",מלאי!W89=#REF!),OR(#REF!="הכל",#REF!="",ISNUMBER(SEARCH(#REF!,מלאי!C89))),OR(#REF!="הכל",מלאי!#REF!=#REF!)),1,0)</f>
        <v>#REF!</v>
      </c>
      <c r="AF118" t="e">
        <f>IF(AD118=1,COUNTIF($AD$3:$AD118,1),"")</f>
        <v>#REF!</v>
      </c>
      <c r="AG118" t="e">
        <f>IF(AE118=1,COUNTIF($AE$3:$AE118,1),"")</f>
        <v>#REF!</v>
      </c>
    </row>
    <row r="119" spans="1:33" ht="15" hidden="1" customHeight="1" x14ac:dyDescent="0.35">
      <c r="A119" s="4" t="s">
        <v>34</v>
      </c>
      <c r="B119" s="29" t="s">
        <v>35</v>
      </c>
      <c r="C119" s="4" t="s">
        <v>36</v>
      </c>
      <c r="D119" s="12" t="s">
        <v>341</v>
      </c>
      <c r="E119" s="4" t="str">
        <f>IFERROR(INDEX(הגדרות!$I$2:$I$47,MATCH(B119,הגדרות!$H$2:$H$47,0)),"")</f>
        <v>7031-01</v>
      </c>
      <c r="F119" s="4" t="s">
        <v>37</v>
      </c>
      <c r="G119" s="4"/>
      <c r="H119" s="4" t="s">
        <v>38</v>
      </c>
      <c r="I119" s="4" t="s">
        <v>39</v>
      </c>
      <c r="J119" s="4" t="s">
        <v>40</v>
      </c>
      <c r="K119" s="4" t="s">
        <v>40</v>
      </c>
      <c r="L119" s="4" t="s">
        <v>40</v>
      </c>
      <c r="M119" s="4" t="s">
        <v>40</v>
      </c>
      <c r="N119" s="5" t="s">
        <v>40</v>
      </c>
      <c r="O119" s="4" t="s">
        <v>2</v>
      </c>
      <c r="P119" s="4"/>
      <c r="Q119" s="4" t="s">
        <v>2</v>
      </c>
      <c r="R119" s="4"/>
      <c r="S119" s="4" t="s">
        <v>2</v>
      </c>
      <c r="T119" s="4" t="s">
        <v>41</v>
      </c>
      <c r="U119" s="4"/>
      <c r="V119" s="4"/>
      <c r="W119" s="4"/>
      <c r="X119" s="4"/>
      <c r="Y119" s="4"/>
      <c r="Z119" t="str">
        <f>IFERROR(INDEX(הגדרות!$B$2:$B$17,MATCH(H119,הגדרות!$A$2:$A$17,0)),"")</f>
        <v>מיוער</v>
      </c>
      <c r="AA119">
        <f>IFERROR(INDEX(הגדרות!$C$2:$C$17,MATCH(H119,הגדרות!$A$2:$A$17,0)),"")</f>
        <v>0</v>
      </c>
      <c r="AB119" t="str">
        <f>IFERROR(INDEX(הגדרות!$B$2:$B$17,MATCH(I119,הגדרות!$A$2:$A$17,0)),"")</f>
        <v>מדברי</v>
      </c>
      <c r="AC119">
        <f>IFERROR(INDEX(הגדרות!$C$2:$C$17,MATCH(I119,הגדרות!$A$2:$A$17,0)),"")</f>
        <v>0</v>
      </c>
      <c r="AD119" t="e">
        <f>IF(AND(מלאי!D124&lt;&gt;"",OR(#REF!="הכל",מלאי!Z124=#REF!,מלאי!AA124=#REF!,מלאי!AB124=#REF!,מלאי!AC124=#REF!),OR(#REF!="הכל",מלאי!A124=#REF!),OR(#REF!="הכל",מלאי!B124=#REF!),OR(#REF!="הכל",מלאי!F124=#REF!,מלאי!G124=#REF!),OR(#REF!="הכל",מלאי!T124=#REF!),OR(#REF!="הכל",מלאי!Q124=#REF!),OR(#REF!="הכל",מלאי!J124=#REF!),OR(#REF!="הכל",מלאי!L124=#REF!),OR(#REF!="הכל",מלאי!O124=#REF!),OR(#REF!="הכל",מלאי!R124=#REF!),OR(#REF!="הכל",#REF!="",מלאי!W124=#REF!),OR(#REF!="הכל",#REF!="",ISNUMBER(SEARCH(#REF!,מלאי!C124)))),1,0)</f>
        <v>#REF!</v>
      </c>
      <c r="AE119" t="e">
        <f>IF(AND(מלאי!D124&lt;&gt;"",OR(#REF!="הכל",מלאי!Z124=#REF!,מלאי!AA124=#REF!,מלאי!AB124=#REF!,מלאי!AC124=#REF!),OR(#REF!="הכל",מלאי!A124=#REF!),OR(#REF!="הכל",מלאי!B124=#REF!),OR(#REF!="הכל",מלאי!F124=#REF!,מלאי!G124=#REF!),OR(#REF!="הכל",מלאי!T124=#REF!),OR(#REF!="הכל",מלאי!Q124=#REF!),OR(#REF!="הכל",מלאי!J124=#REF!),OR(#REF!="הכל",מלאי!L124=#REF!),OR(#REF!="הכל",מלאי!O124=#REF!),OR(#REF!="הכל",מלאי!R124=#REF!),OR(#REF!="הכל",#REF!="",מלאי!W124=#REF!),OR(#REF!="הכל",#REF!="",ISNUMBER(SEARCH(#REF!,מלאי!C124))),OR(#REF!="הכל",מלאי!#REF!=#REF!)),1,0)</f>
        <v>#REF!</v>
      </c>
      <c r="AF119" t="e">
        <f>IF(AD119=1,COUNTIF($AD$3:$AD119,1),"")</f>
        <v>#REF!</v>
      </c>
      <c r="AG119" t="e">
        <f>IF(AE119=1,COUNTIF($AE$3:$AE119,1),"")</f>
        <v>#REF!</v>
      </c>
    </row>
    <row r="120" spans="1:33" ht="15" hidden="1" customHeight="1" x14ac:dyDescent="0.35">
      <c r="A120" s="5" t="s">
        <v>34</v>
      </c>
      <c r="B120" s="5" t="s">
        <v>62</v>
      </c>
      <c r="C120" s="5" t="s">
        <v>36</v>
      </c>
      <c r="D120" s="5" t="s">
        <v>275</v>
      </c>
      <c r="E120" s="5" t="str">
        <f>IFERROR(INDEX(הגדרות!$I$2:$I$47,MATCH(B120,הגדרות!$H$2:$H$47,0)),"")</f>
        <v>7018-00</v>
      </c>
      <c r="F120" s="5" t="s">
        <v>45</v>
      </c>
      <c r="G120" s="5"/>
      <c r="H120" s="5" t="s">
        <v>72</v>
      </c>
      <c r="I120" s="5"/>
      <c r="J120" s="5" t="s">
        <v>40</v>
      </c>
      <c r="K120" s="5"/>
      <c r="L120" s="5" t="s">
        <v>40</v>
      </c>
      <c r="M120" s="5"/>
      <c r="N120" s="5"/>
      <c r="O120" s="5" t="s">
        <v>40</v>
      </c>
      <c r="P120" s="5"/>
      <c r="Q120" s="5" t="s">
        <v>2</v>
      </c>
      <c r="R120" s="5"/>
      <c r="S120" s="5" t="s">
        <v>2</v>
      </c>
      <c r="T120" s="5" t="s">
        <v>41</v>
      </c>
      <c r="U120" s="5"/>
      <c r="V120" s="5"/>
      <c r="W120" s="5"/>
      <c r="X120" s="5"/>
      <c r="Y120" s="5"/>
      <c r="Z120" t="str">
        <f>IFERROR(INDEX(הגדרות!$B$2:$B$17,MATCH(H120,הגדרות!$A$2:$A$17,0)),"")</f>
        <v>מיוער</v>
      </c>
      <c r="AA120">
        <f>IFERROR(INDEX(הגדרות!$C$2:$C$17,MATCH(H120,הגדרות!$A$2:$A$17,0)),"")</f>
        <v>0</v>
      </c>
      <c r="AB120" t="str">
        <f>IFERROR(INDEX(הגדרות!$B$2:$B$17,MATCH(I120,הגדרות!$A$2:$A$17,0)),"")</f>
        <v/>
      </c>
      <c r="AC120" t="str">
        <f>IFERROR(INDEX(הגדרות!$C$2:$C$17,MATCH(I120,הגדרות!$A$2:$A$17,0)),"")</f>
        <v/>
      </c>
      <c r="AD120" t="e">
        <f>IF(AND(מלאי!D37&lt;&gt;"",OR(#REF!="הכל",מלאי!Z37=#REF!,מלאי!AA37=#REF!,מלאי!AB37=#REF!,מלאי!AC37=#REF!),OR(#REF!="הכל",מלאי!A37=#REF!),OR(#REF!="הכל",מלאי!B37=#REF!),OR(#REF!="הכל",מלאי!F37=#REF!,מלאי!G37=#REF!),OR(#REF!="הכל",מלאי!T37=#REF!),OR(#REF!="הכל",מלאי!Q37=#REF!),OR(#REF!="הכל",מלאי!J37=#REF!),OR(#REF!="הכל",מלאי!L37=#REF!),OR(#REF!="הכל",מלאי!O37=#REF!),OR(#REF!="הכל",מלאי!R37=#REF!),OR(#REF!="הכל",#REF!="",מלאי!W37=#REF!),OR(#REF!="הכל",#REF!="",ISNUMBER(SEARCH(#REF!,מלאי!C37)))),1,0)</f>
        <v>#REF!</v>
      </c>
      <c r="AE120" t="e">
        <f>IF(AND(מלאי!D37&lt;&gt;"",OR(#REF!="הכל",מלאי!Z37=#REF!,מלאי!AA37=#REF!,מלאי!AB37=#REF!,מלאי!AC37=#REF!),OR(#REF!="הכל",מלאי!A37=#REF!),OR(#REF!="הכל",מלאי!B37=#REF!),OR(#REF!="הכל",מלאי!F37=#REF!,מלאי!G37=#REF!),OR(#REF!="הכל",מלאי!T37=#REF!),OR(#REF!="הכל",מלאי!Q37=#REF!),OR(#REF!="הכל",מלאי!J37=#REF!),OR(#REF!="הכל",מלאי!L37=#REF!),OR(#REF!="הכל",מלאי!O37=#REF!),OR(#REF!="הכל",מלאי!R37=#REF!),OR(#REF!="הכל",#REF!="",מלאי!W37=#REF!),OR(#REF!="הכל",#REF!="",ISNUMBER(SEARCH(#REF!,מלאי!C37))),OR(#REF!="הכל",מלאי!#REF!=#REF!)),1,0)</f>
        <v>#REF!</v>
      </c>
      <c r="AF120" t="e">
        <f>IF(AD120=1,COUNTIF($AD$3:$AD120,1),"")</f>
        <v>#REF!</v>
      </c>
      <c r="AG120" t="e">
        <f>IF(AE120=1,COUNTIF($AE$3:$AE120,1),"")</f>
        <v>#REF!</v>
      </c>
    </row>
    <row r="121" spans="1:33" ht="15" hidden="1" customHeight="1" x14ac:dyDescent="0.35">
      <c r="A121" s="5" t="s">
        <v>34</v>
      </c>
      <c r="B121" s="5" t="s">
        <v>62</v>
      </c>
      <c r="C121" s="4" t="s">
        <v>63</v>
      </c>
      <c r="D121" s="5" t="s">
        <v>276</v>
      </c>
      <c r="E121" s="5" t="str">
        <f>IFERROR(INDEX(הגדרות!$I$2:$I$47,MATCH(B121,הגדרות!$H$2:$H$47,0)),"")</f>
        <v>7018-00</v>
      </c>
      <c r="F121" s="5" t="s">
        <v>45</v>
      </c>
      <c r="G121" s="5"/>
      <c r="H121" s="5" t="s">
        <v>64</v>
      </c>
      <c r="I121" s="5"/>
      <c r="J121" s="5" t="s">
        <v>40</v>
      </c>
      <c r="K121" s="5"/>
      <c r="L121" s="5" t="s">
        <v>40</v>
      </c>
      <c r="M121" s="5"/>
      <c r="N121" s="5"/>
      <c r="O121" s="5" t="s">
        <v>40</v>
      </c>
      <c r="P121" s="5"/>
      <c r="Q121" s="5" t="s">
        <v>2</v>
      </c>
      <c r="R121" s="5"/>
      <c r="S121" s="5" t="s">
        <v>2</v>
      </c>
      <c r="T121" s="5" t="s">
        <v>41</v>
      </c>
      <c r="U121" s="5"/>
      <c r="V121" s="5"/>
      <c r="W121" s="5"/>
      <c r="X121" s="5"/>
      <c r="Y121" s="5"/>
      <c r="Z121" t="str">
        <f>IFERROR(INDEX(הגדרות!$B$2:$B$17,MATCH(H121,הגדרות!$A$2:$A$17,0)),"")</f>
        <v>ימי</v>
      </c>
      <c r="AA121">
        <f>IFERROR(INDEX(הגדרות!$C$2:$C$17,MATCH(H121,הגדרות!$A$2:$A$17,0)),"")</f>
        <v>0</v>
      </c>
      <c r="AB121" t="str">
        <f>IFERROR(INDEX(הגדרות!$B$2:$B$17,MATCH(I121,הגדרות!$A$2:$A$17,0)),"")</f>
        <v/>
      </c>
      <c r="AC121" t="str">
        <f>IFERROR(INDEX(הגדרות!$C$2:$C$17,MATCH(I121,הגדרות!$A$2:$A$17,0)),"")</f>
        <v/>
      </c>
      <c r="AD121" t="e">
        <f>IF(AND(מלאי!D43&lt;&gt;"",OR(#REF!="הכל",מלאי!Z43=#REF!,מלאי!AA43=#REF!,מלאי!AB43=#REF!,מלאי!AC43=#REF!),OR(#REF!="הכל",מלאי!A43=#REF!),OR(#REF!="הכל",מלאי!B43=#REF!),OR(#REF!="הכל",מלאי!F43=#REF!,מלאי!G43=#REF!),OR(#REF!="הכל",מלאי!T43=#REF!),OR(#REF!="הכל",מלאי!Q43=#REF!),OR(#REF!="הכל",מלאי!J43=#REF!),OR(#REF!="הכל",מלאי!L43=#REF!),OR(#REF!="הכל",מלאי!O43=#REF!),OR(#REF!="הכל",מלאי!R43=#REF!),OR(#REF!="הכל",#REF!="",מלאי!W43=#REF!),OR(#REF!="הכל",#REF!="",ISNUMBER(SEARCH(#REF!,מלאי!C43)))),1,0)</f>
        <v>#REF!</v>
      </c>
      <c r="AE121" t="e">
        <f>IF(AND(מלאי!D43&lt;&gt;"",OR(#REF!="הכל",מלאי!Z43=#REF!,מלאי!AA43=#REF!,מלאי!AB43=#REF!,מלאי!AC43=#REF!),OR(#REF!="הכל",מלאי!A43=#REF!),OR(#REF!="הכל",מלאי!B43=#REF!),OR(#REF!="הכל",מלאי!F43=#REF!,מלאי!G43=#REF!),OR(#REF!="הכל",מלאי!T43=#REF!),OR(#REF!="הכל",מלאי!Q43=#REF!),OR(#REF!="הכל",מלאי!J43=#REF!),OR(#REF!="הכל",מלאי!L43=#REF!),OR(#REF!="הכל",מלאי!O43=#REF!),OR(#REF!="הכל",מלאי!R43=#REF!),OR(#REF!="הכל",#REF!="",מלאי!W43=#REF!),OR(#REF!="הכל",#REF!="",ISNUMBER(SEARCH(#REF!,מלאי!C43))),OR(#REF!="הכל",מלאי!#REF!=#REF!)),1,0)</f>
        <v>#REF!</v>
      </c>
      <c r="AF121" t="e">
        <f>IF(AD121=1,COUNTIF($AD$3:$AD121,1),"")</f>
        <v>#REF!</v>
      </c>
      <c r="AG121" t="e">
        <f>IF(AE121=1,COUNTIF($AE$3:$AE121,1),"")</f>
        <v>#REF!</v>
      </c>
    </row>
    <row r="122" spans="1:33" ht="15" hidden="1" customHeight="1" x14ac:dyDescent="0.35">
      <c r="A122" s="5" t="s">
        <v>34</v>
      </c>
      <c r="B122" s="5" t="s">
        <v>62</v>
      </c>
      <c r="C122" s="5" t="s">
        <v>36</v>
      </c>
      <c r="D122" s="5" t="s">
        <v>277</v>
      </c>
      <c r="E122" s="5" t="str">
        <f>IFERROR(INDEX(הגדרות!$I$2:$I$47,MATCH(B122,הגדרות!$H$2:$H$47,0)),"")</f>
        <v>7018-00</v>
      </c>
      <c r="F122" s="5" t="s">
        <v>45</v>
      </c>
      <c r="G122" s="5"/>
      <c r="H122" s="5" t="s">
        <v>72</v>
      </c>
      <c r="I122" s="5"/>
      <c r="J122" s="5" t="s">
        <v>40</v>
      </c>
      <c r="K122" s="5"/>
      <c r="L122" s="5" t="s">
        <v>40</v>
      </c>
      <c r="M122" s="5"/>
      <c r="N122" s="5"/>
      <c r="O122" s="5" t="s">
        <v>40</v>
      </c>
      <c r="P122" s="11" t="s">
        <v>233</v>
      </c>
      <c r="Q122" s="5" t="s">
        <v>2</v>
      </c>
      <c r="R122" s="5"/>
      <c r="S122" s="5" t="s">
        <v>2</v>
      </c>
      <c r="T122" s="5" t="s">
        <v>41</v>
      </c>
      <c r="U122" s="5"/>
      <c r="V122" s="5"/>
      <c r="W122" s="5"/>
      <c r="X122" s="5"/>
      <c r="Y122" s="5"/>
      <c r="Z122" t="str">
        <f>IFERROR(INDEX(הגדרות!$B$2:$B$17,MATCH(H122,הגדרות!$A$2:$A$17,0)),"")</f>
        <v>מיוער</v>
      </c>
      <c r="AA122">
        <f>IFERROR(INDEX(הגדרות!$C$2:$C$17,MATCH(H122,הגדרות!$A$2:$A$17,0)),"")</f>
        <v>0</v>
      </c>
      <c r="AB122" t="str">
        <f>IFERROR(INDEX(הגדרות!$B$2:$B$17,MATCH(I122,הגדרות!$A$2:$A$17,0)),"")</f>
        <v/>
      </c>
      <c r="AC122" t="str">
        <f>IFERROR(INDEX(הגדרות!$C$2:$C$17,MATCH(I122,הגדרות!$A$2:$A$17,0)),"")</f>
        <v/>
      </c>
      <c r="AD122" t="e">
        <f>IF(AND(מלאי!D39&lt;&gt;"",OR(#REF!="הכל",מלאי!Z39=#REF!,מלאי!AA39=#REF!,מלאי!AB39=#REF!,מלאי!AC39=#REF!),OR(#REF!="הכל",מלאי!A39=#REF!),OR(#REF!="הכל",מלאי!B39=#REF!),OR(#REF!="הכל",מלאי!F39=#REF!,מלאי!G39=#REF!),OR(#REF!="הכל",מלאי!T39=#REF!),OR(#REF!="הכל",מלאי!Q39=#REF!),OR(#REF!="הכל",מלאי!J39=#REF!),OR(#REF!="הכל",מלאי!L39=#REF!),OR(#REF!="הכל",מלאי!O39=#REF!),OR(#REF!="הכל",מלאי!R39=#REF!),OR(#REF!="הכל",#REF!="",מלאי!W39=#REF!),OR(#REF!="הכל",#REF!="",ISNUMBER(SEARCH(#REF!,מלאי!C39)))),1,0)</f>
        <v>#REF!</v>
      </c>
      <c r="AE122" t="e">
        <f>IF(AND(מלאי!D39&lt;&gt;"",OR(#REF!="הכל",מלאי!Z39=#REF!,מלאי!AA39=#REF!,מלאי!AB39=#REF!,מלאי!AC39=#REF!),OR(#REF!="הכל",מלאי!A39=#REF!),OR(#REF!="הכל",מלאי!B39=#REF!),OR(#REF!="הכל",מלאי!F39=#REF!,מלאי!G39=#REF!),OR(#REF!="הכל",מלאי!T39=#REF!),OR(#REF!="הכל",מלאי!Q39=#REF!),OR(#REF!="הכל",מלאי!J39=#REF!),OR(#REF!="הכל",מלאי!L39=#REF!),OR(#REF!="הכל",מלאי!O39=#REF!),OR(#REF!="הכל",מלאי!R39=#REF!),OR(#REF!="הכל",#REF!="",מלאי!W39=#REF!),OR(#REF!="הכל",#REF!="",ISNUMBER(SEARCH(#REF!,מלאי!C39))),OR(#REF!="הכל",מלאי!#REF!=#REF!)),1,0)</f>
        <v>#REF!</v>
      </c>
      <c r="AF122" t="e">
        <f>IF(AD122=1,COUNTIF($AD$3:$AD122,1),"")</f>
        <v>#REF!</v>
      </c>
      <c r="AG122" t="e">
        <f>IF(AE122=1,COUNTIF($AE$3:$AE122,1),"")</f>
        <v>#REF!</v>
      </c>
    </row>
    <row r="123" spans="1:33" ht="15" hidden="1" customHeight="1" x14ac:dyDescent="0.35">
      <c r="A123" s="5" t="s">
        <v>34</v>
      </c>
      <c r="B123" s="5" t="s">
        <v>62</v>
      </c>
      <c r="C123" s="5" t="s">
        <v>36</v>
      </c>
      <c r="D123" s="5" t="s">
        <v>278</v>
      </c>
      <c r="E123" s="5" t="str">
        <f>IFERROR(INDEX(הגדרות!$I$2:$I$47,MATCH(B123,הגדרות!$H$2:$H$47,0)),"")</f>
        <v>7018-00</v>
      </c>
      <c r="F123" s="5" t="s">
        <v>45</v>
      </c>
      <c r="G123" s="5"/>
      <c r="H123" s="5" t="s">
        <v>72</v>
      </c>
      <c r="I123" s="5"/>
      <c r="J123" s="5" t="s">
        <v>40</v>
      </c>
      <c r="K123" s="5"/>
      <c r="L123" s="5" t="s">
        <v>40</v>
      </c>
      <c r="M123" s="5"/>
      <c r="N123" s="5"/>
      <c r="O123" s="5" t="s">
        <v>40</v>
      </c>
      <c r="P123" s="5"/>
      <c r="Q123" s="5" t="s">
        <v>2</v>
      </c>
      <c r="R123" s="5"/>
      <c r="S123" s="5" t="s">
        <v>2</v>
      </c>
      <c r="T123" s="5" t="s">
        <v>41</v>
      </c>
      <c r="U123" s="5"/>
      <c r="V123" s="5"/>
      <c r="W123" s="5"/>
      <c r="X123" s="5"/>
      <c r="Y123" s="5"/>
      <c r="Z123" t="str">
        <f>IFERROR(INDEX(הגדרות!$B$2:$B$17,MATCH(H123,הגדרות!$A$2:$A$17,0)),"")</f>
        <v>מיוער</v>
      </c>
      <c r="AA123">
        <f>IFERROR(INDEX(הגדרות!$C$2:$C$17,MATCH(H123,הגדרות!$A$2:$A$17,0)),"")</f>
        <v>0</v>
      </c>
      <c r="AB123" t="str">
        <f>IFERROR(INDEX(הגדרות!$B$2:$B$17,MATCH(I123,הגדרות!$A$2:$A$17,0)),"")</f>
        <v/>
      </c>
      <c r="AC123" t="str">
        <f>IFERROR(INDEX(הגדרות!$C$2:$C$17,MATCH(I123,הגדרות!$A$2:$A$17,0)),"")</f>
        <v/>
      </c>
      <c r="AD123" t="e">
        <f>IF(AND(מלאי!D38&lt;&gt;"",OR(#REF!="הכל",מלאי!Z38=#REF!,מלאי!AA38=#REF!,מלאי!AB38=#REF!,מלאי!AC38=#REF!),OR(#REF!="הכל",מלאי!A38=#REF!),OR(#REF!="הכל",מלאי!B38=#REF!),OR(#REF!="הכל",מלאי!F38=#REF!,מלאי!G38=#REF!),OR(#REF!="הכל",מלאי!T38=#REF!),OR(#REF!="הכל",מלאי!Q38=#REF!),OR(#REF!="הכל",מלאי!J38=#REF!),OR(#REF!="הכל",מלאי!L38=#REF!),OR(#REF!="הכל",מלאי!O38=#REF!),OR(#REF!="הכל",מלאי!R38=#REF!),OR(#REF!="הכל",#REF!="",מלאי!W38=#REF!),OR(#REF!="הכל",#REF!="",ISNUMBER(SEARCH(#REF!,מלאי!C38)))),1,0)</f>
        <v>#REF!</v>
      </c>
      <c r="AE123" t="e">
        <f>IF(AND(מלאי!D38&lt;&gt;"",OR(#REF!="הכל",מלאי!Z38=#REF!,מלאי!AA38=#REF!,מלאי!AB38=#REF!,מלאי!AC38=#REF!),OR(#REF!="הכל",מלאי!A38=#REF!),OR(#REF!="הכל",מלאי!B38=#REF!),OR(#REF!="הכל",מלאי!F38=#REF!,מלאי!G38=#REF!),OR(#REF!="הכל",מלאי!T38=#REF!),OR(#REF!="הכל",מלאי!Q38=#REF!),OR(#REF!="הכל",מלאי!J38=#REF!),OR(#REF!="הכל",מלאי!L38=#REF!),OR(#REF!="הכל",מלאי!O38=#REF!),OR(#REF!="הכל",מלאי!R38=#REF!),OR(#REF!="הכל",#REF!="",מלאי!W38=#REF!),OR(#REF!="הכל",#REF!="",ISNUMBER(SEARCH(#REF!,מלאי!C38))),OR(#REF!="הכל",מלאי!#REF!=#REF!)),1,0)</f>
        <v>#REF!</v>
      </c>
      <c r="AF123" t="e">
        <f>IF(AD123=1,COUNTIF($AD$3:$AD123,1),"")</f>
        <v>#REF!</v>
      </c>
      <c r="AG123" t="e">
        <f>IF(AE123=1,COUNTIF($AE$3:$AE123,1),"")</f>
        <v>#REF!</v>
      </c>
    </row>
    <row r="124" spans="1:33" ht="15" hidden="1" customHeight="1" x14ac:dyDescent="0.35">
      <c r="A124" s="5" t="s">
        <v>34</v>
      </c>
      <c r="B124" s="31" t="s">
        <v>62</v>
      </c>
      <c r="C124" s="5" t="s">
        <v>63</v>
      </c>
      <c r="D124" s="5" t="s">
        <v>265</v>
      </c>
      <c r="E124" s="5" t="str">
        <f>IFERROR(INDEX(הגדרות!$I$2:$I$47,MATCH(B124,הגדרות!$H$2:$H$47,0)),"")</f>
        <v>7018-00</v>
      </c>
      <c r="F124" s="5" t="s">
        <v>45</v>
      </c>
      <c r="G124" s="5"/>
      <c r="H124" s="5" t="s">
        <v>64</v>
      </c>
      <c r="I124" s="5"/>
      <c r="J124" s="5" t="s">
        <v>40</v>
      </c>
      <c r="K124" s="5"/>
      <c r="L124" s="5" t="s">
        <v>40</v>
      </c>
      <c r="M124" s="5"/>
      <c r="N124" s="5"/>
      <c r="O124" s="5" t="s">
        <v>40</v>
      </c>
      <c r="P124" s="5"/>
      <c r="Q124" s="5" t="s">
        <v>2</v>
      </c>
      <c r="R124" s="5"/>
      <c r="S124" s="5" t="s">
        <v>2</v>
      </c>
      <c r="T124" s="5" t="s">
        <v>41</v>
      </c>
      <c r="U124" s="5"/>
      <c r="V124" s="5"/>
      <c r="W124" s="5"/>
      <c r="X124" s="5"/>
      <c r="Y124" s="5"/>
      <c r="Z124" t="str">
        <f>IFERROR(INDEX(הגדרות!$B$2:$B$17,MATCH(H124,הגדרות!$A$2:$A$17,0)),"")</f>
        <v>ימי</v>
      </c>
      <c r="AA124">
        <f>IFERROR(INDEX(הגדרות!$C$2:$C$17,MATCH(H124,הגדרות!$A$2:$A$17,0)),"")</f>
        <v>0</v>
      </c>
      <c r="AB124" t="str">
        <f>IFERROR(INDEX(הגדרות!$B$2:$B$17,MATCH(I124,הגדרות!$A$2:$A$17,0)),"")</f>
        <v/>
      </c>
      <c r="AC124" t="str">
        <f>IFERROR(INDEX(הגדרות!$C$2:$C$17,MATCH(I124,הגדרות!$A$2:$A$17,0)),"")</f>
        <v/>
      </c>
      <c r="AD124" t="e">
        <f>IF(AND(מלאי!D36&lt;&gt;"",OR(#REF!="הכל",מלאי!Z36=#REF!,מלאי!AA36=#REF!,מלאי!AB36=#REF!,מלאי!AC36=#REF!),OR(#REF!="הכל",מלאי!A36=#REF!),OR(#REF!="הכל",מלאי!B36=#REF!),OR(#REF!="הכל",מלאי!F36=#REF!,מלאי!G36=#REF!),OR(#REF!="הכל",מלאי!T36=#REF!),OR(#REF!="הכל",מלאי!Q36=#REF!),OR(#REF!="הכל",מלאי!J36=#REF!),OR(#REF!="הכל",מלאי!L36=#REF!),OR(#REF!="הכל",מלאי!O36=#REF!),OR(#REF!="הכל",מלאי!R36=#REF!),OR(#REF!="הכל",#REF!="",מלאי!W36=#REF!),OR(#REF!="הכל",#REF!="",ISNUMBER(SEARCH(#REF!,מלאי!C36)))),1,0)</f>
        <v>#REF!</v>
      </c>
      <c r="AE124" t="e">
        <f>IF(AND(מלאי!D36&lt;&gt;"",OR(#REF!="הכל",מלאי!Z36=#REF!,מלאי!AA36=#REF!,מלאי!AB36=#REF!,מלאי!AC36=#REF!),OR(#REF!="הכל",מלאי!A36=#REF!),OR(#REF!="הכל",מלאי!B36=#REF!),OR(#REF!="הכל",מלאי!F36=#REF!,מלאי!G36=#REF!),OR(#REF!="הכל",מלאי!T36=#REF!),OR(#REF!="הכל",מלאי!Q36=#REF!),OR(#REF!="הכל",מלאי!J36=#REF!),OR(#REF!="הכל",מלאי!L36=#REF!),OR(#REF!="הכל",מלאי!O36=#REF!),OR(#REF!="הכל",מלאי!R36=#REF!),OR(#REF!="הכל",#REF!="",מלאי!W36=#REF!),OR(#REF!="הכל",#REF!="",ISNUMBER(SEARCH(#REF!,מלאי!C36))),OR(#REF!="הכל",מלאי!#REF!=#REF!)),1,0)</f>
        <v>#REF!</v>
      </c>
      <c r="AF124" t="e">
        <f>IF(AD124=1,COUNTIF($AD$3:$AD124,1),"")</f>
        <v>#REF!</v>
      </c>
      <c r="AG124" t="e">
        <f>IF(AE124=1,COUNTIF($AE$3:$AE124,1),"")</f>
        <v>#REF!</v>
      </c>
    </row>
    <row r="125" spans="1:33" ht="15" hidden="1" customHeight="1" x14ac:dyDescent="0.35">
      <c r="A125" s="4" t="s">
        <v>34</v>
      </c>
      <c r="B125" s="30" t="s">
        <v>62</v>
      </c>
      <c r="C125" s="4" t="s">
        <v>63</v>
      </c>
      <c r="D125" s="4" t="s">
        <v>266</v>
      </c>
      <c r="E125" s="4" t="str">
        <f>IFERROR(INDEX(הגדרות!$I$2:$I$47,MATCH(B125,הגדרות!$H$2:$H$47,0)),"")</f>
        <v>7018-00</v>
      </c>
      <c r="F125" s="4" t="s">
        <v>45</v>
      </c>
      <c r="G125" s="4"/>
      <c r="H125" s="30" t="s">
        <v>38</v>
      </c>
      <c r="I125" s="30"/>
      <c r="J125" s="4" t="s">
        <v>40</v>
      </c>
      <c r="K125" s="4"/>
      <c r="L125" s="4" t="s">
        <v>40</v>
      </c>
      <c r="M125" s="4"/>
      <c r="N125" s="4"/>
      <c r="O125" s="4" t="s">
        <v>40</v>
      </c>
      <c r="P125" s="4"/>
      <c r="Q125" s="4" t="s">
        <v>2</v>
      </c>
      <c r="R125" s="4"/>
      <c r="S125" s="4" t="s">
        <v>2</v>
      </c>
      <c r="T125" s="4" t="s">
        <v>41</v>
      </c>
      <c r="U125" s="4"/>
      <c r="V125" s="4"/>
      <c r="W125" s="4"/>
      <c r="X125" s="4"/>
      <c r="Y125" s="4"/>
      <c r="Z125" t="str">
        <f>IFERROR(INDEX(הגדרות!$B$2:$B$17,MATCH(H125,הגדרות!$A$2:$A$17,0)),"")</f>
        <v>מיוער</v>
      </c>
      <c r="AA125">
        <f>IFERROR(INDEX(הגדרות!$C$2:$C$17,MATCH(H125,הגדרות!$A$2:$A$17,0)),"")</f>
        <v>0</v>
      </c>
      <c r="AB125" t="str">
        <f>IFERROR(INDEX(הגדרות!$B$2:$B$17,MATCH(I125,הגדרות!$A$2:$A$17,0)),"")</f>
        <v/>
      </c>
      <c r="AC125" t="str">
        <f>IFERROR(INDEX(הגדרות!$C$2:$C$17,MATCH(I125,הגדרות!$A$2:$A$17,0)),"")</f>
        <v/>
      </c>
      <c r="AD125" t="e">
        <f>IF(AND(מלאי!D35&lt;&gt;"",OR(#REF!="הכל",מלאי!Z35=#REF!,מלאי!AA35=#REF!,מלאי!AB35=#REF!,מלאי!AC35=#REF!),OR(#REF!="הכל",מלאי!A35=#REF!),OR(#REF!="הכל",מלאי!B35=#REF!),OR(#REF!="הכל",מלאי!F35=#REF!,מלאי!G35=#REF!),OR(#REF!="הכל",מלאי!T35=#REF!),OR(#REF!="הכל",מלאי!Q35=#REF!),OR(#REF!="הכל",מלאי!J35=#REF!),OR(#REF!="הכל",מלאי!L35=#REF!),OR(#REF!="הכל",מלאי!O35=#REF!),OR(#REF!="הכל",מלאי!R35=#REF!),OR(#REF!="הכל",#REF!="",מלאי!W35=#REF!),OR(#REF!="הכל",#REF!="",ISNUMBER(SEARCH(#REF!,מלאי!C35)))),1,0)</f>
        <v>#REF!</v>
      </c>
      <c r="AE125" t="e">
        <f>IF(AND(מלאי!D35&lt;&gt;"",OR(#REF!="הכל",מלאי!Z35=#REF!,מלאי!AA35=#REF!,מלאי!AB35=#REF!,מלאי!AC35=#REF!),OR(#REF!="הכל",מלאי!A35=#REF!),OR(#REF!="הכל",מלאי!B35=#REF!),OR(#REF!="הכל",מלאי!F35=#REF!,מלאי!G35=#REF!),OR(#REF!="הכל",מלאי!T35=#REF!),OR(#REF!="הכל",מלאי!Q35=#REF!),OR(#REF!="הכל",מלאי!J35=#REF!),OR(#REF!="הכל",מלאי!L35=#REF!),OR(#REF!="הכל",מלאי!O35=#REF!),OR(#REF!="הכל",מלאי!R35=#REF!),OR(#REF!="הכל",#REF!="",מלאי!W35=#REF!),OR(#REF!="הכל",#REF!="",ISNUMBER(SEARCH(#REF!,מלאי!C35))),OR(#REF!="הכל",מלאי!#REF!=#REF!)),1,0)</f>
        <v>#REF!</v>
      </c>
      <c r="AF125" t="e">
        <f>IF(AD125=1,COUNTIF($AD$3:$AD125,1),"")</f>
        <v>#REF!</v>
      </c>
      <c r="AG125" t="e">
        <f>IF(AE125=1,COUNTIF($AE$3:$AE125,1),"")</f>
        <v>#REF!</v>
      </c>
    </row>
    <row r="126" spans="1:33" ht="15" hidden="1" customHeight="1" x14ac:dyDescent="0.35">
      <c r="A126" s="4" t="s">
        <v>34</v>
      </c>
      <c r="B126" s="30" t="s">
        <v>62</v>
      </c>
      <c r="C126" s="4" t="s">
        <v>63</v>
      </c>
      <c r="D126" s="4" t="s">
        <v>267</v>
      </c>
      <c r="E126" s="4" t="str">
        <f>IFERROR(INDEX(הגדרות!$I$2:$I$47,MATCH(B126,הגדרות!$H$2:$H$47,0)),"")</f>
        <v>7018-00</v>
      </c>
      <c r="F126" s="4" t="s">
        <v>45</v>
      </c>
      <c r="G126" s="4"/>
      <c r="H126" s="30" t="s">
        <v>67</v>
      </c>
      <c r="I126" s="30" t="s">
        <v>68</v>
      </c>
      <c r="J126" s="4" t="s">
        <v>40</v>
      </c>
      <c r="K126" s="4" t="s">
        <v>40</v>
      </c>
      <c r="L126" s="4" t="s">
        <v>40</v>
      </c>
      <c r="M126" s="4" t="s">
        <v>40</v>
      </c>
      <c r="N126" s="4"/>
      <c r="O126" s="4" t="s">
        <v>40</v>
      </c>
      <c r="P126" s="4"/>
      <c r="Q126" s="4" t="s">
        <v>2</v>
      </c>
      <c r="R126" s="4"/>
      <c r="S126" s="4" t="s">
        <v>2</v>
      </c>
      <c r="T126" s="4" t="s">
        <v>41</v>
      </c>
      <c r="U126" s="4"/>
      <c r="V126" s="4"/>
      <c r="W126" s="4"/>
      <c r="X126" s="4"/>
      <c r="Y126" s="4"/>
      <c r="Z126" t="str">
        <f>IFERROR(INDEX(הגדרות!$B$2:$B$17,MATCH(H126,הגדרות!$A$2:$A$17,0)),"")</f>
        <v>מיוער</v>
      </c>
      <c r="AA126">
        <f>IFERROR(INDEX(הגדרות!$C$2:$C$17,MATCH(H126,הגדרות!$A$2:$A$17,0)),"")</f>
        <v>0</v>
      </c>
      <c r="AB126" t="str">
        <f>IFERROR(INDEX(הגדרות!$B$2:$B$17,MATCH(I126,הגדרות!$A$2:$A$17,0)),"")</f>
        <v>מדברי</v>
      </c>
      <c r="AC126">
        <f>IFERROR(INDEX(הגדרות!$C$2:$C$17,MATCH(I126,הגדרות!$A$2:$A$17,0)),"")</f>
        <v>0</v>
      </c>
      <c r="AD126" t="e">
        <f>IF(AND(מלאי!D33&lt;&gt;"",OR(#REF!="הכל",מלאי!Z33=#REF!,מלאי!AA33=#REF!,מלאי!AB33=#REF!,מלאי!AC33=#REF!),OR(#REF!="הכל",מלאי!A33=#REF!),OR(#REF!="הכל",מלאי!B33=#REF!),OR(#REF!="הכל",מלאי!F33=#REF!,מלאי!G33=#REF!),OR(#REF!="הכל",מלאי!T33=#REF!),OR(#REF!="הכל",מלאי!Q33=#REF!),OR(#REF!="הכל",מלאי!J33=#REF!),OR(#REF!="הכל",מלאי!L33=#REF!),OR(#REF!="הכל",מלאי!O33=#REF!),OR(#REF!="הכל",מלאי!R33=#REF!),OR(#REF!="הכל",#REF!="",מלאי!W33=#REF!),OR(#REF!="הכל",#REF!="",ISNUMBER(SEARCH(#REF!,מלאי!C33)))),1,0)</f>
        <v>#REF!</v>
      </c>
      <c r="AE126" t="e">
        <f>IF(AND(מלאי!D33&lt;&gt;"",OR(#REF!="הכל",מלאי!Z33=#REF!,מלאי!AA33=#REF!,מלאי!AB33=#REF!,מלאי!AC33=#REF!),OR(#REF!="הכל",מלאי!A33=#REF!),OR(#REF!="הכל",מלאי!B33=#REF!),OR(#REF!="הכל",מלאי!F33=#REF!,מלאי!G33=#REF!),OR(#REF!="הכל",מלאי!T33=#REF!),OR(#REF!="הכל",מלאי!Q33=#REF!),OR(#REF!="הכל",מלאי!J33=#REF!),OR(#REF!="הכל",מלאי!L33=#REF!),OR(#REF!="הכל",מלאי!O33=#REF!),OR(#REF!="הכל",מלאי!R33=#REF!),OR(#REF!="הכל",#REF!="",מלאי!W33=#REF!),OR(#REF!="הכל",#REF!="",ISNUMBER(SEARCH(#REF!,מלאי!C33))),OR(#REF!="הכל",מלאי!#REF!=#REF!)),1,0)</f>
        <v>#REF!</v>
      </c>
      <c r="AF126" t="e">
        <f>IF(AD126=1,COUNTIF($AD$3:$AD126,1),"")</f>
        <v>#REF!</v>
      </c>
      <c r="AG126" t="e">
        <f>IF(AE126=1,COUNTIF($AE$3:$AE126,1),"")</f>
        <v>#REF!</v>
      </c>
    </row>
    <row r="127" spans="1:33" ht="15" hidden="1" customHeight="1" x14ac:dyDescent="0.35">
      <c r="A127" s="5" t="s">
        <v>34</v>
      </c>
      <c r="B127" s="5" t="s">
        <v>62</v>
      </c>
      <c r="C127" s="5" t="s">
        <v>63</v>
      </c>
      <c r="D127" s="5" t="s">
        <v>268</v>
      </c>
      <c r="E127" s="5" t="str">
        <f>IFERROR(INDEX(הגדרות!$I$2:$I$47,MATCH(B127,הגדרות!$H$2:$H$47,0)),"")</f>
        <v>7018-00</v>
      </c>
      <c r="F127" s="5" t="s">
        <v>45</v>
      </c>
      <c r="G127" s="5"/>
      <c r="H127" s="5" t="s">
        <v>64</v>
      </c>
      <c r="I127" s="5"/>
      <c r="J127" s="5" t="s">
        <v>40</v>
      </c>
      <c r="K127" s="5"/>
      <c r="L127" s="5" t="s">
        <v>40</v>
      </c>
      <c r="M127" s="5"/>
      <c r="N127" s="5"/>
      <c r="O127" s="5" t="s">
        <v>40</v>
      </c>
      <c r="P127" s="5"/>
      <c r="Q127" s="5" t="s">
        <v>2</v>
      </c>
      <c r="R127" s="5"/>
      <c r="S127" s="5" t="s">
        <v>2</v>
      </c>
      <c r="T127" s="5" t="s">
        <v>41</v>
      </c>
      <c r="U127" s="5"/>
      <c r="V127" s="5"/>
      <c r="W127" s="5"/>
      <c r="X127" s="5"/>
      <c r="Y127" s="5"/>
      <c r="Z127" t="str">
        <f>IFERROR(INDEX(הגדרות!$B$2:$B$17,MATCH(H127,הגדרות!$A$2:$A$17,0)),"")</f>
        <v>ימי</v>
      </c>
      <c r="AA127">
        <f>IFERROR(INDEX(הגדרות!$C$2:$C$17,MATCH(H127,הגדרות!$A$2:$A$17,0)),"")</f>
        <v>0</v>
      </c>
      <c r="AB127" t="str">
        <f>IFERROR(INDEX(הגדרות!$B$2:$B$17,MATCH(I127,הגדרות!$A$2:$A$17,0)),"")</f>
        <v/>
      </c>
      <c r="AC127" t="str">
        <f>IFERROR(INDEX(הגדרות!$C$2:$C$17,MATCH(I127,הגדרות!$A$2:$A$17,0)),"")</f>
        <v/>
      </c>
      <c r="AD127" t="e">
        <f>IF(AND(מלאי!D28&lt;&gt;"",OR(#REF!="הכל",מלאי!Z28=#REF!,מלאי!AA28=#REF!,מלאי!AB28=#REF!,מלאי!AC28=#REF!),OR(#REF!="הכל",מלאי!A28=#REF!),OR(#REF!="הכל",מלאי!B28=#REF!),OR(#REF!="הכל",מלאי!F28=#REF!,מלאי!G28=#REF!),OR(#REF!="הכל",מלאי!T28=#REF!),OR(#REF!="הכל",מלאי!Q28=#REF!),OR(#REF!="הכל",מלאי!J28=#REF!),OR(#REF!="הכל",מלאי!L28=#REF!),OR(#REF!="הכל",מלאי!O28=#REF!),OR(#REF!="הכל",מלאי!R28=#REF!),OR(#REF!="הכל",#REF!="",מלאי!W28=#REF!),OR(#REF!="הכל",#REF!="",ISNUMBER(SEARCH(#REF!,מלאי!C28)))),1,0)</f>
        <v>#REF!</v>
      </c>
      <c r="AE127" t="e">
        <f>IF(AND(מלאי!D28&lt;&gt;"",OR(#REF!="הכל",מלאי!Z28=#REF!,מלאי!AA28=#REF!,מלאי!AB28=#REF!,מלאי!AC28=#REF!),OR(#REF!="הכל",מלאי!A28=#REF!),OR(#REF!="הכל",מלאי!B28=#REF!),OR(#REF!="הכל",מלאי!F28=#REF!,מלאי!G28=#REF!),OR(#REF!="הכל",מלאי!T28=#REF!),OR(#REF!="הכל",מלאי!Q28=#REF!),OR(#REF!="הכל",מלאי!J28=#REF!),OR(#REF!="הכל",מלאי!L28=#REF!),OR(#REF!="הכל",מלאי!O28=#REF!),OR(#REF!="הכל",מלאי!R28=#REF!),OR(#REF!="הכל",#REF!="",מלאי!W28=#REF!),OR(#REF!="הכל",#REF!="",ISNUMBER(SEARCH(#REF!,מלאי!C28))),OR(#REF!="הכל",מלאי!#REF!=#REF!)),1,0)</f>
        <v>#REF!</v>
      </c>
      <c r="AF127" t="e">
        <f>IF(AD127=1,COUNTIF($AD$3:$AD127,1),"")</f>
        <v>#REF!</v>
      </c>
      <c r="AG127" t="e">
        <f>IF(AE127=1,COUNTIF($AE$3:$AE127,1),"")</f>
        <v>#REF!</v>
      </c>
    </row>
    <row r="128" spans="1:33" ht="15" hidden="1" customHeight="1" x14ac:dyDescent="0.35">
      <c r="A128" s="4" t="s">
        <v>34</v>
      </c>
      <c r="B128" s="4" t="s">
        <v>62</v>
      </c>
      <c r="C128" s="4" t="s">
        <v>63</v>
      </c>
      <c r="D128" s="4" t="s">
        <v>269</v>
      </c>
      <c r="E128" s="4" t="str">
        <f>IFERROR(INDEX(הגדרות!$I$2:$I$47,MATCH(B128,הגדרות!$H$2:$H$47,0)),"")</f>
        <v>7018-00</v>
      </c>
      <c r="F128" s="4" t="s">
        <v>45</v>
      </c>
      <c r="G128" s="4"/>
      <c r="H128" s="4" t="s">
        <v>64</v>
      </c>
      <c r="I128" s="4"/>
      <c r="J128" s="4" t="s">
        <v>40</v>
      </c>
      <c r="K128" s="4"/>
      <c r="L128" s="4" t="s">
        <v>40</v>
      </c>
      <c r="M128" s="4"/>
      <c r="N128" s="4"/>
      <c r="O128" s="4" t="s">
        <v>40</v>
      </c>
      <c r="P128" s="4"/>
      <c r="Q128" s="4" t="s">
        <v>2</v>
      </c>
      <c r="R128" s="4"/>
      <c r="S128" s="4" t="s">
        <v>2</v>
      </c>
      <c r="T128" s="4" t="s">
        <v>41</v>
      </c>
      <c r="U128" s="4"/>
      <c r="V128" s="4"/>
      <c r="W128" s="4"/>
      <c r="X128" s="4"/>
      <c r="Y128" s="4"/>
      <c r="Z128" t="str">
        <f>IFERROR(INDEX(הגדרות!$B$2:$B$17,MATCH(H128,הגדרות!$A$2:$A$17,0)),"")</f>
        <v>ימי</v>
      </c>
      <c r="AA128">
        <f>IFERROR(INDEX(הגדרות!$C$2:$C$17,MATCH(H128,הגדרות!$A$2:$A$17,0)),"")</f>
        <v>0</v>
      </c>
      <c r="AB128" t="str">
        <f>IFERROR(INDEX(הגדרות!$B$2:$B$17,MATCH(I128,הגדרות!$A$2:$A$17,0)),"")</f>
        <v/>
      </c>
      <c r="AC128" t="str">
        <f>IFERROR(INDEX(הגדרות!$C$2:$C$17,MATCH(I128,הגדרות!$A$2:$A$17,0)),"")</f>
        <v/>
      </c>
      <c r="AD128" t="e">
        <f>IF(AND(מלאי!D31&lt;&gt;"",OR(#REF!="הכל",מלאי!Z31=#REF!,מלאי!AA31=#REF!,מלאי!AB31=#REF!,מלאי!AC31=#REF!),OR(#REF!="הכל",מלאי!A31=#REF!),OR(#REF!="הכל",מלאי!B31=#REF!),OR(#REF!="הכל",מלאי!F31=#REF!,מלאי!G31=#REF!),OR(#REF!="הכל",מלאי!T31=#REF!),OR(#REF!="הכל",מלאי!Q31=#REF!),OR(#REF!="הכל",מלאי!J31=#REF!),OR(#REF!="הכל",מלאי!L31=#REF!),OR(#REF!="הכל",מלאי!O31=#REF!),OR(#REF!="הכל",מלאי!R31=#REF!),OR(#REF!="הכל",#REF!="",מלאי!W31=#REF!),OR(#REF!="הכל",#REF!="",ISNUMBER(SEARCH(#REF!,מלאי!C31)))),1,0)</f>
        <v>#REF!</v>
      </c>
      <c r="AE128" t="e">
        <f>IF(AND(מלאי!D31&lt;&gt;"",OR(#REF!="הכל",מלאי!Z31=#REF!,מלאי!AA31=#REF!,מלאי!AB31=#REF!,מלאי!AC31=#REF!),OR(#REF!="הכל",מלאי!A31=#REF!),OR(#REF!="הכל",מלאי!B31=#REF!),OR(#REF!="הכל",מלאי!F31=#REF!,מלאי!G31=#REF!),OR(#REF!="הכל",מלאי!T31=#REF!),OR(#REF!="הכל",מלאי!Q31=#REF!),OR(#REF!="הכל",מלאי!J31=#REF!),OR(#REF!="הכל",מלאי!L31=#REF!),OR(#REF!="הכל",מלאי!O31=#REF!),OR(#REF!="הכל",מלאי!R31=#REF!),OR(#REF!="הכל",#REF!="",מלאי!W31=#REF!),OR(#REF!="הכל",#REF!="",ISNUMBER(SEARCH(#REF!,מלאי!C31))),OR(#REF!="הכל",מלאי!#REF!=#REF!)),1,0)</f>
        <v>#REF!</v>
      </c>
      <c r="AF128" t="e">
        <f>IF(AD128=1,COUNTIF($AD$3:$AD128,1),"")</f>
        <v>#REF!</v>
      </c>
      <c r="AG128" t="e">
        <f>IF(AE128=1,COUNTIF($AE$3:$AE128,1),"")</f>
        <v>#REF!</v>
      </c>
    </row>
    <row r="129" spans="1:33" ht="15" hidden="1" customHeight="1" x14ac:dyDescent="0.35">
      <c r="A129" s="5" t="s">
        <v>34</v>
      </c>
      <c r="B129" s="5" t="s">
        <v>62</v>
      </c>
      <c r="C129" s="5" t="s">
        <v>63</v>
      </c>
      <c r="D129" s="5" t="s">
        <v>270</v>
      </c>
      <c r="E129" s="5" t="str">
        <f>IFERROR(INDEX(הגדרות!$I$2:$I$47,MATCH(B129,הגדרות!$H$2:$H$47,0)),"")</f>
        <v>7018-00</v>
      </c>
      <c r="F129" s="5" t="s">
        <v>45</v>
      </c>
      <c r="G129" s="5"/>
      <c r="H129" s="5" t="s">
        <v>64</v>
      </c>
      <c r="I129" s="5"/>
      <c r="J129" s="5" t="s">
        <v>40</v>
      </c>
      <c r="K129" s="5"/>
      <c r="L129" s="5" t="s">
        <v>40</v>
      </c>
      <c r="M129" s="5"/>
      <c r="N129" s="5"/>
      <c r="O129" s="5" t="s">
        <v>40</v>
      </c>
      <c r="P129" s="5"/>
      <c r="Q129" s="5" t="s">
        <v>2</v>
      </c>
      <c r="R129" s="5"/>
      <c r="S129" s="5" t="s">
        <v>2</v>
      </c>
      <c r="T129" s="5" t="s">
        <v>41</v>
      </c>
      <c r="U129" s="5"/>
      <c r="V129" s="5"/>
      <c r="W129" s="5"/>
      <c r="X129" s="5"/>
      <c r="Y129" s="5"/>
      <c r="Z129" t="str">
        <f>IFERROR(INDEX(הגדרות!$B$2:$B$17,MATCH(H129,הגדרות!$A$2:$A$17,0)),"")</f>
        <v>ימי</v>
      </c>
      <c r="AA129">
        <f>IFERROR(INDEX(הגדרות!$C$2:$C$17,MATCH(H129,הגדרות!$A$2:$A$17,0)),"")</f>
        <v>0</v>
      </c>
      <c r="AB129" t="str">
        <f>IFERROR(INDEX(הגדרות!$B$2:$B$17,MATCH(I129,הגדרות!$A$2:$A$17,0)),"")</f>
        <v/>
      </c>
      <c r="AC129" t="str">
        <f>IFERROR(INDEX(הגדרות!$C$2:$C$17,MATCH(I129,הגדרות!$A$2:$A$17,0)),"")</f>
        <v/>
      </c>
      <c r="AD129" t="e">
        <f>IF(AND(מלאי!D30&lt;&gt;"",OR(#REF!="הכל",מלאי!Z30=#REF!,מלאי!AA30=#REF!,מלאי!AB30=#REF!,מלאי!AC30=#REF!),OR(#REF!="הכל",מלאי!A30=#REF!),OR(#REF!="הכל",מלאי!B30=#REF!),OR(#REF!="הכל",מלאי!F30=#REF!,מלאי!G30=#REF!),OR(#REF!="הכל",מלאי!T30=#REF!),OR(#REF!="הכל",מלאי!Q30=#REF!),OR(#REF!="הכל",מלאי!J30=#REF!),OR(#REF!="הכל",מלאי!L30=#REF!),OR(#REF!="הכל",מלאי!O30=#REF!),OR(#REF!="הכל",מלאי!R30=#REF!),OR(#REF!="הכל",#REF!="",מלאי!W30=#REF!),OR(#REF!="הכל",#REF!="",ISNUMBER(SEARCH(#REF!,מלאי!C30)))),1,0)</f>
        <v>#REF!</v>
      </c>
      <c r="AE129" t="e">
        <f>IF(AND(מלאי!D30&lt;&gt;"",OR(#REF!="הכל",מלאי!Z30=#REF!,מלאי!AA30=#REF!,מלאי!AB30=#REF!,מלאי!AC30=#REF!),OR(#REF!="הכל",מלאי!A30=#REF!),OR(#REF!="הכל",מלאי!B30=#REF!),OR(#REF!="הכל",מלאי!F30=#REF!,מלאי!G30=#REF!),OR(#REF!="הכל",מלאי!T30=#REF!),OR(#REF!="הכל",מלאי!Q30=#REF!),OR(#REF!="הכל",מלאי!J30=#REF!),OR(#REF!="הכל",מלאי!L30=#REF!),OR(#REF!="הכל",מלאי!O30=#REF!),OR(#REF!="הכל",מלאי!R30=#REF!),OR(#REF!="הכל",#REF!="",מלאי!W30=#REF!),OR(#REF!="הכל",#REF!="",ISNUMBER(SEARCH(#REF!,מלאי!C30))),OR(#REF!="הכל",מלאי!#REF!=#REF!)),1,0)</f>
        <v>#REF!</v>
      </c>
      <c r="AF129" t="e">
        <f>IF(AD129=1,COUNTIF($AD$3:$AD129,1),"")</f>
        <v>#REF!</v>
      </c>
      <c r="AG129" t="e">
        <f>IF(AE129=1,COUNTIF($AE$3:$AE129,1),"")</f>
        <v>#REF!</v>
      </c>
    </row>
    <row r="130" spans="1:33" ht="15" hidden="1" customHeight="1" x14ac:dyDescent="0.35">
      <c r="A130" s="4" t="s">
        <v>34</v>
      </c>
      <c r="B130" s="4" t="s">
        <v>62</v>
      </c>
      <c r="C130" s="4" t="s">
        <v>63</v>
      </c>
      <c r="D130" s="4" t="s">
        <v>271</v>
      </c>
      <c r="E130" s="4" t="str">
        <f>IFERROR(INDEX(הגדרות!$I$2:$I$47,MATCH(B130,הגדרות!$H$2:$H$47,0)),"")</f>
        <v>7018-00</v>
      </c>
      <c r="F130" s="4" t="s">
        <v>45</v>
      </c>
      <c r="G130" s="4"/>
      <c r="H130" s="4" t="s">
        <v>64</v>
      </c>
      <c r="I130" s="4"/>
      <c r="J130" s="4" t="s">
        <v>40</v>
      </c>
      <c r="K130" s="4"/>
      <c r="L130" s="4" t="s">
        <v>40</v>
      </c>
      <c r="M130" s="4"/>
      <c r="N130" s="4"/>
      <c r="O130" s="4" t="s">
        <v>40</v>
      </c>
      <c r="P130" s="4"/>
      <c r="Q130" s="4" t="s">
        <v>2</v>
      </c>
      <c r="R130" s="4"/>
      <c r="S130" s="4" t="s">
        <v>2</v>
      </c>
      <c r="T130" s="4" t="s">
        <v>41</v>
      </c>
      <c r="U130" s="4"/>
      <c r="V130" s="4"/>
      <c r="W130" s="4"/>
      <c r="X130" s="4"/>
      <c r="Y130" s="4"/>
      <c r="Z130" t="str">
        <f>IFERROR(INDEX(הגדרות!$B$2:$B$17,MATCH(H130,הגדרות!$A$2:$A$17,0)),"")</f>
        <v>ימי</v>
      </c>
      <c r="AA130">
        <f>IFERROR(INDEX(הגדרות!$C$2:$C$17,MATCH(H130,הגדרות!$A$2:$A$17,0)),"")</f>
        <v>0</v>
      </c>
      <c r="AB130" t="str">
        <f>IFERROR(INDEX(הגדרות!$B$2:$B$17,MATCH(I130,הגדרות!$A$2:$A$17,0)),"")</f>
        <v/>
      </c>
      <c r="AC130" t="str">
        <f>IFERROR(INDEX(הגדרות!$C$2:$C$17,MATCH(I130,הגדרות!$A$2:$A$17,0)),"")</f>
        <v/>
      </c>
      <c r="AD130" t="e">
        <f>IF(AND(מלאי!D41&lt;&gt;"",OR(#REF!="הכל",מלאי!Z41=#REF!,מלאי!AA41=#REF!,מלאי!AB41=#REF!,מלאי!AC41=#REF!),OR(#REF!="הכל",מלאי!A41=#REF!),OR(#REF!="הכל",מלאי!B41=#REF!),OR(#REF!="הכל",מלאי!F41=#REF!,מלאי!G41=#REF!),OR(#REF!="הכל",מלאי!T41=#REF!),OR(#REF!="הכל",מלאי!Q41=#REF!),OR(#REF!="הכל",מלאי!J41=#REF!),OR(#REF!="הכל",מלאי!L41=#REF!),OR(#REF!="הכל",מלאי!O41=#REF!),OR(#REF!="הכל",מלאי!R41=#REF!),OR(#REF!="הכל",#REF!="",מלאי!W41=#REF!),OR(#REF!="הכל",#REF!="",ISNUMBER(SEARCH(#REF!,מלאי!C41)))),1,0)</f>
        <v>#REF!</v>
      </c>
      <c r="AE130" t="e">
        <f>IF(AND(מלאי!D41&lt;&gt;"",OR(#REF!="הכל",מלאי!Z41=#REF!,מלאי!AA41=#REF!,מלאי!AB41=#REF!,מלאי!AC41=#REF!),OR(#REF!="הכל",מלאי!A41=#REF!),OR(#REF!="הכל",מלאי!B41=#REF!),OR(#REF!="הכל",מלאי!F41=#REF!,מלאי!G41=#REF!),OR(#REF!="הכל",מלאי!T41=#REF!),OR(#REF!="הכל",מלאי!Q41=#REF!),OR(#REF!="הכל",מלאי!J41=#REF!),OR(#REF!="הכל",מלאי!L41=#REF!),OR(#REF!="הכל",מלאי!O41=#REF!),OR(#REF!="הכל",מלאי!R41=#REF!),OR(#REF!="הכל",#REF!="",מלאי!W41=#REF!),OR(#REF!="הכל",#REF!="",ISNUMBER(SEARCH(#REF!,מלאי!C41))),OR(#REF!="הכל",מלאי!#REF!=#REF!)),1,0)</f>
        <v>#REF!</v>
      </c>
      <c r="AF130" t="e">
        <f>IF(AD130=1,COUNTIF($AD$3:$AD130,1),"")</f>
        <v>#REF!</v>
      </c>
      <c r="AG130" t="e">
        <f>IF(AE130=1,COUNTIF($AE$3:$AE130,1),"")</f>
        <v>#REF!</v>
      </c>
    </row>
    <row r="131" spans="1:33" ht="15" hidden="1" customHeight="1" x14ac:dyDescent="0.35">
      <c r="A131" s="4" t="s">
        <v>34</v>
      </c>
      <c r="B131" s="4" t="s">
        <v>62</v>
      </c>
      <c r="C131" s="4" t="s">
        <v>63</v>
      </c>
      <c r="D131" s="4" t="s">
        <v>272</v>
      </c>
      <c r="E131" s="4" t="str">
        <f>IFERROR(INDEX(הגדרות!$I$2:$I$47,MATCH(B131,הגדרות!$H$2:$H$47,0)),"")</f>
        <v>7018-00</v>
      </c>
      <c r="F131" s="4" t="s">
        <v>45</v>
      </c>
      <c r="G131" s="4"/>
      <c r="H131" s="4" t="s">
        <v>64</v>
      </c>
      <c r="I131" s="4"/>
      <c r="J131" s="4" t="s">
        <v>40</v>
      </c>
      <c r="K131" s="4"/>
      <c r="L131" s="4" t="s">
        <v>40</v>
      </c>
      <c r="M131" s="4"/>
      <c r="N131" s="4"/>
      <c r="O131" s="4" t="s">
        <v>40</v>
      </c>
      <c r="P131" s="4"/>
      <c r="Q131" s="4" t="s">
        <v>2</v>
      </c>
      <c r="R131" s="4"/>
      <c r="S131" s="4" t="s">
        <v>2</v>
      </c>
      <c r="T131" s="4" t="s">
        <v>41</v>
      </c>
      <c r="U131" s="4"/>
      <c r="V131" s="4"/>
      <c r="W131" s="4"/>
      <c r="X131" s="4"/>
      <c r="Y131" s="4"/>
      <c r="Z131" t="str">
        <f>IFERROR(INDEX(הגדרות!$B$2:$B$17,MATCH(H131,הגדרות!$A$2:$A$17,0)),"")</f>
        <v>ימי</v>
      </c>
      <c r="AA131">
        <f>IFERROR(INDEX(הגדרות!$C$2:$C$17,MATCH(H131,הגדרות!$A$2:$A$17,0)),"")</f>
        <v>0</v>
      </c>
      <c r="AB131" t="str">
        <f>IFERROR(INDEX(הגדרות!$B$2:$B$17,MATCH(I131,הגדרות!$A$2:$A$17,0)),"")</f>
        <v/>
      </c>
      <c r="AC131" t="str">
        <f>IFERROR(INDEX(הגדרות!$C$2:$C$17,MATCH(I131,הגדרות!$A$2:$A$17,0)),"")</f>
        <v/>
      </c>
      <c r="AD131" t="e">
        <f>IF(AND(מלאי!D42&lt;&gt;"",OR(#REF!="הכל",מלאי!Z42=#REF!,מלאי!AA42=#REF!,מלאי!AB42=#REF!,מלאי!AC42=#REF!),OR(#REF!="הכל",מלאי!A42=#REF!),OR(#REF!="הכל",מלאי!B42=#REF!),OR(#REF!="הכל",מלאי!F42=#REF!,מלאי!G42=#REF!),OR(#REF!="הכל",מלאי!T42=#REF!),OR(#REF!="הכל",מלאי!Q42=#REF!),OR(#REF!="הכל",מלאי!J42=#REF!),OR(#REF!="הכל",מלאי!L42=#REF!),OR(#REF!="הכל",מלאי!O42=#REF!),OR(#REF!="הכל",מלאי!R42=#REF!),OR(#REF!="הכל",#REF!="",מלאי!W42=#REF!),OR(#REF!="הכל",#REF!="",ISNUMBER(SEARCH(#REF!,מלאי!C42)))),1,0)</f>
        <v>#REF!</v>
      </c>
      <c r="AE131" t="e">
        <f>IF(AND(מלאי!D42&lt;&gt;"",OR(#REF!="הכל",מלאי!Z42=#REF!,מלאי!AA42=#REF!,מלאי!AB42=#REF!,מלאי!AC42=#REF!),OR(#REF!="הכל",מלאי!A42=#REF!),OR(#REF!="הכל",מלאי!B42=#REF!),OR(#REF!="הכל",מלאי!F42=#REF!,מלאי!G42=#REF!),OR(#REF!="הכל",מלאי!T42=#REF!),OR(#REF!="הכל",מלאי!Q42=#REF!),OR(#REF!="הכל",מלאי!J42=#REF!),OR(#REF!="הכל",מלאי!L42=#REF!),OR(#REF!="הכל",מלאי!O42=#REF!),OR(#REF!="הכל",מלאי!R42=#REF!),OR(#REF!="הכל",#REF!="",מלאי!W42=#REF!),OR(#REF!="הכל",#REF!="",ISNUMBER(SEARCH(#REF!,מלאי!C42))),OR(#REF!="הכל",מלאי!#REF!=#REF!)),1,0)</f>
        <v>#REF!</v>
      </c>
      <c r="AF131" t="e">
        <f>IF(AD131=1,COUNTIF($AD$3:$AD131,1),"")</f>
        <v>#REF!</v>
      </c>
      <c r="AG131" t="e">
        <f>IF(AE131=1,COUNTIF($AE$3:$AE131,1),"")</f>
        <v>#REF!</v>
      </c>
    </row>
    <row r="132" spans="1:33" ht="15" hidden="1" customHeight="1" x14ac:dyDescent="0.35">
      <c r="A132" s="4" t="s">
        <v>34</v>
      </c>
      <c r="B132" s="4" t="s">
        <v>62</v>
      </c>
      <c r="C132" s="4" t="s">
        <v>63</v>
      </c>
      <c r="D132" s="4" t="s">
        <v>273</v>
      </c>
      <c r="E132" s="4" t="str">
        <f>IFERROR(INDEX(הגדרות!$I$2:$I$47,MATCH(B132,הגדרות!$H$2:$H$47,0)),"")</f>
        <v>7018-00</v>
      </c>
      <c r="F132" s="4" t="s">
        <v>45</v>
      </c>
      <c r="G132" s="4"/>
      <c r="H132" s="4" t="s">
        <v>64</v>
      </c>
      <c r="I132" s="4"/>
      <c r="J132" s="4" t="s">
        <v>40</v>
      </c>
      <c r="K132" s="4"/>
      <c r="L132" s="4" t="s">
        <v>40</v>
      </c>
      <c r="M132" s="4"/>
      <c r="N132" s="4"/>
      <c r="O132" s="4" t="s">
        <v>40</v>
      </c>
      <c r="P132" s="4"/>
      <c r="Q132" s="4" t="s">
        <v>2</v>
      </c>
      <c r="R132" s="4"/>
      <c r="S132" s="4" t="s">
        <v>2</v>
      </c>
      <c r="T132" s="4" t="s">
        <v>41</v>
      </c>
      <c r="U132" s="4"/>
      <c r="V132" s="4"/>
      <c r="W132" s="4"/>
      <c r="X132" s="4"/>
      <c r="Y132" s="4"/>
      <c r="Z132" t="str">
        <f>IFERROR(INDEX(הגדרות!$B$2:$B$17,MATCH(H132,הגדרות!$A$2:$A$17,0)),"")</f>
        <v>ימי</v>
      </c>
      <c r="AA132">
        <f>IFERROR(INDEX(הגדרות!$C$2:$C$17,MATCH(H132,הגדרות!$A$2:$A$17,0)),"")</f>
        <v>0</v>
      </c>
      <c r="AB132" t="str">
        <f>IFERROR(INDEX(הגדרות!$B$2:$B$17,MATCH(I132,הגדרות!$A$2:$A$17,0)),"")</f>
        <v/>
      </c>
      <c r="AC132" t="str">
        <f>IFERROR(INDEX(הגדרות!$C$2:$C$17,MATCH(I132,הגדרות!$A$2:$A$17,0)),"")</f>
        <v/>
      </c>
      <c r="AD132" t="e">
        <f>IF(AND(מלאי!D28&lt;&gt;"",OR(#REF!="הכל",מלאי!Z28=#REF!,מלאי!AA28=#REF!,מלאי!AB28=#REF!,מלאי!AC28=#REF!),OR(#REF!="הכל",מלאי!A28=#REF!),OR(#REF!="הכל",מלאי!B28=#REF!),OR(#REF!="הכל",מלאי!F28=#REF!,מלאי!G28=#REF!),OR(#REF!="הכל",מלאי!T28=#REF!),OR(#REF!="הכל",מלאי!Q28=#REF!),OR(#REF!="הכל",מלאי!J28=#REF!),OR(#REF!="הכל",מלאי!L28=#REF!),OR(#REF!="הכל",מלאי!O28=#REF!),OR(#REF!="הכל",מלאי!R28=#REF!),OR(#REF!="הכל",#REF!="",מלאי!W28=#REF!),OR(#REF!="הכל",#REF!="",ISNUMBER(SEARCH(#REF!,מלאי!C28)))),1,0)</f>
        <v>#REF!</v>
      </c>
      <c r="AE132" t="e">
        <f>IF(AND(מלאי!D28&lt;&gt;"",OR(#REF!="הכל",מלאי!Z28=#REF!,מלאי!AA28=#REF!,מלאי!AB28=#REF!,מלאי!AC28=#REF!),OR(#REF!="הכל",מלאי!A28=#REF!),OR(#REF!="הכל",מלאי!B28=#REF!),OR(#REF!="הכל",מלאי!F28=#REF!,מלאי!G28=#REF!),OR(#REF!="הכל",מלאי!T28=#REF!),OR(#REF!="הכל",מלאי!Q28=#REF!),OR(#REF!="הכל",מלאי!J28=#REF!),OR(#REF!="הכל",מלאי!L28=#REF!),OR(#REF!="הכל",מלאי!O28=#REF!),OR(#REF!="הכל",מלאי!R28=#REF!),OR(#REF!="הכל",#REF!="",מלאי!W28=#REF!),OR(#REF!="הכל",#REF!="",ISNUMBER(SEARCH(#REF!,מלאי!C28))),OR(#REF!="הכל",מלאי!#REF!=#REF!)),1,0)</f>
        <v>#REF!</v>
      </c>
      <c r="AF132" t="e">
        <f>IF(AD132=1,COUNTIF($AD$3:$AD132,1),"")</f>
        <v>#REF!</v>
      </c>
      <c r="AG132" t="e">
        <f>IF(AE132=1,COUNTIF($AE$3:$AE132,1),"")</f>
        <v>#REF!</v>
      </c>
    </row>
    <row r="133" spans="1:33" ht="15" hidden="1" customHeight="1" x14ac:dyDescent="0.35">
      <c r="A133" s="4" t="s">
        <v>34</v>
      </c>
      <c r="B133" s="4" t="s">
        <v>62</v>
      </c>
      <c r="C133" s="4" t="s">
        <v>63</v>
      </c>
      <c r="D133" s="12" t="s">
        <v>274</v>
      </c>
      <c r="E133" s="4" t="str">
        <f>IFERROR(INDEX(הגדרות!$I$2:$I$47,MATCH(B133,הגדרות!$H$2:$H$47,0)),"")</f>
        <v>7018-00</v>
      </c>
      <c r="F133" s="4" t="s">
        <v>45</v>
      </c>
      <c r="G133" s="4"/>
      <c r="H133" s="4" t="s">
        <v>64</v>
      </c>
      <c r="I133" s="4"/>
      <c r="J133" s="4" t="s">
        <v>40</v>
      </c>
      <c r="K133" s="4"/>
      <c r="L133" s="4" t="s">
        <v>40</v>
      </c>
      <c r="M133" s="4"/>
      <c r="N133" s="4"/>
      <c r="O133" s="4" t="s">
        <v>40</v>
      </c>
      <c r="P133" s="4"/>
      <c r="Q133" s="4" t="s">
        <v>2</v>
      </c>
      <c r="R133" s="4"/>
      <c r="S133" s="4" t="s">
        <v>2</v>
      </c>
      <c r="T133" s="4" t="s">
        <v>41</v>
      </c>
      <c r="U133" s="4"/>
      <c r="V133" s="4"/>
      <c r="W133" s="4"/>
      <c r="X133" s="4"/>
      <c r="Y133" s="4"/>
      <c r="Z133" t="str">
        <f>IFERROR(INDEX(הגדרות!$B$2:$B$17,MATCH(H133,הגדרות!$A$2:$A$17,0)),"")</f>
        <v>ימי</v>
      </c>
      <c r="AA133">
        <f>IFERROR(INDEX(הגדרות!$C$2:$C$17,MATCH(H133,הגדרות!$A$2:$A$17,0)),"")</f>
        <v>0</v>
      </c>
      <c r="AB133" t="str">
        <f>IFERROR(INDEX(הגדרות!$B$2:$B$17,MATCH(I133,הגדרות!$A$2:$A$17,0)),"")</f>
        <v/>
      </c>
      <c r="AC133" t="str">
        <f>IFERROR(INDEX(הגדרות!$C$2:$C$17,MATCH(I133,הגדרות!$A$2:$A$17,0)),"")</f>
        <v/>
      </c>
      <c r="AD133" t="e">
        <f>IF(AND(מלאי!D29&lt;&gt;"",OR(#REF!="הכל",מלאי!Z29=#REF!,מלאי!AA29=#REF!,מלאי!AB29=#REF!,מלאי!AC29=#REF!),OR(#REF!="הכל",מלאי!A29=#REF!),OR(#REF!="הכל",מלאי!B29=#REF!),OR(#REF!="הכל",מלאי!F29=#REF!,מלאי!G29=#REF!),OR(#REF!="הכל",מלאי!T29=#REF!),OR(#REF!="הכל",מלאי!Q29=#REF!),OR(#REF!="הכל",מלאי!J29=#REF!),OR(#REF!="הכל",מלאי!L29=#REF!),OR(#REF!="הכל",מלאי!O29=#REF!),OR(#REF!="הכל",מלאי!R29=#REF!),OR(#REF!="הכל",#REF!="",מלאי!W29=#REF!),OR(#REF!="הכל",#REF!="",ISNUMBER(SEARCH(#REF!,מלאי!C29)))),1,0)</f>
        <v>#REF!</v>
      </c>
      <c r="AE133" t="e">
        <f>IF(AND(מלאי!D29&lt;&gt;"",OR(#REF!="הכל",מלאי!Z29=#REF!,מלאי!AA29=#REF!,מלאי!AB29=#REF!,מלאי!AC29=#REF!),OR(#REF!="הכל",מלאי!A29=#REF!),OR(#REF!="הכל",מלאי!B29=#REF!),OR(#REF!="הכל",מלאי!F29=#REF!,מלאי!G29=#REF!),OR(#REF!="הכל",מלאי!T29=#REF!),OR(#REF!="הכל",מלאי!Q29=#REF!),OR(#REF!="הכל",מלאי!J29=#REF!),OR(#REF!="הכל",מלאי!L29=#REF!),OR(#REF!="הכל",מלאי!O29=#REF!),OR(#REF!="הכל",מלאי!R29=#REF!),OR(#REF!="הכל",#REF!="",מלאי!W29=#REF!),OR(#REF!="הכל",#REF!="",ISNUMBER(SEARCH(#REF!,מלאי!C29))),OR(#REF!="הכל",מלאי!#REF!=#REF!)),1,0)</f>
        <v>#REF!</v>
      </c>
      <c r="AF133" t="e">
        <f>IF(AD133=1,COUNTIF($AD$3:$AD133,1),"")</f>
        <v>#REF!</v>
      </c>
      <c r="AG133" t="e">
        <f>IF(AE133=1,COUNTIF($AE$3:$AE133,1),"")</f>
        <v>#REF!</v>
      </c>
    </row>
    <row r="134" spans="1:33" ht="15" hidden="1" customHeight="1" x14ac:dyDescent="0.35">
      <c r="A134" s="5" t="s">
        <v>34</v>
      </c>
      <c r="B134" s="5" t="s">
        <v>62</v>
      </c>
      <c r="C134" s="5" t="s">
        <v>65</v>
      </c>
      <c r="D134" s="5" t="s">
        <v>66</v>
      </c>
      <c r="E134" s="5" t="str">
        <f>IFERROR(INDEX(הגדרות!$I$2:$I$47,MATCH(B134,הגדרות!$H$2:$H$47,0)),"")</f>
        <v>7018-00</v>
      </c>
      <c r="F134" s="5" t="s">
        <v>51</v>
      </c>
      <c r="G134" s="5"/>
      <c r="H134" s="5" t="s">
        <v>67</v>
      </c>
      <c r="I134" s="5" t="s">
        <v>52</v>
      </c>
      <c r="J134" s="5" t="s">
        <v>40</v>
      </c>
      <c r="K134" s="5" t="s">
        <v>40</v>
      </c>
      <c r="L134" s="5" t="s">
        <v>40</v>
      </c>
      <c r="M134" s="5" t="s">
        <v>40</v>
      </c>
      <c r="N134" s="5"/>
      <c r="O134" s="5" t="s">
        <v>40</v>
      </c>
      <c r="P134" s="5"/>
      <c r="Q134" s="5" t="s">
        <v>2</v>
      </c>
      <c r="R134" s="5"/>
      <c r="S134" s="5" t="s">
        <v>2</v>
      </c>
      <c r="T134" s="5" t="s">
        <v>41</v>
      </c>
      <c r="U134" s="5"/>
      <c r="V134" s="5"/>
      <c r="W134" s="5"/>
      <c r="X134" s="5"/>
      <c r="Y134" s="5"/>
      <c r="Z134" t="str">
        <f>IFERROR(INDEX(הגדרות!$B$2:$B$17,MATCH(H134,הגדרות!$A$2:$A$17,0)),"")</f>
        <v>מיוער</v>
      </c>
      <c r="AA134">
        <f>IFERROR(INDEX(הגדרות!$C$2:$C$17,MATCH(H134,הגדרות!$A$2:$A$17,0)),"")</f>
        <v>0</v>
      </c>
      <c r="AB134" t="str">
        <f>IFERROR(INDEX(הגדרות!$B$2:$B$17,MATCH(I134,הגדרות!$A$2:$A$17,0)),"")</f>
        <v>מיוער</v>
      </c>
      <c r="AC134">
        <f>IFERROR(INDEX(הגדרות!$C$2:$C$17,MATCH(I134,הגדרות!$A$2:$A$17,0)),"")</f>
        <v>0</v>
      </c>
      <c r="AD134" t="e">
        <f>IF(AND(מלאי!D32&lt;&gt;"",OR(#REF!="הכל",מלאי!Z32=#REF!,מלאי!AA32=#REF!,מלאי!AB32=#REF!,מלאי!AC32=#REF!),OR(#REF!="הכל",מלאי!A32=#REF!),OR(#REF!="הכל",מלאי!B32=#REF!),OR(#REF!="הכל",מלאי!F32=#REF!,מלאי!G32=#REF!),OR(#REF!="הכל",מלאי!T32=#REF!),OR(#REF!="הכל",מלאי!Q32=#REF!),OR(#REF!="הכל",מלאי!J32=#REF!),OR(#REF!="הכל",מלאי!L32=#REF!),OR(#REF!="הכל",מלאי!O32=#REF!),OR(#REF!="הכל",מלאי!R32=#REF!),OR(#REF!="הכל",#REF!="",מלאי!W32=#REF!),OR(#REF!="הכל",#REF!="",ISNUMBER(SEARCH(#REF!,מלאי!C32)))),1,0)</f>
        <v>#REF!</v>
      </c>
      <c r="AE134" t="e">
        <f>IF(AND(מלאי!D32&lt;&gt;"",OR(#REF!="הכל",מלאי!Z32=#REF!,מלאי!AA32=#REF!,מלאי!AB32=#REF!,מלאי!AC32=#REF!),OR(#REF!="הכל",מלאי!A32=#REF!),OR(#REF!="הכל",מלאי!B32=#REF!),OR(#REF!="הכל",מלאי!F32=#REF!,מלאי!G32=#REF!),OR(#REF!="הכל",מלאי!T32=#REF!),OR(#REF!="הכל",מלאי!Q32=#REF!),OR(#REF!="הכל",מלאי!J32=#REF!),OR(#REF!="הכל",מלאי!L32=#REF!),OR(#REF!="הכל",מלאי!O32=#REF!),OR(#REF!="הכל",מלאי!R32=#REF!),OR(#REF!="הכל",#REF!="",מלאי!W32=#REF!),OR(#REF!="הכל",#REF!="",ISNUMBER(SEARCH(#REF!,מלאי!C32))),OR(#REF!="הכל",מלאי!#REF!=#REF!)),1,0)</f>
        <v>#REF!</v>
      </c>
      <c r="AF134" t="e">
        <f>IF(AD134=1,COUNTIF($AD$3:$AD134,1),"")</f>
        <v>#REF!</v>
      </c>
      <c r="AG134" t="e">
        <f>IF(AE134=1,COUNTIF($AE$3:$AE134,1),"")</f>
        <v>#REF!</v>
      </c>
    </row>
    <row r="135" spans="1:33" ht="15" hidden="1" customHeight="1" x14ac:dyDescent="0.35">
      <c r="A135" s="5" t="s">
        <v>34</v>
      </c>
      <c r="B135" s="5" t="s">
        <v>62</v>
      </c>
      <c r="C135" s="5" t="s">
        <v>65</v>
      </c>
      <c r="D135" s="5" t="s">
        <v>279</v>
      </c>
      <c r="E135" s="5" t="str">
        <f>IFERROR(INDEX(הגדרות!$I$2:$I$47,MATCH(B135,הגדרות!$H$2:$H$47,0)),"")</f>
        <v>7018-00</v>
      </c>
      <c r="F135" s="5" t="s">
        <v>51</v>
      </c>
      <c r="G135" s="5"/>
      <c r="H135" s="5" t="s">
        <v>64</v>
      </c>
      <c r="I135" s="5" t="s">
        <v>52</v>
      </c>
      <c r="J135" s="5" t="s">
        <v>40</v>
      </c>
      <c r="K135" s="5" t="s">
        <v>40</v>
      </c>
      <c r="L135" s="5" t="s">
        <v>40</v>
      </c>
      <c r="M135" s="5" t="s">
        <v>40</v>
      </c>
      <c r="N135" s="5"/>
      <c r="O135" s="5" t="s">
        <v>40</v>
      </c>
      <c r="P135" s="5"/>
      <c r="Q135" s="5" t="s">
        <v>2</v>
      </c>
      <c r="R135" s="5"/>
      <c r="S135" s="5" t="s">
        <v>2</v>
      </c>
      <c r="T135" s="5" t="s">
        <v>41</v>
      </c>
      <c r="U135" s="5"/>
      <c r="V135" s="5"/>
      <c r="W135" s="5"/>
      <c r="X135" s="5"/>
      <c r="Y135" s="5"/>
      <c r="Z135" t="str">
        <f>IFERROR(INDEX(הגדרות!$B$2:$B$17,MATCH(H135,הגדרות!$A$2:$A$17,0)),"")</f>
        <v>ימי</v>
      </c>
      <c r="AA135">
        <f>IFERROR(INDEX(הגדרות!$C$2:$C$17,MATCH(H135,הגדרות!$A$2:$A$17,0)),"")</f>
        <v>0</v>
      </c>
      <c r="AB135" t="str">
        <f>IFERROR(INDEX(הגדרות!$B$2:$B$17,MATCH(I135,הגדרות!$A$2:$A$17,0)),"")</f>
        <v>מיוער</v>
      </c>
      <c r="AC135">
        <f>IFERROR(INDEX(הגדרות!$C$2:$C$17,MATCH(I135,הגדרות!$A$2:$A$17,0)),"")</f>
        <v>0</v>
      </c>
      <c r="AD135" t="e">
        <f>IF(AND(מלאי!D34&lt;&gt;"",OR(#REF!="הכל",מלאי!Z34=#REF!,מלאי!AA34=#REF!,מלאי!AB34=#REF!,מלאי!AC34=#REF!),OR(#REF!="הכל",מלאי!A34=#REF!),OR(#REF!="הכל",מלאי!B34=#REF!),OR(#REF!="הכל",מלאי!F34=#REF!,מלאי!G34=#REF!),OR(#REF!="הכל",מלאי!T34=#REF!),OR(#REF!="הכל",מלאי!Q34=#REF!),OR(#REF!="הכל",מלאי!J34=#REF!),OR(#REF!="הכל",מלאי!L34=#REF!),OR(#REF!="הכל",מלאי!O34=#REF!),OR(#REF!="הכל",מלאי!R34=#REF!),OR(#REF!="הכל",#REF!="",מלאי!W34=#REF!),OR(#REF!="הכל",#REF!="",ISNUMBER(SEARCH(#REF!,מלאי!C34)))),1,0)</f>
        <v>#REF!</v>
      </c>
      <c r="AE135" t="e">
        <f>IF(AND(מלאי!D34&lt;&gt;"",OR(#REF!="הכל",מלאי!Z34=#REF!,מלאי!AA34=#REF!,מלאי!AB34=#REF!,מלאי!AC34=#REF!),OR(#REF!="הכל",מלאי!A34=#REF!),OR(#REF!="הכל",מלאי!B34=#REF!),OR(#REF!="הכל",מלאי!F34=#REF!,מלאי!G34=#REF!),OR(#REF!="הכל",מלאי!T34=#REF!),OR(#REF!="הכל",מלאי!Q34=#REF!),OR(#REF!="הכל",מלאי!J34=#REF!),OR(#REF!="הכל",מלאי!L34=#REF!),OR(#REF!="הכל",מלאי!O34=#REF!),OR(#REF!="הכל",מלאי!R34=#REF!),OR(#REF!="הכל",#REF!="",מלאי!W34=#REF!),OR(#REF!="הכל",#REF!="",ISNUMBER(SEARCH(#REF!,מלאי!C34))),OR(#REF!="הכל",מלאי!#REF!=#REF!)),1,0)</f>
        <v>#REF!</v>
      </c>
      <c r="AF135" t="e">
        <f>IF(AD135=1,COUNTIF($AD$3:$AD135,1),"")</f>
        <v>#REF!</v>
      </c>
      <c r="AG135" t="e">
        <f>IF(AE135=1,COUNTIF($AE$3:$AE135,1),"")</f>
        <v>#REF!</v>
      </c>
    </row>
    <row r="136" spans="1:33" ht="15" hidden="1" customHeight="1" x14ac:dyDescent="0.35">
      <c r="A136" s="5" t="s">
        <v>34</v>
      </c>
      <c r="B136" s="5" t="s">
        <v>62</v>
      </c>
      <c r="C136" s="5" t="s">
        <v>36</v>
      </c>
      <c r="D136" s="11" t="s">
        <v>238</v>
      </c>
      <c r="E136" s="5" t="str">
        <f>IFERROR(INDEX(הגדרות!$I$2:$I$47,MATCH(B136,הגדרות!$H$2:$H$47,0)),"")</f>
        <v>7018-00</v>
      </c>
      <c r="F136" s="11" t="s">
        <v>80</v>
      </c>
      <c r="G136" s="5"/>
      <c r="H136" s="5" t="s">
        <v>38</v>
      </c>
      <c r="I136" s="5" t="s">
        <v>39</v>
      </c>
      <c r="J136" s="5" t="s">
        <v>40</v>
      </c>
      <c r="K136" s="5" t="s">
        <v>40</v>
      </c>
      <c r="L136" s="5" t="s">
        <v>2</v>
      </c>
      <c r="M136" s="5" t="s">
        <v>2</v>
      </c>
      <c r="N136" s="5"/>
      <c r="O136" s="5" t="s">
        <v>2</v>
      </c>
      <c r="P136" s="5"/>
      <c r="Q136" s="5" t="s">
        <v>40</v>
      </c>
      <c r="R136" s="5"/>
      <c r="S136" s="5" t="s">
        <v>2</v>
      </c>
      <c r="T136" s="5" t="s">
        <v>41</v>
      </c>
      <c r="U136" s="11" t="s">
        <v>239</v>
      </c>
      <c r="V136" s="5"/>
      <c r="W136" s="5"/>
      <c r="X136" s="5"/>
      <c r="Y136" s="5"/>
      <c r="Z136" t="str">
        <f>IFERROR(INDEX(הגדרות!$B$2:$B$17,MATCH(H136,הגדרות!$A$2:$A$17,0)),"")</f>
        <v>מיוער</v>
      </c>
      <c r="AA136">
        <f>IFERROR(INDEX(הגדרות!$C$2:$C$17,MATCH(H136,הגדרות!$A$2:$A$17,0)),"")</f>
        <v>0</v>
      </c>
      <c r="AB136" t="str">
        <f>IFERROR(INDEX(הגדרות!$B$2:$B$17,MATCH(I137,הגדרות!$A$2:$A$17,0)),"")</f>
        <v/>
      </c>
      <c r="AC136" t="str">
        <f>IFERROR(INDEX(הגדרות!$C$2:$C$17,MATCH(I137,הגדרות!$A$2:$A$17,0)),"")</f>
        <v/>
      </c>
      <c r="AD136" t="e">
        <f>IF(AND(מלאי!D86&lt;&gt;"",OR(#REF!="הכל",מלאי!Z86=#REF!,מלאי!AA86=#REF!,מלאי!AB86=#REF!,מלאי!AC86=#REF!),OR(#REF!="הכל",מלאי!A86=#REF!),OR(#REF!="הכל",מלאי!B86=#REF!),OR(#REF!="הכל",מלאי!F86=#REF!,מלאי!G86=#REF!),OR(#REF!="הכל",מלאי!T86=#REF!),OR(#REF!="הכל",מלאי!Q86=#REF!),OR(#REF!="הכל",מלאי!J86=#REF!),OR(#REF!="הכל",מלאי!L86=#REF!),OR(#REF!="הכל",מלאי!O86=#REF!),OR(#REF!="הכל",מלאי!R86=#REF!),OR(#REF!="הכל",#REF!="",מלאי!W86=#REF!),OR(#REF!="הכל",#REF!="",ISNUMBER(SEARCH(#REF!,מלאי!C86)))),1,0)</f>
        <v>#REF!</v>
      </c>
      <c r="AE136" t="e">
        <f>IF(AND(מלאי!D86&lt;&gt;"",OR(#REF!="הכל",מלאי!Z86=#REF!,מלאי!AA86=#REF!,מלאי!AB86=#REF!,מלאי!AC86=#REF!),OR(#REF!="הכל",מלאי!A86=#REF!),OR(#REF!="הכל",מלאי!B86=#REF!),OR(#REF!="הכל",מלאי!F86=#REF!,מלאי!G86=#REF!),OR(#REF!="הכל",מלאי!T86=#REF!),OR(#REF!="הכל",מלאי!Q86=#REF!),OR(#REF!="הכל",מלאי!J86=#REF!),OR(#REF!="הכל",מלאי!L86=#REF!),OR(#REF!="הכל",מלאי!O86=#REF!),OR(#REF!="הכל",מלאי!R86=#REF!),OR(#REF!="הכל",#REF!="",מלאי!W86=#REF!),OR(#REF!="הכל",#REF!="",ISNUMBER(SEARCH(#REF!,מלאי!C86))),OR(#REF!="הכל",מלאי!#REF!=#REF!)),1,0)</f>
        <v>#REF!</v>
      </c>
      <c r="AF136" t="e">
        <f>IF(AD136=1,COUNTIF($AD$3:$AD136,1),"")</f>
        <v>#REF!</v>
      </c>
      <c r="AG136" t="e">
        <f>IF(AE136=1,COUNTIF($AE$3:$AE136,1),"")</f>
        <v>#REF!</v>
      </c>
    </row>
    <row r="137" spans="1:33" ht="15" customHeight="1" x14ac:dyDescent="0.35">
      <c r="A137" s="12" t="s">
        <v>144</v>
      </c>
      <c r="B137" s="12" t="s">
        <v>203</v>
      </c>
      <c r="C137" s="12" t="s">
        <v>323</v>
      </c>
      <c r="D137" s="12" t="s">
        <v>331</v>
      </c>
      <c r="E137" s="12">
        <f>IFERROR(INDEX(הגדרות!$I$2:$I$47,MATCH(B137,הגדרות!$H$2:$H$47,0)),"")</f>
        <v>0</v>
      </c>
      <c r="F137" s="12" t="s">
        <v>311</v>
      </c>
      <c r="G137" s="12"/>
      <c r="H137" s="12" t="s">
        <v>72</v>
      </c>
      <c r="I137" s="12"/>
      <c r="J137" s="12" t="s">
        <v>40</v>
      </c>
      <c r="K137" s="12"/>
      <c r="L137" s="12"/>
      <c r="M137" s="12"/>
      <c r="N137" s="12"/>
      <c r="O137" s="12"/>
      <c r="P137" s="12" t="s">
        <v>317</v>
      </c>
      <c r="Q137" s="12"/>
      <c r="R137" s="12" t="s">
        <v>147</v>
      </c>
      <c r="S137" s="12"/>
      <c r="T137" s="12" t="s">
        <v>41</v>
      </c>
      <c r="U137" s="12"/>
      <c r="V137" s="12"/>
      <c r="W137" s="12"/>
      <c r="X137" s="12"/>
      <c r="Y137" s="12"/>
      <c r="Z137" t="str">
        <f>IFERROR(INDEX(הגדרות!$B$2:$B$17,MATCH(H137,הגדרות!$A$2:$A$17,0)),"")</f>
        <v>מיוער</v>
      </c>
      <c r="AA137">
        <f>IFERROR(INDEX(הגדרות!$C$2:$C$17,MATCH(H137,הגדרות!$A$2:$A$17,0)),"")</f>
        <v>0</v>
      </c>
      <c r="AB137" t="str">
        <f>IFERROR(INDEX(הגדרות!$B$2:$B$17,MATCH(I137,הגדרות!$A$2:$A$17,0)),"")</f>
        <v/>
      </c>
      <c r="AC137" t="str">
        <f>IFERROR(INDEX(הגדרות!$C$2:$C$17,MATCH(I137,הגדרות!$A$2:$A$17,0)),"")</f>
        <v/>
      </c>
      <c r="AD137" t="e">
        <f>IF(AND(מלאי!D106&lt;&gt;"",OR(#REF!="הכל",מלאי!Z106=#REF!,מלאי!AA106=#REF!,מלאי!AB106=#REF!,מלאי!AC106=#REF!),OR(#REF!="הכל",מלאי!A106=#REF!),OR(#REF!="הכל",מלאי!B106=#REF!),OR(#REF!="הכל",מלאי!F106=#REF!,מלאי!G106=#REF!),OR(#REF!="הכל",מלאי!T106=#REF!),OR(#REF!="הכל",מלאי!Q106=#REF!),OR(#REF!="הכל",מלאי!J106=#REF!),OR(#REF!="הכל",מלאי!L106=#REF!),OR(#REF!="הכל",מלאי!O106=#REF!),OR(#REF!="הכל",מלאי!R106=#REF!),OR(#REF!="הכל",#REF!="",מלאי!W106=#REF!),OR(#REF!="הכל",#REF!="",ISNUMBER(SEARCH(#REF!,מלאי!C106)))),1,0)</f>
        <v>#REF!</v>
      </c>
      <c r="AE137" t="e">
        <f>IF(AND(מלאי!D106&lt;&gt;"",OR(#REF!="הכל",מלאי!Z106=#REF!,מלאי!AA106=#REF!,מלאי!AB106=#REF!,מלאי!AC106=#REF!),OR(#REF!="הכל",מלאי!A106=#REF!),OR(#REF!="הכל",מלאי!B106=#REF!),OR(#REF!="הכל",מלאי!F106=#REF!,מלאי!G106=#REF!),OR(#REF!="הכל",מלאי!T106=#REF!),OR(#REF!="הכל",מלאי!Q106=#REF!),OR(#REF!="הכל",מלאי!J106=#REF!),OR(#REF!="הכל",מלאי!L106=#REF!),OR(#REF!="הכל",מלאי!O106=#REF!),OR(#REF!="הכל",מלאי!R106=#REF!),OR(#REF!="הכל",#REF!="",מלאי!W106=#REF!),OR(#REF!="הכל",#REF!="",ISNUMBER(SEARCH(#REF!,מלאי!C106))),OR(#REF!="הכל",מלאי!#REF!=#REF!)),1,0)</f>
        <v>#REF!</v>
      </c>
      <c r="AF137" t="e">
        <f>IF(AD137=1,COUNTIF($AD$3:$AD137,1),"")</f>
        <v>#REF!</v>
      </c>
      <c r="AG137" t="e">
        <f>IF(AE137=1,COUNTIF($AE$3:$AE137,1),"")</f>
        <v>#REF!</v>
      </c>
    </row>
    <row r="138" spans="1:33" ht="15" customHeight="1" x14ac:dyDescent="0.35">
      <c r="A138" s="28" t="s">
        <v>144</v>
      </c>
      <c r="B138" s="28" t="s">
        <v>203</v>
      </c>
      <c r="C138" s="28" t="s">
        <v>402</v>
      </c>
      <c r="D138" s="28" t="s">
        <v>403</v>
      </c>
      <c r="E138" s="28">
        <f>IFERROR(INDEX(הגדרות!$I$2:$I$47,MATCH(B138,הגדרות!$H$2:$H$47,0)),"")</f>
        <v>0</v>
      </c>
      <c r="F138" s="28" t="s">
        <v>313</v>
      </c>
      <c r="G138" s="28"/>
      <c r="H138" s="28" t="s">
        <v>38</v>
      </c>
      <c r="I138" s="28"/>
      <c r="J138" s="28" t="s">
        <v>40</v>
      </c>
      <c r="K138" s="28"/>
      <c r="L138" s="28"/>
      <c r="M138" s="28"/>
      <c r="N138" s="28"/>
      <c r="O138" s="28"/>
      <c r="P138" s="28"/>
      <c r="Q138" s="28" t="s">
        <v>40</v>
      </c>
      <c r="R138" s="28" t="s">
        <v>147</v>
      </c>
      <c r="S138" s="28"/>
      <c r="T138" s="28" t="s">
        <v>41</v>
      </c>
      <c r="U138" s="28"/>
      <c r="V138" s="28"/>
      <c r="W138" s="28"/>
      <c r="X138" s="28"/>
      <c r="Y138" s="28"/>
      <c r="Z138" t="str">
        <f>IFERROR(INDEX(הגדרות!$B$2:$B$17,MATCH(H138,הגדרות!$A$2:$A$17,0)),"")</f>
        <v>מיוער</v>
      </c>
      <c r="AA138">
        <f>IFERROR(INDEX(הגדרות!$C$2:$C$17,MATCH(H138,הגדרות!$A$2:$A$17,0)),"")</f>
        <v>0</v>
      </c>
      <c r="AB138" t="str">
        <f>IFERROR(INDEX(הגדרות!$B$2:$B$17,MATCH(I138,הגדרות!$A$2:$A$17,0)),"")</f>
        <v/>
      </c>
      <c r="AC138" t="str">
        <f>IFERROR(INDEX(הגדרות!$C$2:$C$17,MATCH(I138,הגדרות!$A$2:$A$17,0)),"")</f>
        <v/>
      </c>
      <c r="AD138" t="e">
        <f>IF(AND(מלאי!D158&lt;&gt;"",OR(#REF!="הכל",מלאי!Z158=#REF!,מלאי!AA158=#REF!,מלאי!AB158=#REF!,מלאי!AC158=#REF!),OR(#REF!="הכל",מלאי!A158=#REF!),OR(#REF!="הכל",מלאי!B158=#REF!),OR(#REF!="הכל",מלאי!F158=#REF!,מלאי!G158=#REF!),OR(#REF!="הכל",מלאי!T158=#REF!),OR(#REF!="הכל",מלאי!Q158=#REF!),OR(#REF!="הכל",מלאי!J158=#REF!),OR(#REF!="הכל",מלאי!L158=#REF!),OR(#REF!="הכל",מלאי!O158=#REF!),OR(#REF!="הכל",מלאי!R158=#REF!),OR(#REF!="הכל",#REF!="",מלאי!W158=#REF!),OR(#REF!="הכל",#REF!="",ISNUMBER(SEARCH(#REF!,מלאי!C158)))),1,0)</f>
        <v>#REF!</v>
      </c>
      <c r="AE138" t="e">
        <f>IF(AND(מלאי!D158&lt;&gt;"",OR(#REF!="הכל",מלאי!Z158=#REF!,מלאי!AA158=#REF!,מלאי!AB158=#REF!,מלאי!AC158=#REF!),OR(#REF!="הכל",מלאי!A158=#REF!),OR(#REF!="הכל",מלאי!B158=#REF!),OR(#REF!="הכל",מלאי!F158=#REF!,מלאי!G158=#REF!),OR(#REF!="הכל",מלאי!T158=#REF!),OR(#REF!="הכל",מלאי!Q158=#REF!),OR(#REF!="הכל",מלאי!J158=#REF!),OR(#REF!="הכל",מלאי!L158=#REF!),OR(#REF!="הכל",מלאי!O158=#REF!),OR(#REF!="הכל",מלאי!R158=#REF!),OR(#REF!="הכל",#REF!="",מלאי!W158=#REF!),OR(#REF!="הכל",#REF!="",ISNUMBER(SEARCH(#REF!,מלאי!C158))),OR(#REF!="הכל",מלאי!#REF!=#REF!)),1,0)</f>
        <v>#REF!</v>
      </c>
      <c r="AF138" t="e">
        <f>IF(AD138=1,COUNTIF($AD$3:$AD138,1),"")</f>
        <v>#REF!</v>
      </c>
      <c r="AG138" t="e">
        <f>IF(AE138=1,COUNTIF($AE$3:$AE138,1),"")</f>
        <v>#REF!</v>
      </c>
    </row>
    <row r="139" spans="1:33" ht="15" customHeight="1" x14ac:dyDescent="0.35">
      <c r="A139" s="5" t="s">
        <v>144</v>
      </c>
      <c r="B139" s="5" t="s">
        <v>203</v>
      </c>
      <c r="C139" s="12" t="s">
        <v>323</v>
      </c>
      <c r="D139" s="5" t="s">
        <v>409</v>
      </c>
      <c r="E139" s="5">
        <f>IFERROR(INDEX(הגדרות!$I$2:$I$47,MATCH(B139,הגדרות!$H$2:$H$47,0)),"")</f>
        <v>0</v>
      </c>
      <c r="F139" s="5" t="s">
        <v>311</v>
      </c>
      <c r="G139" s="5"/>
      <c r="H139" s="5" t="s">
        <v>64</v>
      </c>
      <c r="I139" s="5"/>
      <c r="J139" s="5" t="s">
        <v>40</v>
      </c>
      <c r="K139" s="5"/>
      <c r="L139" s="5"/>
      <c r="M139" s="5"/>
      <c r="N139" s="5"/>
      <c r="O139" s="5" t="s">
        <v>2</v>
      </c>
      <c r="P139" s="5"/>
      <c r="Q139" s="5"/>
      <c r="R139" s="5" t="s">
        <v>147</v>
      </c>
      <c r="S139" s="5"/>
      <c r="T139" s="5" t="s">
        <v>41</v>
      </c>
      <c r="U139" s="5" t="s">
        <v>408</v>
      </c>
      <c r="V139" s="5"/>
      <c r="W139" s="5"/>
      <c r="X139" s="5"/>
      <c r="Y139" s="5"/>
      <c r="Z139" t="str">
        <f>IFERROR(INDEX(הגדרות!$B$2:$B$17,MATCH(H139,הגדרות!$A$2:$A$17,0)),"")</f>
        <v>ימי</v>
      </c>
      <c r="AA139">
        <f>IFERROR(INDEX(הגדרות!$C$2:$C$17,MATCH(H139,הגדרות!$A$2:$A$17,0)),"")</f>
        <v>0</v>
      </c>
      <c r="AB139" t="str">
        <f>IFERROR(INDEX(הגדרות!$B$2:$B$17,MATCH(I139,הגדרות!$A$2:$A$17,0)),"")</f>
        <v/>
      </c>
      <c r="AC139" t="str">
        <f>IFERROR(INDEX(הגדרות!$C$2:$C$17,MATCH(I139,הגדרות!$A$2:$A$17,0)),"")</f>
        <v/>
      </c>
      <c r="AD139" t="e">
        <f>IF(AND(מלאי!D162&lt;&gt;"",OR(#REF!="הכל",מלאי!Z162=#REF!,מלאי!AA162=#REF!,מלאי!AB162=#REF!,מלאי!AC162=#REF!),OR(#REF!="הכל",מלאי!A162=#REF!),OR(#REF!="הכל",מלאי!B162=#REF!),OR(#REF!="הכל",מלאי!F162=#REF!,מלאי!G162=#REF!),OR(#REF!="הכל",מלאי!T162=#REF!),OR(#REF!="הכל",מלאי!Q162=#REF!),OR(#REF!="הכל",מלאי!J162=#REF!),OR(#REF!="הכל",מלאי!L162=#REF!),OR(#REF!="הכל",מלאי!O162=#REF!),OR(#REF!="הכל",מלאי!R162=#REF!),OR(#REF!="הכל",#REF!="",מלאי!W162=#REF!),OR(#REF!="הכל",#REF!="",ISNUMBER(SEARCH(#REF!,מלאי!C162)))),1,0)</f>
        <v>#REF!</v>
      </c>
      <c r="AE139" t="e">
        <f>IF(AND(מלאי!D162&lt;&gt;"",OR(#REF!="הכל",מלאי!Z162=#REF!,מלאי!AA162=#REF!,מלאי!AB162=#REF!,מלאי!AC162=#REF!),OR(#REF!="הכל",מלאי!A162=#REF!),OR(#REF!="הכל",מלאי!B162=#REF!),OR(#REF!="הכל",מלאי!F162=#REF!,מלאי!G162=#REF!),OR(#REF!="הכל",מלאי!T162=#REF!),OR(#REF!="הכל",מלאי!Q162=#REF!),OR(#REF!="הכל",מלאי!J162=#REF!),OR(#REF!="הכל",מלאי!L162=#REF!),OR(#REF!="הכל",מלאי!O162=#REF!),OR(#REF!="הכל",מלאי!R162=#REF!),OR(#REF!="הכל",#REF!="",מלאי!W162=#REF!),OR(#REF!="הכל",#REF!="",ISNUMBER(SEARCH(#REF!,מלאי!C162))),OR(#REF!="הכל",מלאי!#REF!=#REF!)),1,0)</f>
        <v>#REF!</v>
      </c>
      <c r="AF139" t="e">
        <f>IF(AD139=1,COUNTIF($AD$3:$AD139,1),"")</f>
        <v>#REF!</v>
      </c>
      <c r="AG139" t="e">
        <f>IF(AE139=1,COUNTIF($AE$3:$AE139,1),"")</f>
        <v>#REF!</v>
      </c>
    </row>
    <row r="140" spans="1:33" ht="15" customHeight="1" x14ac:dyDescent="0.35">
      <c r="A140" s="5" t="s">
        <v>144</v>
      </c>
      <c r="B140" s="5" t="s">
        <v>203</v>
      </c>
      <c r="C140" s="4" t="s">
        <v>323</v>
      </c>
      <c r="D140" s="5" t="s">
        <v>478</v>
      </c>
      <c r="E140" s="5">
        <f>IFERROR(INDEX(הגדרות!$I$2:$I$47,MATCH(B140,הגדרות!$H$2:$H$47,0)),"")</f>
        <v>0</v>
      </c>
      <c r="F140" s="4" t="s">
        <v>311</v>
      </c>
      <c r="G140" s="5"/>
      <c r="H140" s="5" t="s">
        <v>165</v>
      </c>
      <c r="I140" s="5"/>
      <c r="J140" s="5" t="s">
        <v>40</v>
      </c>
      <c r="K140" s="5"/>
      <c r="L140" s="5"/>
      <c r="M140" s="5"/>
      <c r="N140" s="5"/>
      <c r="O140" s="5"/>
      <c r="P140" s="5" t="s">
        <v>479</v>
      </c>
      <c r="Q140" s="5"/>
      <c r="R140" s="5"/>
      <c r="S140" s="5"/>
      <c r="T140" s="5" t="s">
        <v>41</v>
      </c>
      <c r="U140" s="5"/>
      <c r="V140" s="5"/>
      <c r="W140" s="5"/>
      <c r="X140" s="5"/>
      <c r="Y140" s="5"/>
      <c r="Z140" t="str">
        <f>IFERROR(INDEX(הגדרות!$B$2:$B$17,MATCH(H140,הגדרות!$A$2:$A$17,0)),"")</f>
        <v>שלג</v>
      </c>
      <c r="AA140">
        <f>IFERROR(INDEX(הגדרות!$C$2:$C$17,MATCH(H140,הגדרות!$A$2:$A$17,0)),"")</f>
        <v>0</v>
      </c>
      <c r="AB140" t="str">
        <f>IFERROR(INDEX(הגדרות!$B$2:$B$17,MATCH(I140,הגדרות!$A$2:$A$17,0)),"")</f>
        <v/>
      </c>
      <c r="AC140" t="str">
        <f>IFERROR(INDEX(הגדרות!$C$2:$C$17,MATCH(I140,הגדרות!$A$2:$A$17,0)),"")</f>
        <v/>
      </c>
      <c r="AD140" t="e">
        <f>IF(AND(מלאי!D190&lt;&gt;"",OR(#REF!="הכל",מלאי!Z190=#REF!,מלאי!AA190=#REF!,מלאי!AB190=#REF!,מלאי!AC190=#REF!),OR(#REF!="הכל",מלאי!A190=#REF!),OR(#REF!="הכל",מלאי!B190=#REF!),OR(#REF!="הכל",מלאי!F190=#REF!,מלאי!G190=#REF!),OR(#REF!="הכל",מלאי!T190=#REF!),OR(#REF!="הכל",מלאי!Q190=#REF!),OR(#REF!="הכל",מלאי!J190=#REF!),OR(#REF!="הכל",מלאי!L190=#REF!),OR(#REF!="הכל",מלאי!O190=#REF!),OR(#REF!="הכל",מלאי!R190=#REF!),OR(#REF!="הכל",#REF!="",מלאי!W190=#REF!),OR(#REF!="הכל",#REF!="",ISNUMBER(SEARCH(#REF!,מלאי!C190)))),1,0)</f>
        <v>#REF!</v>
      </c>
      <c r="AE140" t="e">
        <f>IF(AND(מלאי!D190&lt;&gt;"",OR(#REF!="הכל",מלאי!Z190=#REF!,מלאי!AA190=#REF!,מלאי!AB190=#REF!,מלאי!AC190=#REF!),OR(#REF!="הכל",מלאי!A190=#REF!),OR(#REF!="הכל",מלאי!B190=#REF!),OR(#REF!="הכל",מלאי!F190=#REF!,מלאי!G190=#REF!),OR(#REF!="הכל",מלאי!T190=#REF!),OR(#REF!="הכל",מלאי!Q190=#REF!),OR(#REF!="הכל",מלאי!J190=#REF!),OR(#REF!="הכל",מלאי!L190=#REF!),OR(#REF!="הכל",מלאי!O190=#REF!),OR(#REF!="הכל",מלאי!R190=#REF!),OR(#REF!="הכל",#REF!="",מלאי!W190=#REF!),OR(#REF!="הכל",#REF!="",ISNUMBER(SEARCH(#REF!,מלאי!C190))),OR(#REF!="הכל",מלאי!#REF!=#REF!)),1,0)</f>
        <v>#REF!</v>
      </c>
      <c r="AF140" t="e">
        <f>IF(AD140=1,COUNTIF($AD$3:$AD140,1),"")</f>
        <v>#REF!</v>
      </c>
      <c r="AG140" t="e">
        <f>IF(AE140=1,COUNTIF($AE$3:$AE140,1),"")</f>
        <v>#REF!</v>
      </c>
    </row>
    <row r="141" spans="1:33" ht="15" hidden="1" customHeight="1" x14ac:dyDescent="0.35">
      <c r="A141" s="5" t="s">
        <v>34</v>
      </c>
      <c r="B141" s="5" t="s">
        <v>75</v>
      </c>
      <c r="C141" s="5" t="s">
        <v>36</v>
      </c>
      <c r="D141" s="5" t="s">
        <v>76</v>
      </c>
      <c r="E141" s="5" t="str">
        <f>IFERROR(INDEX(הגדרות!$I$2:$I$47,MATCH(B141,הגדרות!$H$2:$H$47,0)),"")</f>
        <v>7033-00</v>
      </c>
      <c r="F141" s="5" t="s">
        <v>77</v>
      </c>
      <c r="G141" s="5"/>
      <c r="H141" s="5" t="s">
        <v>72</v>
      </c>
      <c r="I141" s="5"/>
      <c r="J141" s="5" t="s">
        <v>40</v>
      </c>
      <c r="K141" s="5"/>
      <c r="L141" s="5" t="s">
        <v>40</v>
      </c>
      <c r="M141" s="5"/>
      <c r="N141" s="5"/>
      <c r="O141" s="5" t="s">
        <v>40</v>
      </c>
      <c r="P141" s="5"/>
      <c r="Q141" s="5" t="s">
        <v>2</v>
      </c>
      <c r="R141" s="5"/>
      <c r="S141" s="5" t="s">
        <v>2</v>
      </c>
      <c r="T141" s="5" t="s">
        <v>41</v>
      </c>
      <c r="U141" s="5"/>
      <c r="V141" s="5"/>
      <c r="W141" s="5"/>
      <c r="X141" s="5"/>
      <c r="Y141" s="5"/>
      <c r="Z141" t="str">
        <f>IFERROR(INDEX(הגדרות!$B$2:$B$17,MATCH(H141,הגדרות!$A$2:$A$17,0)),"")</f>
        <v>מיוער</v>
      </c>
      <c r="AA141">
        <f>IFERROR(INDEX(הגדרות!$C$2:$C$17,MATCH(H141,הגדרות!$A$2:$A$17,0)),"")</f>
        <v>0</v>
      </c>
      <c r="AB141" t="str">
        <f>IFERROR(INDEX(הגדרות!$B$2:$B$17,MATCH(I141,הגדרות!$A$2:$A$17,0)),"")</f>
        <v/>
      </c>
      <c r="AC141" t="str">
        <f>IFERROR(INDEX(הגדרות!$C$2:$C$17,MATCH(I141,הגדרות!$A$2:$A$17,0)),"")</f>
        <v/>
      </c>
      <c r="AD141" t="e">
        <f>IF(AND(מלאי!D51&lt;&gt;"",OR(#REF!="הכל",מלאי!Z51=#REF!,מלאי!AA51=#REF!,מלאי!AB51=#REF!,מלאי!AC51=#REF!),OR(#REF!="הכל",מלאי!A51=#REF!),OR(#REF!="הכל",מלאי!B51=#REF!),OR(#REF!="הכל",מלאי!F51=#REF!,מלאי!G51=#REF!),OR(#REF!="הכל",מלאי!T51=#REF!),OR(#REF!="הכל",מלאי!Q51=#REF!),OR(#REF!="הכל",מלאי!J51=#REF!),OR(#REF!="הכל",מלאי!L51=#REF!),OR(#REF!="הכל",מלאי!O51=#REF!),OR(#REF!="הכל",מלאי!R51=#REF!),OR(#REF!="הכל",#REF!="",מלאי!W51=#REF!),OR(#REF!="הכל",#REF!="",ISNUMBER(SEARCH(#REF!,מלאי!C51)))),1,0)</f>
        <v>#REF!</v>
      </c>
      <c r="AE141" t="e">
        <f>IF(AND(מלאי!D51&lt;&gt;"",OR(#REF!="הכל",מלאי!Z51=#REF!,מלאי!AA51=#REF!,מלאי!AB51=#REF!,מלאי!AC51=#REF!),OR(#REF!="הכל",מלאי!A51=#REF!),OR(#REF!="הכל",מלאי!B51=#REF!),OR(#REF!="הכל",מלאי!F51=#REF!,מלאי!G51=#REF!),OR(#REF!="הכל",מלאי!T51=#REF!),OR(#REF!="הכל",מלאי!Q51=#REF!),OR(#REF!="הכל",מלאי!J51=#REF!),OR(#REF!="הכל",מלאי!L51=#REF!),OR(#REF!="הכל",מלאי!O51=#REF!),OR(#REF!="הכל",מלאי!R51=#REF!),OR(#REF!="הכל",#REF!="",מלאי!W51=#REF!),OR(#REF!="הכל",#REF!="",ISNUMBER(SEARCH(#REF!,מלאי!C51))),OR(#REF!="הכל",מלאי!#REF!=#REF!)),1,0)</f>
        <v>#REF!</v>
      </c>
      <c r="AF141" t="e">
        <f>IF(AD141=1,COUNTIF($AD$3:$AD141,1),"")</f>
        <v>#REF!</v>
      </c>
      <c r="AG141" t="e">
        <f>IF(AE141=1,COUNTIF($AE$3:$AE141,1),"")</f>
        <v>#REF!</v>
      </c>
    </row>
    <row r="142" spans="1:33" ht="15" hidden="1" customHeight="1" x14ac:dyDescent="0.35">
      <c r="A142" s="5" t="s">
        <v>34</v>
      </c>
      <c r="B142" s="5" t="s">
        <v>75</v>
      </c>
      <c r="C142" s="5" t="s">
        <v>36</v>
      </c>
      <c r="D142" s="5" t="s">
        <v>227</v>
      </c>
      <c r="E142" s="5" t="str">
        <f>IFERROR(INDEX(הגדרות!$I$2:$I$47,MATCH(B142,הגדרות!$H$2:$H$47,0)),"")</f>
        <v>7033-00</v>
      </c>
      <c r="F142" s="5" t="s">
        <v>77</v>
      </c>
      <c r="G142" s="5"/>
      <c r="H142" s="5" t="s">
        <v>72</v>
      </c>
      <c r="I142" s="5"/>
      <c r="J142" s="5" t="s">
        <v>40</v>
      </c>
      <c r="K142" s="5"/>
      <c r="L142" s="5" t="s">
        <v>40</v>
      </c>
      <c r="M142" s="5"/>
      <c r="N142" s="5"/>
      <c r="O142" s="5" t="s">
        <v>40</v>
      </c>
      <c r="P142" s="5"/>
      <c r="Q142" s="5" t="s">
        <v>2</v>
      </c>
      <c r="R142" s="5"/>
      <c r="S142" s="5" t="s">
        <v>2</v>
      </c>
      <c r="T142" s="5" t="s">
        <v>41</v>
      </c>
      <c r="U142" s="5"/>
      <c r="V142" s="5"/>
      <c r="W142" s="5"/>
      <c r="X142" s="5"/>
      <c r="Y142" s="5"/>
      <c r="Z142" t="str">
        <f>IFERROR(INDEX(הגדרות!$B$2:$B$17,MATCH(H142,הגדרות!$A$2:$A$17,0)),"")</f>
        <v>מיוער</v>
      </c>
      <c r="AA142">
        <f>IFERROR(INDEX(הגדרות!$C$2:$C$17,MATCH(H142,הגדרות!$A$2:$A$17,0)),"")</f>
        <v>0</v>
      </c>
      <c r="AB142" t="str">
        <f>IFERROR(INDEX(הגדרות!$B$2:$B$17,MATCH(I142,הגדרות!$A$2:$A$17,0)),"")</f>
        <v/>
      </c>
      <c r="AC142" t="str">
        <f>IFERROR(INDEX(הגדרות!$C$2:$C$17,MATCH(I142,הגדרות!$A$2:$A$17,0)),"")</f>
        <v/>
      </c>
      <c r="AD142" t="e">
        <f>IF(AND(מלאי!D52&lt;&gt;"",OR(#REF!="הכל",מלאי!Z52=#REF!,מלאי!AA52=#REF!,מלאי!AB52=#REF!,מלאי!AC52=#REF!),OR(#REF!="הכל",מלאי!A52=#REF!),OR(#REF!="הכל",מלאי!B52=#REF!),OR(#REF!="הכל",מלאי!F52=#REF!,מלאי!G52=#REF!),OR(#REF!="הכל",מלאי!T52=#REF!),OR(#REF!="הכל",מלאי!Q52=#REF!),OR(#REF!="הכל",מלאי!J52=#REF!),OR(#REF!="הכל",מלאי!L52=#REF!),OR(#REF!="הכל",מלאי!O52=#REF!),OR(#REF!="הכל",מלאי!R52=#REF!),OR(#REF!="הכל",#REF!="",מלאי!W52=#REF!),OR(#REF!="הכל",#REF!="",ISNUMBER(SEARCH(#REF!,מלאי!C52)))),1,0)</f>
        <v>#REF!</v>
      </c>
      <c r="AE142" t="e">
        <f>IF(AND(מלאי!D52&lt;&gt;"",OR(#REF!="הכל",מלאי!Z52=#REF!,מלאי!AA52=#REF!,מלאי!AB52=#REF!,מלאי!AC52=#REF!),OR(#REF!="הכל",מלאי!A52=#REF!),OR(#REF!="הכל",מלאי!B52=#REF!),OR(#REF!="הכל",מלאי!F52=#REF!,מלאי!G52=#REF!),OR(#REF!="הכל",מלאי!T52=#REF!),OR(#REF!="הכל",מלאי!Q52=#REF!),OR(#REF!="הכל",מלאי!J52=#REF!),OR(#REF!="הכל",מלאי!L52=#REF!),OR(#REF!="הכל",מלאי!O52=#REF!),OR(#REF!="הכל",מלאי!R52=#REF!),OR(#REF!="הכל",#REF!="",מלאי!W52=#REF!),OR(#REF!="הכל",#REF!="",ISNUMBER(SEARCH(#REF!,מלאי!C52))),OR(#REF!="הכל",מלאי!#REF!=#REF!)),1,0)</f>
        <v>#REF!</v>
      </c>
      <c r="AF142" t="e">
        <f>IF(AD142=1,COUNTIF($AD$3:$AD142,1),"")</f>
        <v>#REF!</v>
      </c>
      <c r="AG142" t="e">
        <f>IF(AE142=1,COUNTIF($AE$3:$AE142,1),"")</f>
        <v>#REF!</v>
      </c>
    </row>
    <row r="143" spans="1:33" ht="15" hidden="1" customHeight="1" x14ac:dyDescent="0.35">
      <c r="A143" s="4" t="s">
        <v>86</v>
      </c>
      <c r="B143" s="4" t="s">
        <v>93</v>
      </c>
      <c r="C143" s="4" t="s">
        <v>36</v>
      </c>
      <c r="D143" s="4" t="s">
        <v>283</v>
      </c>
      <c r="E143" s="4" t="str">
        <f>IFERROR(INDEX(הגדרות!$I$2:$I$47,MATCH(B143,הגדרות!$H$2:$H$47,0)),"")</f>
        <v>9021-00</v>
      </c>
      <c r="F143" s="4" t="s">
        <v>37</v>
      </c>
      <c r="G143" s="4"/>
      <c r="H143" s="4" t="s">
        <v>38</v>
      </c>
      <c r="I143" s="4" t="s">
        <v>39</v>
      </c>
      <c r="J143" s="4" t="s">
        <v>40</v>
      </c>
      <c r="K143" s="4" t="s">
        <v>40</v>
      </c>
      <c r="L143" s="4" t="s">
        <v>40</v>
      </c>
      <c r="M143" s="4" t="s">
        <v>40</v>
      </c>
      <c r="N143" s="4"/>
      <c r="O143" s="4" t="s">
        <v>2</v>
      </c>
      <c r="P143" s="4"/>
      <c r="Q143" s="4" t="s">
        <v>40</v>
      </c>
      <c r="R143" s="4"/>
      <c r="S143" s="4" t="s">
        <v>2</v>
      </c>
      <c r="T143" s="4" t="s">
        <v>41</v>
      </c>
      <c r="U143" s="4"/>
      <c r="V143" s="4"/>
      <c r="W143" s="4"/>
      <c r="X143" s="4"/>
      <c r="Y143" s="4"/>
      <c r="Z143" t="str">
        <f>IFERROR(INDEX(הגדרות!$B$2:$B$17,MATCH(H143,הגדרות!$A$2:$A$17,0)),"")</f>
        <v>מיוער</v>
      </c>
      <c r="AA143">
        <f>IFERROR(INDEX(הגדרות!$C$2:$C$17,MATCH(H143,הגדרות!$A$2:$A$17,0)),"")</f>
        <v>0</v>
      </c>
      <c r="AB143" t="str">
        <f>IFERROR(INDEX(הגדרות!$B$2:$B$17,MATCH(I143,הגדרות!$A$2:$A$17,0)),"")</f>
        <v>מדברי</v>
      </c>
      <c r="AC143">
        <f>IFERROR(INDEX(הגדרות!$C$2:$C$17,MATCH(I143,הגדרות!$A$2:$A$17,0)),"")</f>
        <v>0</v>
      </c>
      <c r="AD143" t="e">
        <f>IF(AND(מלאי!D62&lt;&gt;"",OR(#REF!="הכל",מלאי!Z62=#REF!,מלאי!AA62=#REF!,מלאי!AB62=#REF!,מלאי!AC62=#REF!),OR(#REF!="הכל",מלאי!A62=#REF!),OR(#REF!="הכל",מלאי!B62=#REF!),OR(#REF!="הכל",מלאי!F62=#REF!,מלאי!G62=#REF!),OR(#REF!="הכל",מלאי!T62=#REF!),OR(#REF!="הכל",מלאי!Q62=#REF!),OR(#REF!="הכל",מלאי!J62=#REF!),OR(#REF!="הכל",מלאי!L62=#REF!),OR(#REF!="הכל",מלאי!O62=#REF!),OR(#REF!="הכל",מלאי!R62=#REF!),OR(#REF!="הכל",#REF!="",מלאי!W62=#REF!),OR(#REF!="הכל",#REF!="",ISNUMBER(SEARCH(#REF!,מלאי!C62)))),1,0)</f>
        <v>#REF!</v>
      </c>
      <c r="AE143" t="e">
        <f>IF(AND(מלאי!D62&lt;&gt;"",OR(#REF!="הכל",מלאי!Z62=#REF!,מלאי!AA62=#REF!,מלאי!AB62=#REF!,מלאי!AC62=#REF!),OR(#REF!="הכל",מלאי!A62=#REF!),OR(#REF!="הכל",מלאי!B62=#REF!),OR(#REF!="הכל",מלאי!F62=#REF!,מלאי!G62=#REF!),OR(#REF!="הכל",מלאי!T62=#REF!),OR(#REF!="הכל",מלאי!Q62=#REF!),OR(#REF!="הכל",מלאי!J62=#REF!),OR(#REF!="הכל",מלאי!L62=#REF!),OR(#REF!="הכל",מלאי!O62=#REF!),OR(#REF!="הכל",מלאי!R62=#REF!),OR(#REF!="הכל",#REF!="",מלאי!W62=#REF!),OR(#REF!="הכל",#REF!="",ISNUMBER(SEARCH(#REF!,מלאי!C62))),OR(#REF!="הכל",מלאי!#REF!=#REF!)),1,0)</f>
        <v>#REF!</v>
      </c>
      <c r="AF143" t="e">
        <f>IF(AD143=1,COUNTIF($AD$3:$AD143,1),"")</f>
        <v>#REF!</v>
      </c>
      <c r="AG143" t="e">
        <f>IF(AE143=1,COUNTIF($AE$3:$AE143,1),"")</f>
        <v>#REF!</v>
      </c>
    </row>
    <row r="144" spans="1:33" ht="15" hidden="1" customHeight="1" x14ac:dyDescent="0.35">
      <c r="A144" s="5" t="s">
        <v>86</v>
      </c>
      <c r="B144" s="5" t="s">
        <v>93</v>
      </c>
      <c r="C144" s="5" t="s">
        <v>36</v>
      </c>
      <c r="D144" s="5" t="s">
        <v>284</v>
      </c>
      <c r="E144" s="5" t="str">
        <f>IFERROR(INDEX(הגדרות!$I$2:$I$47,MATCH(B144,הגדרות!$H$2:$H$47,0)),"")</f>
        <v>9021-00</v>
      </c>
      <c r="F144" s="5" t="s">
        <v>45</v>
      </c>
      <c r="G144" s="5"/>
      <c r="H144" s="5" t="s">
        <v>64</v>
      </c>
      <c r="I144" s="5" t="s">
        <v>72</v>
      </c>
      <c r="J144" s="5" t="s">
        <v>2</v>
      </c>
      <c r="K144" s="5" t="s">
        <v>40</v>
      </c>
      <c r="L144" s="5" t="s">
        <v>40</v>
      </c>
      <c r="M144" s="5" t="s">
        <v>40</v>
      </c>
      <c r="N144" s="5"/>
      <c r="O144" s="5" t="s">
        <v>40</v>
      </c>
      <c r="P144" s="5"/>
      <c r="Q144" s="5" t="s">
        <v>2</v>
      </c>
      <c r="R144" s="5"/>
      <c r="S144" s="5" t="s">
        <v>2</v>
      </c>
      <c r="T144" s="5" t="s">
        <v>41</v>
      </c>
      <c r="U144" s="5"/>
      <c r="V144" s="5"/>
      <c r="W144" s="5"/>
      <c r="X144" s="5"/>
      <c r="Y144" s="5"/>
      <c r="Z144" t="str">
        <f>IFERROR(INDEX(הגדרות!$B$2:$B$17,MATCH(H144,הגדרות!$A$2:$A$17,0)),"")</f>
        <v>ימי</v>
      </c>
      <c r="AA144">
        <f>IFERROR(INDEX(הגדרות!$C$2:$C$17,MATCH(H144,הגדרות!$A$2:$A$17,0)),"")</f>
        <v>0</v>
      </c>
      <c r="AB144" t="str">
        <f>IFERROR(INDEX(הגדרות!$B$2:$B$17,MATCH(I144,הגדרות!$A$2:$A$17,0)),"")</f>
        <v>מיוער</v>
      </c>
      <c r="AC144">
        <f>IFERROR(INDEX(הגדרות!$C$2:$C$17,MATCH(I144,הגדרות!$A$2:$A$17,0)),"")</f>
        <v>0</v>
      </c>
      <c r="AD144" t="e">
        <f>IF(AND(מלאי!D63&lt;&gt;"",OR(#REF!="הכל",מלאי!Z63=#REF!,מלאי!AA63=#REF!,מלאי!AB63=#REF!,מלאי!AC63=#REF!),OR(#REF!="הכל",מלאי!A63=#REF!),OR(#REF!="הכל",מלאי!B63=#REF!),OR(#REF!="הכל",מלאי!F63=#REF!,מלאי!G63=#REF!),OR(#REF!="הכל",מלאי!T63=#REF!),OR(#REF!="הכל",מלאי!Q63=#REF!),OR(#REF!="הכל",מלאי!J63=#REF!),OR(#REF!="הכל",מלאי!L63=#REF!),OR(#REF!="הכל",מלאי!O63=#REF!),OR(#REF!="הכל",מלאי!R63=#REF!),OR(#REF!="הכל",#REF!="",מלאי!W63=#REF!),OR(#REF!="הכל",#REF!="",ISNUMBER(SEARCH(#REF!,מלאי!C63)))),1,0)</f>
        <v>#REF!</v>
      </c>
      <c r="AE144" t="e">
        <f>IF(AND(מלאי!D63&lt;&gt;"",OR(#REF!="הכל",מלאי!Z63=#REF!,מלאי!AA63=#REF!,מלאי!AB63=#REF!,מלאי!AC63=#REF!),OR(#REF!="הכל",מלאי!A63=#REF!),OR(#REF!="הכל",מלאי!B63=#REF!),OR(#REF!="הכל",מלאי!F63=#REF!,מלאי!G63=#REF!),OR(#REF!="הכל",מלאי!T63=#REF!),OR(#REF!="הכל",מלאי!Q63=#REF!),OR(#REF!="הכל",מלאי!J63=#REF!),OR(#REF!="הכל",מלאי!L63=#REF!),OR(#REF!="הכל",מלאי!O63=#REF!),OR(#REF!="הכל",מלאי!R63=#REF!),OR(#REF!="הכל",#REF!="",מלאי!W63=#REF!),OR(#REF!="הכל",#REF!="",ISNUMBER(SEARCH(#REF!,מלאי!C63))),OR(#REF!="הכל",מלאי!#REF!=#REF!)),1,0)</f>
        <v>#REF!</v>
      </c>
      <c r="AF144" t="e">
        <f>IF(AD144=1,COUNTIF($AD$3:$AD144,1),"")</f>
        <v>#REF!</v>
      </c>
      <c r="AG144" t="e">
        <f>IF(AE144=1,COUNTIF($AE$3:$AE144,1),"")</f>
        <v>#REF!</v>
      </c>
    </row>
    <row r="145" spans="1:33" ht="15" hidden="1" customHeight="1" x14ac:dyDescent="0.35">
      <c r="A145" s="4" t="s">
        <v>86</v>
      </c>
      <c r="B145" s="4" t="s">
        <v>93</v>
      </c>
      <c r="C145" s="4" t="s">
        <v>36</v>
      </c>
      <c r="D145" s="4" t="s">
        <v>285</v>
      </c>
      <c r="E145" s="4" t="str">
        <f>IFERROR(INDEX(הגדרות!$I$2:$I$47,MATCH(B145,הגדרות!$H$2:$H$47,0)),"")</f>
        <v>9021-00</v>
      </c>
      <c r="F145" s="4" t="s">
        <v>45</v>
      </c>
      <c r="G145" s="4"/>
      <c r="H145" s="4" t="s">
        <v>64</v>
      </c>
      <c r="I145" s="4" t="s">
        <v>72</v>
      </c>
      <c r="J145" s="4" t="s">
        <v>2</v>
      </c>
      <c r="K145" s="4" t="s">
        <v>40</v>
      </c>
      <c r="L145" s="4" t="s">
        <v>40</v>
      </c>
      <c r="M145" s="4" t="s">
        <v>40</v>
      </c>
      <c r="N145" s="4"/>
      <c r="O145" s="4" t="s">
        <v>40</v>
      </c>
      <c r="P145" s="4"/>
      <c r="Q145" s="4" t="s">
        <v>2</v>
      </c>
      <c r="R145" s="4"/>
      <c r="S145" s="4" t="s">
        <v>2</v>
      </c>
      <c r="T145" s="4" t="s">
        <v>41</v>
      </c>
      <c r="U145" s="4"/>
      <c r="V145" s="4"/>
      <c r="W145" s="4"/>
      <c r="X145" s="4"/>
      <c r="Y145" s="4"/>
      <c r="Z145" t="str">
        <f>IFERROR(INDEX(הגדרות!$B$2:$B$17,MATCH(H145,הגדרות!$A$2:$A$17,0)),"")</f>
        <v>ימי</v>
      </c>
      <c r="AA145">
        <f>IFERROR(INDEX(הגדרות!$C$2:$C$17,MATCH(H145,הגדרות!$A$2:$A$17,0)),"")</f>
        <v>0</v>
      </c>
      <c r="AB145" t="str">
        <f>IFERROR(INDEX(הגדרות!$B$2:$B$17,MATCH(I145,הגדרות!$A$2:$A$17,0)),"")</f>
        <v>מיוער</v>
      </c>
      <c r="AC145">
        <f>IFERROR(INDEX(הגדרות!$C$2:$C$17,MATCH(I145,הגדרות!$A$2:$A$17,0)),"")</f>
        <v>0</v>
      </c>
      <c r="AD145" t="e">
        <f>IF(AND(מלאי!D64&lt;&gt;"",OR(#REF!="הכל",מלאי!Z64=#REF!,מלאי!AA64=#REF!,מלאי!AB64=#REF!,מלאי!AC64=#REF!),OR(#REF!="הכל",מלאי!A64=#REF!),OR(#REF!="הכל",מלאי!B64=#REF!),OR(#REF!="הכל",מלאי!F64=#REF!,מלאי!G64=#REF!),OR(#REF!="הכל",מלאי!T64=#REF!),OR(#REF!="הכל",מלאי!Q64=#REF!),OR(#REF!="הכל",מלאי!J64=#REF!),OR(#REF!="הכל",מלאי!L64=#REF!),OR(#REF!="הכל",מלאי!O64=#REF!),OR(#REF!="הכל",מלאי!R64=#REF!),OR(#REF!="הכל",#REF!="",מלאי!W64=#REF!),OR(#REF!="הכל",#REF!="",ISNUMBER(SEARCH(#REF!,מלאי!C64)))),1,0)</f>
        <v>#REF!</v>
      </c>
      <c r="AE145" t="e">
        <f>IF(AND(מלאי!D64&lt;&gt;"",OR(#REF!="הכל",מלאי!Z64=#REF!,מלאי!AA64=#REF!,מלאי!AB64=#REF!,מלאי!AC64=#REF!),OR(#REF!="הכל",מלאי!A64=#REF!),OR(#REF!="הכל",מלאי!B64=#REF!),OR(#REF!="הכל",מלאי!F64=#REF!,מלאי!G64=#REF!),OR(#REF!="הכל",מלאי!T64=#REF!),OR(#REF!="הכל",מלאי!Q64=#REF!),OR(#REF!="הכל",מלאי!J64=#REF!),OR(#REF!="הכל",מלאי!L64=#REF!),OR(#REF!="הכל",מלאי!O64=#REF!),OR(#REF!="הכל",מלאי!R64=#REF!),OR(#REF!="הכל",#REF!="",מלאי!W64=#REF!),OR(#REF!="הכל",#REF!="",ISNUMBER(SEARCH(#REF!,מלאי!C64))),OR(#REF!="הכל",מלאי!#REF!=#REF!)),1,0)</f>
        <v>#REF!</v>
      </c>
      <c r="AF145" t="e">
        <f>IF(AD145=1,COUNTIF($AD$3:$AD145,1),"")</f>
        <v>#REF!</v>
      </c>
      <c r="AG145" t="e">
        <f>IF(AE145=1,COUNTIF($AE$3:$AE145,1),"")</f>
        <v>#REF!</v>
      </c>
    </row>
    <row r="146" spans="1:33" ht="15" hidden="1" customHeight="1" x14ac:dyDescent="0.35">
      <c r="A146" s="5" t="s">
        <v>86</v>
      </c>
      <c r="B146" s="5" t="s">
        <v>93</v>
      </c>
      <c r="C146" s="5" t="s">
        <v>36</v>
      </c>
      <c r="D146" s="5" t="s">
        <v>286</v>
      </c>
      <c r="E146" s="5" t="str">
        <f>IFERROR(INDEX(הגדרות!$I$2:$I$47,MATCH(B146,הגדרות!$H$2:$H$47,0)),"")</f>
        <v>9021-00</v>
      </c>
      <c r="F146" s="5" t="s">
        <v>45</v>
      </c>
      <c r="G146" s="5"/>
      <c r="H146" s="5" t="s">
        <v>38</v>
      </c>
      <c r="I146" s="5" t="s">
        <v>38</v>
      </c>
      <c r="J146" s="5" t="s">
        <v>40</v>
      </c>
      <c r="K146" s="5" t="s">
        <v>40</v>
      </c>
      <c r="L146" s="5" t="s">
        <v>40</v>
      </c>
      <c r="M146" s="5" t="s">
        <v>40</v>
      </c>
      <c r="N146" s="5"/>
      <c r="O146" s="5" t="s">
        <v>40</v>
      </c>
      <c r="P146" s="5"/>
      <c r="Q146" s="5" t="s">
        <v>2</v>
      </c>
      <c r="R146" s="5"/>
      <c r="S146" s="5" t="s">
        <v>2</v>
      </c>
      <c r="T146" s="5" t="s">
        <v>41</v>
      </c>
      <c r="U146" s="5"/>
      <c r="V146" s="5"/>
      <c r="W146" s="5"/>
      <c r="X146" s="5"/>
      <c r="Y146" s="5"/>
      <c r="Z146" t="str">
        <f>IFERROR(INDEX(הגדרות!$B$2:$B$17,MATCH(H146,הגדרות!$A$2:$A$17,0)),"")</f>
        <v>מיוער</v>
      </c>
      <c r="AA146">
        <f>IFERROR(INDEX(הגדרות!$C$2:$C$17,MATCH(H146,הגדרות!$A$2:$A$17,0)),"")</f>
        <v>0</v>
      </c>
      <c r="AB146" t="str">
        <f>IFERROR(INDEX(הגדרות!$B$2:$B$17,MATCH(I146,הגדרות!$A$2:$A$17,0)),"")</f>
        <v>מיוער</v>
      </c>
      <c r="AC146">
        <f>IFERROR(INDEX(הגדרות!$C$2:$C$17,MATCH(I146,הגדרות!$A$2:$A$17,0)),"")</f>
        <v>0</v>
      </c>
      <c r="AD146" t="e">
        <f>IF(AND(מלאי!D65&lt;&gt;"",OR(#REF!="הכל",מלאי!Z65=#REF!,מלאי!AA65=#REF!,מלאי!AB65=#REF!,מלאי!AC65=#REF!),OR(#REF!="הכל",מלאי!A65=#REF!),OR(#REF!="הכל",מלאי!B65=#REF!),OR(#REF!="הכל",מלאי!F65=#REF!,מלאי!G65=#REF!),OR(#REF!="הכל",מלאי!T65=#REF!),OR(#REF!="הכל",מלאי!Q65=#REF!),OR(#REF!="הכל",מלאי!J65=#REF!),OR(#REF!="הכל",מלאי!L65=#REF!),OR(#REF!="הכל",מלאי!O65=#REF!),OR(#REF!="הכל",מלאי!R65=#REF!),OR(#REF!="הכל",#REF!="",מלאי!W65=#REF!),OR(#REF!="הכל",#REF!="",ISNUMBER(SEARCH(#REF!,מלאי!C65)))),1,0)</f>
        <v>#REF!</v>
      </c>
      <c r="AE146" t="e">
        <f>IF(AND(מלאי!D65&lt;&gt;"",OR(#REF!="הכל",מלאי!Z65=#REF!,מלאי!AA65=#REF!,מלאי!AB65=#REF!,מלאי!AC65=#REF!),OR(#REF!="הכל",מלאי!A65=#REF!),OR(#REF!="הכל",מלאי!B65=#REF!),OR(#REF!="הכל",מלאי!F65=#REF!,מלאי!G65=#REF!),OR(#REF!="הכל",מלאי!T65=#REF!),OR(#REF!="הכל",מלאי!Q65=#REF!),OR(#REF!="הכל",מלאי!J65=#REF!),OR(#REF!="הכל",מלאי!L65=#REF!),OR(#REF!="הכל",מלאי!O65=#REF!),OR(#REF!="הכל",מלאי!R65=#REF!),OR(#REF!="הכל",#REF!="",מלאי!W65=#REF!),OR(#REF!="הכל",#REF!="",ISNUMBER(SEARCH(#REF!,מלאי!C65))),OR(#REF!="הכל",מלאי!#REF!=#REF!)),1,0)</f>
        <v>#REF!</v>
      </c>
      <c r="AF146" t="e">
        <f>IF(AD146=1,COUNTIF($AD$3:$AD146,1),"")</f>
        <v>#REF!</v>
      </c>
      <c r="AG146" t="e">
        <f>IF(AE146=1,COUNTIF($AE$3:$AE146,1),"")</f>
        <v>#REF!</v>
      </c>
    </row>
    <row r="147" spans="1:33" ht="15" hidden="1" customHeight="1" x14ac:dyDescent="0.35">
      <c r="A147" s="4" t="s">
        <v>86</v>
      </c>
      <c r="B147" s="4" t="s">
        <v>93</v>
      </c>
      <c r="C147" s="4" t="s">
        <v>36</v>
      </c>
      <c r="D147" s="30" t="s">
        <v>287</v>
      </c>
      <c r="E147" s="4" t="str">
        <f>IFERROR(INDEX(הגדרות!$I$2:$I$47,MATCH(B147,הגדרות!$H$2:$H$47,0)),"")</f>
        <v>9021-00</v>
      </c>
      <c r="F147" s="4" t="s">
        <v>45</v>
      </c>
      <c r="G147" s="4"/>
      <c r="H147" s="4" t="s">
        <v>64</v>
      </c>
      <c r="I147" s="4" t="s">
        <v>64</v>
      </c>
      <c r="J147" s="4" t="s">
        <v>40</v>
      </c>
      <c r="K147" s="4" t="s">
        <v>40</v>
      </c>
      <c r="L147" s="4" t="s">
        <v>40</v>
      </c>
      <c r="M147" s="4" t="s">
        <v>40</v>
      </c>
      <c r="N147" s="4"/>
      <c r="O147" s="4" t="s">
        <v>40</v>
      </c>
      <c r="P147" s="4"/>
      <c r="Q147" s="4" t="s">
        <v>2</v>
      </c>
      <c r="R147" s="4"/>
      <c r="S147" s="4" t="s">
        <v>2</v>
      </c>
      <c r="T147" s="4" t="s">
        <v>41</v>
      </c>
      <c r="U147" s="4"/>
      <c r="V147" s="4"/>
      <c r="W147" s="4"/>
      <c r="X147" s="4"/>
      <c r="Y147" s="4"/>
      <c r="Z147" t="str">
        <f>IFERROR(INDEX(הגדרות!$B$2:$B$17,MATCH(H147,הגדרות!$A$2:$A$17,0)),"")</f>
        <v>ימי</v>
      </c>
      <c r="AA147">
        <f>IFERROR(INDEX(הגדרות!$C$2:$C$17,MATCH(H147,הגדרות!$A$2:$A$17,0)),"")</f>
        <v>0</v>
      </c>
      <c r="AB147" t="str">
        <f>IFERROR(INDEX(הגדרות!$B$2:$B$17,MATCH(I147,הגדרות!$A$2:$A$17,0)),"")</f>
        <v>ימי</v>
      </c>
      <c r="AC147">
        <f>IFERROR(INDEX(הגדרות!$C$2:$C$17,MATCH(I147,הגדרות!$A$2:$A$17,0)),"")</f>
        <v>0</v>
      </c>
      <c r="AD147" t="e">
        <f>IF(AND(מלאי!D66&lt;&gt;"",OR(#REF!="הכל",מלאי!Z66=#REF!,מלאי!AA66=#REF!,מלאי!AB66=#REF!,מלאי!AC66=#REF!),OR(#REF!="הכל",מלאי!A66=#REF!),OR(#REF!="הכל",מלאי!B66=#REF!),OR(#REF!="הכל",מלאי!F66=#REF!,מלאי!G66=#REF!),OR(#REF!="הכל",מלאי!T66=#REF!),OR(#REF!="הכל",מלאי!Q66=#REF!),OR(#REF!="הכל",מלאי!J66=#REF!),OR(#REF!="הכל",מלאי!L66=#REF!),OR(#REF!="הכל",מלאי!O66=#REF!),OR(#REF!="הכל",מלאי!R66=#REF!),OR(#REF!="הכל",#REF!="",מלאי!W66=#REF!),OR(#REF!="הכל",#REF!="",ISNUMBER(SEARCH(#REF!,מלאי!C66)))),1,0)</f>
        <v>#REF!</v>
      </c>
      <c r="AE147" t="e">
        <f>IF(AND(מלאי!D66&lt;&gt;"",OR(#REF!="הכל",מלאי!Z66=#REF!,מלאי!AA66=#REF!,מלאי!AB66=#REF!,מלאי!AC66=#REF!),OR(#REF!="הכל",מלאי!A66=#REF!),OR(#REF!="הכל",מלאי!B66=#REF!),OR(#REF!="הכל",מלאי!F66=#REF!,מלאי!G66=#REF!),OR(#REF!="הכל",מלאי!T66=#REF!),OR(#REF!="הכל",מלאי!Q66=#REF!),OR(#REF!="הכל",מלאי!J66=#REF!),OR(#REF!="הכל",מלאי!L66=#REF!),OR(#REF!="הכל",מלאי!O66=#REF!),OR(#REF!="הכל",מלאי!R66=#REF!),OR(#REF!="הכל",#REF!="",מלאי!W66=#REF!),OR(#REF!="הכל",#REF!="",ISNUMBER(SEARCH(#REF!,מלאי!C66))),OR(#REF!="הכל",מלאי!#REF!=#REF!)),1,0)</f>
        <v>#REF!</v>
      </c>
      <c r="AF147" t="e">
        <f>IF(AD147=1,COUNTIF($AD$3:$AD147,1),"")</f>
        <v>#REF!</v>
      </c>
      <c r="AG147" t="e">
        <f>IF(AE147=1,COUNTIF($AE$3:$AE147,1),"")</f>
        <v>#REF!</v>
      </c>
    </row>
    <row r="148" spans="1:33" ht="15" hidden="1" customHeight="1" x14ac:dyDescent="0.35">
      <c r="A148" s="4" t="s">
        <v>86</v>
      </c>
      <c r="B148" s="4" t="s">
        <v>93</v>
      </c>
      <c r="C148" s="30" t="s">
        <v>36</v>
      </c>
      <c r="D148" s="4" t="s">
        <v>230</v>
      </c>
      <c r="E148" s="4" t="str">
        <f>IFERROR(INDEX(הגדרות!$I$2:$I$47,MATCH(B148,הגדרות!$H$2:$H$47,0)),"")</f>
        <v>9021-00</v>
      </c>
      <c r="F148" s="4" t="s">
        <v>45</v>
      </c>
      <c r="G148" s="4"/>
      <c r="H148" s="4" t="s">
        <v>67</v>
      </c>
      <c r="I148" s="4" t="s">
        <v>72</v>
      </c>
      <c r="J148" s="4" t="s">
        <v>2</v>
      </c>
      <c r="K148" s="4" t="s">
        <v>2</v>
      </c>
      <c r="L148" s="4" t="s">
        <v>40</v>
      </c>
      <c r="M148" s="4" t="s">
        <v>40</v>
      </c>
      <c r="N148" s="4"/>
      <c r="O148" s="4" t="s">
        <v>2</v>
      </c>
      <c r="P148" s="4" t="s">
        <v>231</v>
      </c>
      <c r="Q148" s="4" t="s">
        <v>2</v>
      </c>
      <c r="R148" s="4"/>
      <c r="S148" s="4" t="s">
        <v>2</v>
      </c>
      <c r="T148" s="4" t="s">
        <v>41</v>
      </c>
      <c r="U148" s="4"/>
      <c r="V148" s="4"/>
      <c r="W148" s="4"/>
      <c r="X148" s="4"/>
      <c r="Y148" s="4"/>
      <c r="Z148" t="str">
        <f>IFERROR(INDEX(הגדרות!$B$2:$B$17,MATCH(H148,הגדרות!$A$2:$A$17,0)),"")</f>
        <v>מיוער</v>
      </c>
      <c r="AA148">
        <f>IFERROR(INDEX(הגדרות!$C$2:$C$17,MATCH(H148,הגדרות!$A$2:$A$17,0)),"")</f>
        <v>0</v>
      </c>
      <c r="AB148" t="str">
        <f>IFERROR(INDEX(הגדרות!$B$2:$B$17,MATCH(I148,הגדרות!$A$2:$A$17,0)),"")</f>
        <v>מיוער</v>
      </c>
      <c r="AC148">
        <f>IFERROR(INDEX(הגדרות!$C$2:$C$17,MATCH(I148,הגדרות!$A$2:$A$17,0)),"")</f>
        <v>0</v>
      </c>
      <c r="AD148" t="e">
        <f>IF(AND(מלאי!D67&lt;&gt;"",OR(#REF!="הכל",מלאי!Z67=#REF!,מלאי!AA67=#REF!,מלאי!AB67=#REF!,מלאי!AC67=#REF!),OR(#REF!="הכל",מלאי!A67=#REF!),OR(#REF!="הכל",מלאי!B67=#REF!),OR(#REF!="הכל",מלאי!F67=#REF!,מלאי!G67=#REF!),OR(#REF!="הכל",מלאי!T67=#REF!),OR(#REF!="הכל",מלאי!Q67=#REF!),OR(#REF!="הכל",מלאי!J67=#REF!),OR(#REF!="הכל",מלאי!L67=#REF!),OR(#REF!="הכל",מלאי!O67=#REF!),OR(#REF!="הכל",מלאי!R67=#REF!),OR(#REF!="הכל",#REF!="",מלאי!W67=#REF!),OR(#REF!="הכל",#REF!="",ISNUMBER(SEARCH(#REF!,מלאי!C67)))),1,0)</f>
        <v>#REF!</v>
      </c>
      <c r="AE148" t="e">
        <f>IF(AND(מלאי!D67&lt;&gt;"",OR(#REF!="הכל",מלאי!Z67=#REF!,מלאי!AA67=#REF!,מלאי!AB67=#REF!,מלאי!AC67=#REF!),OR(#REF!="הכל",מלאי!A67=#REF!),OR(#REF!="הכל",מלאי!B67=#REF!),OR(#REF!="הכל",מלאי!F67=#REF!,מלאי!G67=#REF!),OR(#REF!="הכל",מלאי!T67=#REF!),OR(#REF!="הכל",מלאי!Q67=#REF!),OR(#REF!="הכל",מלאי!J67=#REF!),OR(#REF!="הכל",מלאי!L67=#REF!),OR(#REF!="הכל",מלאי!O67=#REF!),OR(#REF!="הכל",מלאי!R67=#REF!),OR(#REF!="הכל",#REF!="",מלאי!W67=#REF!),OR(#REF!="הכל",#REF!="",ISNUMBER(SEARCH(#REF!,מלאי!C67))),OR(#REF!="הכל",מלאי!#REF!=#REF!)),1,0)</f>
        <v>#REF!</v>
      </c>
      <c r="AF148" t="e">
        <f>IF(AD148=1,COUNTIF($AD$3:$AD148,1),"")</f>
        <v>#REF!</v>
      </c>
      <c r="AG148" t="e">
        <f>IF(AE148=1,COUNTIF($AE$3:$AE148,1),"")</f>
        <v>#REF!</v>
      </c>
    </row>
    <row r="149" spans="1:33" ht="15" hidden="1" customHeight="1" x14ac:dyDescent="0.35">
      <c r="A149" s="4" t="s">
        <v>86</v>
      </c>
      <c r="B149" s="4" t="s">
        <v>93</v>
      </c>
      <c r="C149" s="12" t="s">
        <v>36</v>
      </c>
      <c r="D149" s="33" t="s">
        <v>288</v>
      </c>
      <c r="E149" s="4" t="str">
        <f>IFERROR(INDEX(הגדרות!$I$2:$I$47,MATCH(B149,הגדרות!$H$2:$H$47,0)),"")</f>
        <v>9021-00</v>
      </c>
      <c r="F149" s="4" t="s">
        <v>45</v>
      </c>
      <c r="G149" s="4"/>
      <c r="H149" s="4" t="s">
        <v>67</v>
      </c>
      <c r="I149" s="4" t="s">
        <v>39</v>
      </c>
      <c r="J149" s="4" t="s">
        <v>40</v>
      </c>
      <c r="K149" s="4" t="s">
        <v>40</v>
      </c>
      <c r="L149" s="4" t="s">
        <v>40</v>
      </c>
      <c r="M149" s="4" t="s">
        <v>40</v>
      </c>
      <c r="N149" s="4" t="s">
        <v>2</v>
      </c>
      <c r="O149" s="4" t="s">
        <v>2</v>
      </c>
      <c r="P149" s="12" t="s">
        <v>234</v>
      </c>
      <c r="Q149" s="4" t="s">
        <v>2</v>
      </c>
      <c r="R149" s="4"/>
      <c r="S149" s="4" t="s">
        <v>2</v>
      </c>
      <c r="T149" s="4" t="s">
        <v>41</v>
      </c>
      <c r="U149" s="4"/>
      <c r="V149" s="4"/>
      <c r="W149" s="4"/>
      <c r="X149" s="4"/>
      <c r="Y149" s="4"/>
      <c r="Z149" t="str">
        <f>IFERROR(INDEX(הגדרות!$B$2:$B$17,MATCH(H149,הגדרות!$A$2:$A$17,0)),"")</f>
        <v>מיוער</v>
      </c>
      <c r="AA149">
        <f>IFERROR(INDEX(הגדרות!$C$2:$C$17,MATCH(H149,הגדרות!$A$2:$A$17,0)),"")</f>
        <v>0</v>
      </c>
      <c r="AB149" t="str">
        <f>IFERROR(INDEX(הגדרות!$B$2:$B$17,MATCH(I149,הגדרות!$A$2:$A$17,0)),"")</f>
        <v>מדברי</v>
      </c>
      <c r="AC149">
        <f>IFERROR(INDEX(הגדרות!$C$2:$C$17,MATCH(I149,הגדרות!$A$2:$A$17,0)),"")</f>
        <v>0</v>
      </c>
      <c r="AD149" t="e">
        <f>IF(AND(מלאי!D68&lt;&gt;"",OR(#REF!="הכל",מלאי!Z68=#REF!,מלאי!AA68=#REF!,מלאי!AB68=#REF!,מלאי!AC68=#REF!),OR(#REF!="הכל",מלאי!A68=#REF!),OR(#REF!="הכל",מלאי!B68=#REF!),OR(#REF!="הכל",מלאי!F68=#REF!,מלאי!G68=#REF!),OR(#REF!="הכל",מלאי!T68=#REF!),OR(#REF!="הכל",מלאי!Q68=#REF!),OR(#REF!="הכל",מלאי!J68=#REF!),OR(#REF!="הכל",מלאי!L68=#REF!),OR(#REF!="הכל",מלאי!O68=#REF!),OR(#REF!="הכל",מלאי!R68=#REF!),OR(#REF!="הכל",#REF!="",מלאי!W68=#REF!),OR(#REF!="הכל",#REF!="",ISNUMBER(SEARCH(#REF!,מלאי!C68)))),1,0)</f>
        <v>#REF!</v>
      </c>
      <c r="AE149" t="e">
        <f>IF(AND(מלאי!D68&lt;&gt;"",OR(#REF!="הכל",מלאי!Z68=#REF!,מלאי!AA68=#REF!,מלאי!AB68=#REF!,מלאי!AC68=#REF!),OR(#REF!="הכל",מלאי!A68=#REF!),OR(#REF!="הכל",מלאי!B68=#REF!),OR(#REF!="הכל",מלאי!F68=#REF!,מלאי!G68=#REF!),OR(#REF!="הכל",מלאי!T68=#REF!),OR(#REF!="הכל",מלאי!Q68=#REF!),OR(#REF!="הכל",מלאי!J68=#REF!),OR(#REF!="הכל",מלאי!L68=#REF!),OR(#REF!="הכל",מלאי!O68=#REF!),OR(#REF!="הכל",מלאי!R68=#REF!),OR(#REF!="הכל",#REF!="",מלאי!W68=#REF!),OR(#REF!="הכל",#REF!="",ISNUMBER(SEARCH(#REF!,מלאי!C68))),OR(#REF!="הכל",מלאי!#REF!=#REF!)),1,0)</f>
        <v>#REF!</v>
      </c>
      <c r="AF149" t="e">
        <f>IF(AD149=1,COUNTIF($AD$3:$AD149,1),"")</f>
        <v>#REF!</v>
      </c>
      <c r="AG149" t="e">
        <f>IF(AE149=1,COUNTIF($AE$3:$AE149,1),"")</f>
        <v>#REF!</v>
      </c>
    </row>
    <row r="150" spans="1:33" ht="15" hidden="1" customHeight="1" x14ac:dyDescent="0.35">
      <c r="A150" s="4" t="s">
        <v>86</v>
      </c>
      <c r="B150" s="4" t="s">
        <v>93</v>
      </c>
      <c r="C150" s="12" t="s">
        <v>36</v>
      </c>
      <c r="D150" s="33" t="s">
        <v>289</v>
      </c>
      <c r="E150" s="4" t="str">
        <f>IFERROR(INDEX(הגדרות!$I$2:$I$47,MATCH(B150,הגדרות!$H$2:$H$47,0)),"")</f>
        <v>9021-00</v>
      </c>
      <c r="F150" s="4" t="s">
        <v>45</v>
      </c>
      <c r="G150" s="4"/>
      <c r="H150" s="4" t="s">
        <v>67</v>
      </c>
      <c r="I150" s="4" t="s">
        <v>39</v>
      </c>
      <c r="J150" s="4" t="s">
        <v>40</v>
      </c>
      <c r="K150" s="4" t="s">
        <v>40</v>
      </c>
      <c r="L150" s="4" t="s">
        <v>40</v>
      </c>
      <c r="M150" s="4" t="s">
        <v>40</v>
      </c>
      <c r="N150" s="4" t="s">
        <v>2</v>
      </c>
      <c r="O150" s="4" t="s">
        <v>2</v>
      </c>
      <c r="P150" s="12" t="s">
        <v>234</v>
      </c>
      <c r="Q150" s="4" t="s">
        <v>2</v>
      </c>
      <c r="R150" s="4"/>
      <c r="S150" s="4" t="s">
        <v>2</v>
      </c>
      <c r="T150" s="4" t="s">
        <v>41</v>
      </c>
      <c r="U150" s="4"/>
      <c r="V150" s="4"/>
      <c r="W150" s="4"/>
      <c r="X150" s="4"/>
      <c r="Y150" s="4"/>
      <c r="Z150" t="str">
        <f>IFERROR(INDEX(הגדרות!$B$2:$B$17,MATCH(H150,הגדרות!$A$2:$A$17,0)),"")</f>
        <v>מיוער</v>
      </c>
      <c r="AA150">
        <f>IFERROR(INDEX(הגדרות!$C$2:$C$17,MATCH(H150,הגדרות!$A$2:$A$17,0)),"")</f>
        <v>0</v>
      </c>
      <c r="AB150" t="str">
        <f>IFERROR(INDEX(הגדרות!$B$2:$B$17,MATCH(I150,הגדרות!$A$2:$A$17,0)),"")</f>
        <v>מדברי</v>
      </c>
      <c r="AC150">
        <f>IFERROR(INDEX(הגדרות!$C$2:$C$17,MATCH(I150,הגדרות!$A$2:$A$17,0)),"")</f>
        <v>0</v>
      </c>
      <c r="AD150" t="e">
        <f>IF(AND(מלאי!D69&lt;&gt;"",OR(#REF!="הכל",מלאי!Z69=#REF!,מלאי!AA69=#REF!,מלאי!AB69=#REF!,מלאי!AC69=#REF!),OR(#REF!="הכל",מלאי!A69=#REF!),OR(#REF!="הכל",מלאי!B69=#REF!),OR(#REF!="הכל",מלאי!F69=#REF!,מלאי!G69=#REF!),OR(#REF!="הכל",מלאי!T69=#REF!),OR(#REF!="הכל",מלאי!Q69=#REF!),OR(#REF!="הכל",מלאי!J69=#REF!),OR(#REF!="הכל",מלאי!L69=#REF!),OR(#REF!="הכל",מלאי!O69=#REF!),OR(#REF!="הכל",מלאי!R69=#REF!),OR(#REF!="הכל",#REF!="",מלאי!W69=#REF!),OR(#REF!="הכל",#REF!="",ISNUMBER(SEARCH(#REF!,מלאי!C69)))),1,0)</f>
        <v>#REF!</v>
      </c>
      <c r="AE150" t="e">
        <f>IF(AND(מלאי!D69&lt;&gt;"",OR(#REF!="הכל",מלאי!Z69=#REF!,מלאי!AA69=#REF!,מלאי!AB69=#REF!,מלאי!AC69=#REF!),OR(#REF!="הכל",מלאי!A69=#REF!),OR(#REF!="הכל",מלאי!B69=#REF!),OR(#REF!="הכל",מלאי!F69=#REF!,מלאי!G69=#REF!),OR(#REF!="הכל",מלאי!T69=#REF!),OR(#REF!="הכל",מלאי!Q69=#REF!),OR(#REF!="הכל",מלאי!J69=#REF!),OR(#REF!="הכל",מלאי!L69=#REF!),OR(#REF!="הכל",מלאי!O69=#REF!),OR(#REF!="הכל",מלאי!R69=#REF!),OR(#REF!="הכל",#REF!="",מלאי!W69=#REF!),OR(#REF!="הכל",#REF!="",ISNUMBER(SEARCH(#REF!,מלאי!C69))),OR(#REF!="הכל",מלאי!#REF!=#REF!)),1,0)</f>
        <v>#REF!</v>
      </c>
      <c r="AF150" t="e">
        <f>IF(AD150=1,COUNTIF($AD$3:$AD150,1),"")</f>
        <v>#REF!</v>
      </c>
      <c r="AG150" t="e">
        <f>IF(AE150=1,COUNTIF($AE$3:$AE150,1),"")</f>
        <v>#REF!</v>
      </c>
    </row>
    <row r="151" spans="1:33" ht="15" hidden="1" customHeight="1" x14ac:dyDescent="0.35">
      <c r="A151" s="4" t="s">
        <v>86</v>
      </c>
      <c r="B151" s="4" t="s">
        <v>93</v>
      </c>
      <c r="C151" s="12" t="s">
        <v>36</v>
      </c>
      <c r="D151" s="33" t="s">
        <v>290</v>
      </c>
      <c r="E151" s="4" t="str">
        <f>IFERROR(INDEX(הגדרות!$I$2:$I$47,MATCH(B151,הגדרות!$H$2:$H$47,0)),"")</f>
        <v>9021-00</v>
      </c>
      <c r="F151" s="4" t="s">
        <v>45</v>
      </c>
      <c r="G151" s="4"/>
      <c r="H151" s="4" t="s">
        <v>67</v>
      </c>
      <c r="I151" s="4" t="s">
        <v>39</v>
      </c>
      <c r="J151" s="4" t="s">
        <v>40</v>
      </c>
      <c r="K151" s="4" t="s">
        <v>40</v>
      </c>
      <c r="L151" s="4" t="s">
        <v>40</v>
      </c>
      <c r="M151" s="4" t="s">
        <v>40</v>
      </c>
      <c r="N151" s="4" t="s">
        <v>2</v>
      </c>
      <c r="O151" s="4" t="s">
        <v>2</v>
      </c>
      <c r="P151" s="12" t="s">
        <v>234</v>
      </c>
      <c r="Q151" s="4" t="s">
        <v>2</v>
      </c>
      <c r="R151" s="4"/>
      <c r="S151" s="4" t="s">
        <v>2</v>
      </c>
      <c r="T151" s="4" t="s">
        <v>41</v>
      </c>
      <c r="U151" s="4"/>
      <c r="V151" s="4"/>
      <c r="W151" s="4"/>
      <c r="X151" s="4"/>
      <c r="Y151" s="4"/>
      <c r="Z151" t="str">
        <f>IFERROR(INDEX(הגדרות!$B$2:$B$17,MATCH(H151,הגדרות!$A$2:$A$17,0)),"")</f>
        <v>מיוער</v>
      </c>
      <c r="AA151">
        <f>IFERROR(INDEX(הגדרות!$C$2:$C$17,MATCH(H151,הגדרות!$A$2:$A$17,0)),"")</f>
        <v>0</v>
      </c>
      <c r="AB151" t="str">
        <f>IFERROR(INDEX(הגדרות!$B$2:$B$17,MATCH(I151,הגדרות!$A$2:$A$17,0)),"")</f>
        <v>מדברי</v>
      </c>
      <c r="AC151">
        <f>IFERROR(INDEX(הגדרות!$C$2:$C$17,MATCH(I151,הגדרות!$A$2:$A$17,0)),"")</f>
        <v>0</v>
      </c>
      <c r="AD151" t="e">
        <f>IF(AND(מלאי!D70&lt;&gt;"",OR(#REF!="הכל",מלאי!Z70=#REF!,מלאי!AA70=#REF!,מלאי!AB70=#REF!,מלאי!AC70=#REF!),OR(#REF!="הכל",מלאי!A70=#REF!),OR(#REF!="הכל",מלאי!B70=#REF!),OR(#REF!="הכל",מלאי!F70=#REF!,מלאי!G70=#REF!),OR(#REF!="הכל",מלאי!T70=#REF!),OR(#REF!="הכל",מלאי!Q70=#REF!),OR(#REF!="הכל",מלאי!J70=#REF!),OR(#REF!="הכל",מלאי!L70=#REF!),OR(#REF!="הכל",מלאי!O70=#REF!),OR(#REF!="הכל",מלאי!R70=#REF!),OR(#REF!="הכל",#REF!="",מלאי!W70=#REF!),OR(#REF!="הכל",#REF!="",ISNUMBER(SEARCH(#REF!,מלאי!C70)))),1,0)</f>
        <v>#REF!</v>
      </c>
      <c r="AE151" t="e">
        <f>IF(AND(מלאי!D70&lt;&gt;"",OR(#REF!="הכל",מלאי!Z70=#REF!,מלאי!AA70=#REF!,מלאי!AB70=#REF!,מלאי!AC70=#REF!),OR(#REF!="הכל",מלאי!A70=#REF!),OR(#REF!="הכל",מלאי!B70=#REF!),OR(#REF!="הכל",מלאי!F70=#REF!,מלאי!G70=#REF!),OR(#REF!="הכל",מלאי!T70=#REF!),OR(#REF!="הכל",מלאי!Q70=#REF!),OR(#REF!="הכל",מלאי!J70=#REF!),OR(#REF!="הכל",מלאי!L70=#REF!),OR(#REF!="הכל",מלאי!O70=#REF!),OR(#REF!="הכל",מלאי!R70=#REF!),OR(#REF!="הכל",#REF!="",מלאי!W70=#REF!),OR(#REF!="הכל",#REF!="",ISNUMBER(SEARCH(#REF!,מלאי!C70))),OR(#REF!="הכל",מלאי!#REF!=#REF!)),1,0)</f>
        <v>#REF!</v>
      </c>
      <c r="AF151" t="e">
        <f>IF(AD151=1,COUNTIF($AD$3:$AD151,1),"")</f>
        <v>#REF!</v>
      </c>
      <c r="AG151" t="e">
        <f>IF(AE151=1,COUNTIF($AE$3:$AE151,1),"")</f>
        <v>#REF!</v>
      </c>
    </row>
    <row r="152" spans="1:33" ht="15" hidden="1" customHeight="1" x14ac:dyDescent="0.35">
      <c r="A152" s="4" t="s">
        <v>86</v>
      </c>
      <c r="B152" s="4" t="s">
        <v>93</v>
      </c>
      <c r="C152" s="12" t="s">
        <v>36</v>
      </c>
      <c r="D152" s="12" t="s">
        <v>291</v>
      </c>
      <c r="E152" s="4" t="str">
        <f>IFERROR(INDEX(הגדרות!$I$2:$I$47,MATCH(B152,הגדרות!$H$2:$H$47,0)),"")</f>
        <v>9021-00</v>
      </c>
      <c r="F152" s="4" t="s">
        <v>45</v>
      </c>
      <c r="G152" s="4"/>
      <c r="H152" s="4" t="s">
        <v>67</v>
      </c>
      <c r="I152" s="4" t="s">
        <v>39</v>
      </c>
      <c r="J152" s="4" t="s">
        <v>40</v>
      </c>
      <c r="K152" s="4" t="s">
        <v>40</v>
      </c>
      <c r="L152" s="4" t="s">
        <v>40</v>
      </c>
      <c r="M152" s="4" t="s">
        <v>40</v>
      </c>
      <c r="N152" s="4" t="s">
        <v>2</v>
      </c>
      <c r="O152" s="4" t="s">
        <v>2</v>
      </c>
      <c r="P152" s="12" t="s">
        <v>234</v>
      </c>
      <c r="Q152" s="4" t="s">
        <v>2</v>
      </c>
      <c r="R152" s="4"/>
      <c r="S152" s="4" t="s">
        <v>2</v>
      </c>
      <c r="T152" s="4" t="s">
        <v>41</v>
      </c>
      <c r="U152" s="4"/>
      <c r="V152" s="4"/>
      <c r="W152" s="4"/>
      <c r="X152" s="4"/>
      <c r="Y152" s="4"/>
      <c r="Z152" t="str">
        <f>IFERROR(INDEX(הגדרות!$B$2:$B$17,MATCH(H152,הגדרות!$A$2:$A$17,0)),"")</f>
        <v>מיוער</v>
      </c>
      <c r="AA152">
        <f>IFERROR(INDEX(הגדרות!$C$2:$C$17,MATCH(H152,הגדרות!$A$2:$A$17,0)),"")</f>
        <v>0</v>
      </c>
      <c r="AB152" t="str">
        <f>IFERROR(INDEX(הגדרות!$B$2:$B$17,MATCH(I152,הגדרות!$A$2:$A$17,0)),"")</f>
        <v>מדברי</v>
      </c>
      <c r="AC152">
        <f>IFERROR(INDEX(הגדרות!$C$2:$C$17,MATCH(I152,הגדרות!$A$2:$A$17,0)),"")</f>
        <v>0</v>
      </c>
      <c r="AD152" t="e">
        <f>IF(AND(מלאי!D71&lt;&gt;"",OR(#REF!="הכל",מלאי!Z71=#REF!,מלאי!AA71=#REF!,מלאי!AB71=#REF!,מלאי!AC71=#REF!),OR(#REF!="הכל",מלאי!A71=#REF!),OR(#REF!="הכל",מלאי!B71=#REF!),OR(#REF!="הכל",מלאי!F71=#REF!,מלאי!G71=#REF!),OR(#REF!="הכל",מלאי!T71=#REF!),OR(#REF!="הכל",מלאי!Q71=#REF!),OR(#REF!="הכל",מלאי!J71=#REF!),OR(#REF!="הכל",מלאי!L71=#REF!),OR(#REF!="הכל",מלאי!O71=#REF!),OR(#REF!="הכל",מלאי!R71=#REF!),OR(#REF!="הכל",#REF!="",מלאי!W71=#REF!),OR(#REF!="הכל",#REF!="",ISNUMBER(SEARCH(#REF!,מלאי!C71)))),1,0)</f>
        <v>#REF!</v>
      </c>
      <c r="AE152" t="e">
        <f>IF(AND(מלאי!D71&lt;&gt;"",OR(#REF!="הכל",מלאי!Z71=#REF!,מלאי!AA71=#REF!,מלאי!AB71=#REF!,מלאי!AC71=#REF!),OR(#REF!="הכל",מלאי!A71=#REF!),OR(#REF!="הכל",מלאי!B71=#REF!),OR(#REF!="הכל",מלאי!F71=#REF!,מלאי!G71=#REF!),OR(#REF!="הכל",מלאי!T71=#REF!),OR(#REF!="הכל",מלאי!Q71=#REF!),OR(#REF!="הכל",מלאי!J71=#REF!),OR(#REF!="הכל",מלאי!L71=#REF!),OR(#REF!="הכל",מלאי!O71=#REF!),OR(#REF!="הכל",מלאי!R71=#REF!),OR(#REF!="הכל",#REF!="",מלאי!W71=#REF!),OR(#REF!="הכל",#REF!="",ISNUMBER(SEARCH(#REF!,מלאי!C71))),OR(#REF!="הכל",מלאי!#REF!=#REF!)),1,0)</f>
        <v>#REF!</v>
      </c>
      <c r="AF152" t="e">
        <f>IF(AD152=1,COUNTIF($AD$3:$AD152,1),"")</f>
        <v>#REF!</v>
      </c>
      <c r="AG152" t="e">
        <f>IF(AE152=1,COUNTIF($AE$3:$AE152,1),"")</f>
        <v>#REF!</v>
      </c>
    </row>
    <row r="153" spans="1:33" ht="15" hidden="1" customHeight="1" x14ac:dyDescent="0.35">
      <c r="A153" s="4" t="s">
        <v>86</v>
      </c>
      <c r="B153" s="4" t="s">
        <v>93</v>
      </c>
      <c r="C153" s="12" t="s">
        <v>36</v>
      </c>
      <c r="D153" s="12" t="s">
        <v>292</v>
      </c>
      <c r="E153" s="4" t="str">
        <f>IFERROR(INDEX(הגדרות!$I$2:$I$47,MATCH(B153,הגדרות!$H$2:$H$47,0)),"")</f>
        <v>9021-00</v>
      </c>
      <c r="F153" s="4" t="s">
        <v>45</v>
      </c>
      <c r="G153" s="4"/>
      <c r="H153" s="4" t="s">
        <v>67</v>
      </c>
      <c r="I153" s="4" t="s">
        <v>39</v>
      </c>
      <c r="J153" s="4" t="s">
        <v>40</v>
      </c>
      <c r="K153" s="4" t="s">
        <v>40</v>
      </c>
      <c r="L153" s="4" t="s">
        <v>40</v>
      </c>
      <c r="M153" s="4" t="s">
        <v>40</v>
      </c>
      <c r="N153" s="4" t="s">
        <v>2</v>
      </c>
      <c r="O153" s="4" t="s">
        <v>2</v>
      </c>
      <c r="P153" s="12" t="s">
        <v>234</v>
      </c>
      <c r="Q153" s="4" t="s">
        <v>2</v>
      </c>
      <c r="R153" s="4"/>
      <c r="S153" s="4" t="s">
        <v>2</v>
      </c>
      <c r="T153" s="4" t="s">
        <v>41</v>
      </c>
      <c r="U153" s="4"/>
      <c r="V153" s="4"/>
      <c r="W153" s="4"/>
      <c r="X153" s="4"/>
      <c r="Y153" s="4"/>
      <c r="Z153" t="str">
        <f>IFERROR(INDEX(הגדרות!$B$2:$B$17,MATCH(H153,הגדרות!$A$2:$A$17,0)),"")</f>
        <v>מיוער</v>
      </c>
      <c r="AA153">
        <f>IFERROR(INDEX(הגדרות!$C$2:$C$17,MATCH(H153,הגדרות!$A$2:$A$17,0)),"")</f>
        <v>0</v>
      </c>
      <c r="AB153" t="str">
        <f>IFERROR(INDEX(הגדרות!$B$2:$B$17,MATCH(I153,הגדרות!$A$2:$A$17,0)),"")</f>
        <v>מדברי</v>
      </c>
      <c r="AC153">
        <f>IFERROR(INDEX(הגדרות!$C$2:$C$17,MATCH(I153,הגדרות!$A$2:$A$17,0)),"")</f>
        <v>0</v>
      </c>
      <c r="AD153" t="e">
        <f>IF(AND(מלאי!D72&lt;&gt;"",OR(#REF!="הכל",מלאי!Z72=#REF!,מלאי!AA72=#REF!,מלאי!AB72=#REF!,מלאי!AC72=#REF!),OR(#REF!="הכל",מלאי!A72=#REF!),OR(#REF!="הכל",מלאי!B72=#REF!),OR(#REF!="הכל",מלאי!F72=#REF!,מלאי!G72=#REF!),OR(#REF!="הכל",מלאי!T72=#REF!),OR(#REF!="הכל",מלאי!Q72=#REF!),OR(#REF!="הכל",מלאי!J72=#REF!),OR(#REF!="הכל",מלאי!L72=#REF!),OR(#REF!="הכל",מלאי!O72=#REF!),OR(#REF!="הכל",מלאי!R72=#REF!),OR(#REF!="הכל",#REF!="",מלאי!W72=#REF!),OR(#REF!="הכל",#REF!="",ISNUMBER(SEARCH(#REF!,מלאי!C72)))),1,0)</f>
        <v>#REF!</v>
      </c>
      <c r="AE153" t="e">
        <f>IF(AND(מלאי!D72&lt;&gt;"",OR(#REF!="הכל",מלאי!Z72=#REF!,מלאי!AA72=#REF!,מלאי!AB72=#REF!,מלאי!AC72=#REF!),OR(#REF!="הכל",מלאי!A72=#REF!),OR(#REF!="הכל",מלאי!B72=#REF!),OR(#REF!="הכל",מלאי!F72=#REF!,מלאי!G72=#REF!),OR(#REF!="הכל",מלאי!T72=#REF!),OR(#REF!="הכל",מלאי!Q72=#REF!),OR(#REF!="הכל",מלאי!J72=#REF!),OR(#REF!="הכל",מלאי!L72=#REF!),OR(#REF!="הכל",מלאי!O72=#REF!),OR(#REF!="הכל",מלאי!R72=#REF!),OR(#REF!="הכל",#REF!="",מלאי!W72=#REF!),OR(#REF!="הכל",#REF!="",ISNUMBER(SEARCH(#REF!,מלאי!C72))),OR(#REF!="הכל",מלאי!#REF!=#REF!)),1,0)</f>
        <v>#REF!</v>
      </c>
      <c r="AF153" t="e">
        <f>IF(AD153=1,COUNTIF($AD$3:$AD153,1),"")</f>
        <v>#REF!</v>
      </c>
      <c r="AG153" t="e">
        <f>IF(AE153=1,COUNTIF($AE$3:$AE153,1),"")</f>
        <v>#REF!</v>
      </c>
    </row>
    <row r="154" spans="1:33" ht="15" hidden="1" customHeight="1" x14ac:dyDescent="0.35">
      <c r="A154" s="4" t="s">
        <v>86</v>
      </c>
      <c r="B154" s="4" t="s">
        <v>93</v>
      </c>
      <c r="C154" s="12" t="s">
        <v>36</v>
      </c>
      <c r="D154" s="33" t="s">
        <v>293</v>
      </c>
      <c r="E154" s="4" t="str">
        <f>IFERROR(INDEX(הגדרות!$I$2:$I$47,MATCH(B154,הגדרות!$H$2:$H$47,0)),"")</f>
        <v>9021-00</v>
      </c>
      <c r="F154" s="4" t="s">
        <v>45</v>
      </c>
      <c r="G154" s="4"/>
      <c r="H154" s="4" t="s">
        <v>67</v>
      </c>
      <c r="I154" s="4" t="s">
        <v>39</v>
      </c>
      <c r="J154" s="4" t="s">
        <v>40</v>
      </c>
      <c r="K154" s="4" t="s">
        <v>40</v>
      </c>
      <c r="L154" s="4" t="s">
        <v>40</v>
      </c>
      <c r="M154" s="4" t="s">
        <v>40</v>
      </c>
      <c r="N154" s="4" t="s">
        <v>2</v>
      </c>
      <c r="O154" s="4" t="s">
        <v>2</v>
      </c>
      <c r="P154" s="12" t="s">
        <v>234</v>
      </c>
      <c r="Q154" s="4" t="s">
        <v>2</v>
      </c>
      <c r="R154" s="4"/>
      <c r="S154" s="4" t="s">
        <v>2</v>
      </c>
      <c r="T154" s="4" t="s">
        <v>41</v>
      </c>
      <c r="U154" s="4"/>
      <c r="V154" s="4"/>
      <c r="W154" s="4"/>
      <c r="X154" s="4"/>
      <c r="Y154" s="4"/>
      <c r="Z154" t="str">
        <f>IFERROR(INDEX(הגדרות!$B$2:$B$17,MATCH(H154,הגדרות!$A$2:$A$17,0)),"")</f>
        <v>מיוער</v>
      </c>
      <c r="AA154">
        <f>IFERROR(INDEX(הגדרות!$C$2:$C$17,MATCH(H154,הגדרות!$A$2:$A$17,0)),"")</f>
        <v>0</v>
      </c>
      <c r="AB154" t="str">
        <f>IFERROR(INDEX(הגדרות!$B$2:$B$17,MATCH(I154,הגדרות!$A$2:$A$17,0)),"")</f>
        <v>מדברי</v>
      </c>
      <c r="AC154">
        <f>IFERROR(INDEX(הגדרות!$C$2:$C$17,MATCH(I154,הגדרות!$A$2:$A$17,0)),"")</f>
        <v>0</v>
      </c>
      <c r="AD154" t="e">
        <f>IF(AND(מלאי!D73&lt;&gt;"",OR(#REF!="הכל",מלאי!Z73=#REF!,מלאי!AA73=#REF!,מלאי!AB73=#REF!,מלאי!AC73=#REF!),OR(#REF!="הכל",מלאי!A73=#REF!),OR(#REF!="הכל",מלאי!B73=#REF!),OR(#REF!="הכל",מלאי!F73=#REF!,מלאי!G73=#REF!),OR(#REF!="הכל",מלאי!T73=#REF!),OR(#REF!="הכל",מלאי!Q73=#REF!),OR(#REF!="הכל",מלאי!J73=#REF!),OR(#REF!="הכל",מלאי!L73=#REF!),OR(#REF!="הכל",מלאי!O73=#REF!),OR(#REF!="הכל",מלאי!R73=#REF!),OR(#REF!="הכל",#REF!="",מלאי!W73=#REF!),OR(#REF!="הכל",#REF!="",ISNUMBER(SEARCH(#REF!,מלאי!C73)))),1,0)</f>
        <v>#REF!</v>
      </c>
      <c r="AE154" t="e">
        <f>IF(AND(מלאי!D73&lt;&gt;"",OR(#REF!="הכל",מלאי!Z73=#REF!,מלאי!AA73=#REF!,מלאי!AB73=#REF!,מלאי!AC73=#REF!),OR(#REF!="הכל",מלאי!A73=#REF!),OR(#REF!="הכל",מלאי!B73=#REF!),OR(#REF!="הכל",מלאי!F73=#REF!,מלאי!G73=#REF!),OR(#REF!="הכל",מלאי!T73=#REF!),OR(#REF!="הכל",מלאי!Q73=#REF!),OR(#REF!="הכל",מלאי!J73=#REF!),OR(#REF!="הכל",מלאי!L73=#REF!),OR(#REF!="הכל",מלאי!O73=#REF!),OR(#REF!="הכל",מלאי!R73=#REF!),OR(#REF!="הכל",#REF!="",מלאי!W73=#REF!),OR(#REF!="הכל",#REF!="",ISNUMBER(SEARCH(#REF!,מלאי!C73))),OR(#REF!="הכל",מלאי!#REF!=#REF!)),1,0)</f>
        <v>#REF!</v>
      </c>
      <c r="AF154" t="e">
        <f>IF(AD154=1,COUNTIF($AD$3:$AD154,1),"")</f>
        <v>#REF!</v>
      </c>
      <c r="AG154" t="e">
        <f>IF(AE154=1,COUNTIF($AE$3:$AE154,1),"")</f>
        <v>#REF!</v>
      </c>
    </row>
    <row r="155" spans="1:33" ht="15" hidden="1" customHeight="1" x14ac:dyDescent="0.35">
      <c r="A155" s="4" t="s">
        <v>86</v>
      </c>
      <c r="B155" s="4" t="s">
        <v>93</v>
      </c>
      <c r="C155" s="12" t="s">
        <v>36</v>
      </c>
      <c r="D155" s="33" t="s">
        <v>294</v>
      </c>
      <c r="E155" s="4" t="str">
        <f>IFERROR(INDEX(הגדרות!$I$2:$I$47,MATCH(B155,הגדרות!$H$2:$H$47,0)),"")</f>
        <v>9021-00</v>
      </c>
      <c r="F155" s="4" t="s">
        <v>45</v>
      </c>
      <c r="G155" s="4"/>
      <c r="H155" s="4" t="s">
        <v>67</v>
      </c>
      <c r="I155" s="4" t="s">
        <v>39</v>
      </c>
      <c r="J155" s="4" t="s">
        <v>40</v>
      </c>
      <c r="K155" s="4" t="s">
        <v>40</v>
      </c>
      <c r="L155" s="4" t="s">
        <v>40</v>
      </c>
      <c r="M155" s="4" t="s">
        <v>40</v>
      </c>
      <c r="N155" s="4" t="s">
        <v>2</v>
      </c>
      <c r="O155" s="4" t="s">
        <v>2</v>
      </c>
      <c r="P155" s="12" t="s">
        <v>234</v>
      </c>
      <c r="Q155" s="4" t="s">
        <v>2</v>
      </c>
      <c r="R155" s="4"/>
      <c r="S155" s="4" t="s">
        <v>2</v>
      </c>
      <c r="T155" s="4" t="s">
        <v>41</v>
      </c>
      <c r="U155" s="4"/>
      <c r="V155" s="4"/>
      <c r="W155" s="4"/>
      <c r="X155" s="4"/>
      <c r="Y155" s="4"/>
      <c r="Z155" t="str">
        <f>IFERROR(INDEX(הגדרות!$B$2:$B$17,MATCH(H155,הגדרות!$A$2:$A$17,0)),"")</f>
        <v>מיוער</v>
      </c>
      <c r="AA155">
        <f>IFERROR(INDEX(הגדרות!$C$2:$C$17,MATCH(H155,הגדרות!$A$2:$A$17,0)),"")</f>
        <v>0</v>
      </c>
      <c r="AB155" t="str">
        <f>IFERROR(INDEX(הגדרות!$B$2:$B$17,MATCH(I155,הגדרות!$A$2:$A$17,0)),"")</f>
        <v>מדברי</v>
      </c>
      <c r="AC155">
        <f>IFERROR(INDEX(הגדרות!$C$2:$C$17,MATCH(I155,הגדרות!$A$2:$A$17,0)),"")</f>
        <v>0</v>
      </c>
      <c r="AD155" t="e">
        <f>IF(AND(מלאי!D74&lt;&gt;"",OR(#REF!="הכל",מלאי!Z74=#REF!,מלאי!AA74=#REF!,מלאי!AB74=#REF!,מלאי!AC74=#REF!),OR(#REF!="הכל",מלאי!A74=#REF!),OR(#REF!="הכל",מלאי!B74=#REF!),OR(#REF!="הכל",מלאי!F74=#REF!,מלאי!G74=#REF!),OR(#REF!="הכל",מלאי!T74=#REF!),OR(#REF!="הכל",מלאי!Q74=#REF!),OR(#REF!="הכל",מלאי!J74=#REF!),OR(#REF!="הכל",מלאי!L74=#REF!),OR(#REF!="הכל",מלאי!O74=#REF!),OR(#REF!="הכל",מלאי!R74=#REF!),OR(#REF!="הכל",#REF!="",מלאי!W74=#REF!),OR(#REF!="הכל",#REF!="",ISNUMBER(SEARCH(#REF!,מלאי!C74)))),1,0)</f>
        <v>#REF!</v>
      </c>
      <c r="AE155" t="e">
        <f>IF(AND(מלאי!D74&lt;&gt;"",OR(#REF!="הכל",מלאי!Z74=#REF!,מלאי!AA74=#REF!,מלאי!AB74=#REF!,מלאי!AC74=#REF!),OR(#REF!="הכל",מלאי!A74=#REF!),OR(#REF!="הכל",מלאי!B74=#REF!),OR(#REF!="הכל",מלאי!F74=#REF!,מלאי!G74=#REF!),OR(#REF!="הכל",מלאי!T74=#REF!),OR(#REF!="הכל",מלאי!Q74=#REF!),OR(#REF!="הכל",מלאי!J74=#REF!),OR(#REF!="הכל",מלאי!L74=#REF!),OR(#REF!="הכל",מלאי!O74=#REF!),OR(#REF!="הכל",מלאי!R74=#REF!),OR(#REF!="הכל",#REF!="",מלאי!W74=#REF!),OR(#REF!="הכל",#REF!="",ISNUMBER(SEARCH(#REF!,מלאי!C74))),OR(#REF!="הכל",מלאי!#REF!=#REF!)),1,0)</f>
        <v>#REF!</v>
      </c>
      <c r="AF155" t="e">
        <f>IF(AD155=1,COUNTIF($AD$3:$AD155,1),"")</f>
        <v>#REF!</v>
      </c>
      <c r="AG155" t="e">
        <f>IF(AE155=1,COUNTIF($AE$3:$AE155,1),"")</f>
        <v>#REF!</v>
      </c>
    </row>
    <row r="156" spans="1:33" ht="15" hidden="1" customHeight="1" x14ac:dyDescent="0.35">
      <c r="A156" s="4" t="s">
        <v>86</v>
      </c>
      <c r="B156" s="4" t="s">
        <v>93</v>
      </c>
      <c r="C156" s="12" t="s">
        <v>36</v>
      </c>
      <c r="D156" s="33" t="s">
        <v>295</v>
      </c>
      <c r="E156" s="4" t="str">
        <f>IFERROR(INDEX(הגדרות!$I$2:$I$47,MATCH(B156,הגדרות!$H$2:$H$47,0)),"")</f>
        <v>9021-00</v>
      </c>
      <c r="F156" s="30" t="s">
        <v>45</v>
      </c>
      <c r="G156" s="4"/>
      <c r="H156" s="4" t="s">
        <v>67</v>
      </c>
      <c r="I156" s="4" t="s">
        <v>39</v>
      </c>
      <c r="J156" s="4" t="s">
        <v>40</v>
      </c>
      <c r="K156" s="4" t="s">
        <v>40</v>
      </c>
      <c r="L156" s="4" t="s">
        <v>40</v>
      </c>
      <c r="M156" s="4" t="s">
        <v>40</v>
      </c>
      <c r="N156" s="4" t="s">
        <v>2</v>
      </c>
      <c r="O156" s="4" t="s">
        <v>2</v>
      </c>
      <c r="P156" s="12" t="s">
        <v>234</v>
      </c>
      <c r="Q156" s="4" t="s">
        <v>2</v>
      </c>
      <c r="R156" s="4"/>
      <c r="S156" s="4" t="s">
        <v>2</v>
      </c>
      <c r="T156" s="4" t="s">
        <v>41</v>
      </c>
      <c r="U156" s="4"/>
      <c r="V156" s="4"/>
      <c r="W156" s="4"/>
      <c r="X156" s="4"/>
      <c r="Y156" s="4"/>
      <c r="Z156" t="str">
        <f>IFERROR(INDEX(הגדרות!$B$2:$B$17,MATCH(H156,הגדרות!$A$2:$A$17,0)),"")</f>
        <v>מיוער</v>
      </c>
      <c r="AA156">
        <f>IFERROR(INDEX(הגדרות!$C$2:$C$17,MATCH(H156,הגדרות!$A$2:$A$17,0)),"")</f>
        <v>0</v>
      </c>
      <c r="AB156" t="str">
        <f>IFERROR(INDEX(הגדרות!$B$2:$B$17,MATCH(I156,הגדרות!$A$2:$A$17,0)),"")</f>
        <v>מדברי</v>
      </c>
      <c r="AC156">
        <f>IFERROR(INDEX(הגדרות!$C$2:$C$17,MATCH(I156,הגדרות!$A$2:$A$17,0)),"")</f>
        <v>0</v>
      </c>
      <c r="AD156" t="e">
        <f>IF(AND(מלאי!D75&lt;&gt;"",OR(#REF!="הכל",מלאי!Z75=#REF!,מלאי!AA75=#REF!,מלאי!AB75=#REF!,מלאי!AC75=#REF!),OR(#REF!="הכל",מלאי!A75=#REF!),OR(#REF!="הכל",מלאי!B75=#REF!),OR(#REF!="הכל",מלאי!F75=#REF!,מלאי!G75=#REF!),OR(#REF!="הכל",מלאי!T75=#REF!),OR(#REF!="הכל",מלאי!Q75=#REF!),OR(#REF!="הכל",מלאי!J75=#REF!),OR(#REF!="הכל",מלאי!L75=#REF!),OR(#REF!="הכל",מלאי!O75=#REF!),OR(#REF!="הכל",מלאי!R75=#REF!),OR(#REF!="הכל",#REF!="",מלאי!W75=#REF!),OR(#REF!="הכל",#REF!="",ISNUMBER(SEARCH(#REF!,מלאי!C75)))),1,0)</f>
        <v>#REF!</v>
      </c>
      <c r="AE156" t="e">
        <f>IF(AND(מלאי!D75&lt;&gt;"",OR(#REF!="הכל",מלאי!Z75=#REF!,מלאי!AA75=#REF!,מלאי!AB75=#REF!,מלאי!AC75=#REF!),OR(#REF!="הכל",מלאי!A75=#REF!),OR(#REF!="הכל",מלאי!B75=#REF!),OR(#REF!="הכל",מלאי!F75=#REF!,מלאי!G75=#REF!),OR(#REF!="הכל",מלאי!T75=#REF!),OR(#REF!="הכל",מלאי!Q75=#REF!),OR(#REF!="הכל",מלאי!J75=#REF!),OR(#REF!="הכל",מלאי!L75=#REF!),OR(#REF!="הכל",מלאי!O75=#REF!),OR(#REF!="הכל",מלאי!R75=#REF!),OR(#REF!="הכל",#REF!="",מלאי!W75=#REF!),OR(#REF!="הכל",#REF!="",ISNUMBER(SEARCH(#REF!,מלאי!C75))),OR(#REF!="הכל",מלאי!#REF!=#REF!)),1,0)</f>
        <v>#REF!</v>
      </c>
      <c r="AF156" t="e">
        <f>IF(AD156=1,COUNTIF($AD$3:$AD156,1),"")</f>
        <v>#REF!</v>
      </c>
      <c r="AG156" t="e">
        <f>IF(AE156=1,COUNTIF($AE$3:$AE156,1),"")</f>
        <v>#REF!</v>
      </c>
    </row>
    <row r="157" spans="1:33" ht="15" hidden="1" customHeight="1" x14ac:dyDescent="0.35">
      <c r="A157" s="4" t="s">
        <v>86</v>
      </c>
      <c r="B157" s="4" t="s">
        <v>93</v>
      </c>
      <c r="C157" s="12" t="s">
        <v>36</v>
      </c>
      <c r="D157" s="12" t="s">
        <v>296</v>
      </c>
      <c r="E157" s="4" t="str">
        <f>IFERROR(INDEX(הגדרות!$I$2:$I$47,MATCH(B157,הגדרות!$H$2:$H$47,0)),"")</f>
        <v>9021-00</v>
      </c>
      <c r="F157" s="4" t="s">
        <v>45</v>
      </c>
      <c r="G157" s="4"/>
      <c r="H157" s="4" t="s">
        <v>67</v>
      </c>
      <c r="I157" s="4" t="s">
        <v>39</v>
      </c>
      <c r="J157" s="4" t="s">
        <v>40</v>
      </c>
      <c r="K157" s="4" t="s">
        <v>40</v>
      </c>
      <c r="L157" s="4" t="s">
        <v>40</v>
      </c>
      <c r="M157" s="4" t="s">
        <v>40</v>
      </c>
      <c r="N157" s="4" t="s">
        <v>2</v>
      </c>
      <c r="O157" s="4" t="s">
        <v>2</v>
      </c>
      <c r="P157" s="12" t="s">
        <v>234</v>
      </c>
      <c r="Q157" s="4" t="s">
        <v>2</v>
      </c>
      <c r="R157" s="4"/>
      <c r="S157" s="4" t="s">
        <v>2</v>
      </c>
      <c r="T157" s="4" t="s">
        <v>41</v>
      </c>
      <c r="U157" s="4"/>
      <c r="V157" s="4"/>
      <c r="W157" s="4"/>
      <c r="X157" s="4"/>
      <c r="Y157" s="4"/>
      <c r="Z157" t="str">
        <f>IFERROR(INDEX(הגדרות!$B$2:$B$17,MATCH(H157,הגדרות!$A$2:$A$17,0)),"")</f>
        <v>מיוער</v>
      </c>
      <c r="AA157">
        <f>IFERROR(INDEX(הגדרות!$C$2:$C$17,MATCH(H157,הגדרות!$A$2:$A$17,0)),"")</f>
        <v>0</v>
      </c>
      <c r="AB157" t="str">
        <f>IFERROR(INDEX(הגדרות!$B$2:$B$17,MATCH(I157,הגדרות!$A$2:$A$17,0)),"")</f>
        <v>מדברי</v>
      </c>
      <c r="AC157">
        <f>IFERROR(INDEX(הגדרות!$C$2:$C$17,MATCH(I157,הגדרות!$A$2:$A$17,0)),"")</f>
        <v>0</v>
      </c>
      <c r="AD157" t="e">
        <f>IF(AND(מלאי!D76&lt;&gt;"",OR(#REF!="הכל",מלאי!Z76=#REF!,מלאי!AA76=#REF!,מלאי!AB76=#REF!,מלאי!AC76=#REF!),OR(#REF!="הכל",מלאי!A76=#REF!),OR(#REF!="הכל",מלאי!B76=#REF!),OR(#REF!="הכל",מלאי!F76=#REF!,מלאי!G76=#REF!),OR(#REF!="הכל",מלאי!T76=#REF!),OR(#REF!="הכל",מלאי!Q76=#REF!),OR(#REF!="הכל",מלאי!J76=#REF!),OR(#REF!="הכל",מלאי!L76=#REF!),OR(#REF!="הכל",מלאי!O76=#REF!),OR(#REF!="הכל",מלאי!R76=#REF!),OR(#REF!="הכל",#REF!="",מלאי!W76=#REF!),OR(#REF!="הכל",#REF!="",ISNUMBER(SEARCH(#REF!,מלאי!C76)))),1,0)</f>
        <v>#REF!</v>
      </c>
      <c r="AE157" t="e">
        <f>IF(AND(מלאי!D76&lt;&gt;"",OR(#REF!="הכל",מלאי!Z76=#REF!,מלאי!AA76=#REF!,מלאי!AB76=#REF!,מלאי!AC76=#REF!),OR(#REF!="הכל",מלאי!A76=#REF!),OR(#REF!="הכל",מלאי!B76=#REF!),OR(#REF!="הכל",מלאי!F76=#REF!,מלאי!G76=#REF!),OR(#REF!="הכל",מלאי!T76=#REF!),OR(#REF!="הכל",מלאי!Q76=#REF!),OR(#REF!="הכל",מלאי!J76=#REF!),OR(#REF!="הכל",מלאי!L76=#REF!),OR(#REF!="הכל",מלאי!O76=#REF!),OR(#REF!="הכל",מלאי!R76=#REF!),OR(#REF!="הכל",#REF!="",מלאי!W76=#REF!),OR(#REF!="הכל",#REF!="",ISNUMBER(SEARCH(#REF!,מלאי!C76))),OR(#REF!="הכל",מלאי!#REF!=#REF!)),1,0)</f>
        <v>#REF!</v>
      </c>
      <c r="AF157" t="e">
        <f>IF(AD157=1,COUNTIF($AD$3:$AD157,1),"")</f>
        <v>#REF!</v>
      </c>
      <c r="AG157" t="e">
        <f>IF(AE157=1,COUNTIF($AE$3:$AE157,1),"")</f>
        <v>#REF!</v>
      </c>
    </row>
    <row r="158" spans="1:33" ht="15" hidden="1" customHeight="1" x14ac:dyDescent="0.35">
      <c r="A158" s="4" t="s">
        <v>86</v>
      </c>
      <c r="B158" s="4" t="s">
        <v>93</v>
      </c>
      <c r="C158" s="12" t="s">
        <v>36</v>
      </c>
      <c r="D158" s="12" t="s">
        <v>297</v>
      </c>
      <c r="E158" s="4" t="str">
        <f>IFERROR(INDEX(הגדרות!$I$2:$I$47,MATCH(B158,הגדרות!$H$2:$H$47,0)),"")</f>
        <v>9021-00</v>
      </c>
      <c r="F158" s="4" t="s">
        <v>45</v>
      </c>
      <c r="G158" s="4"/>
      <c r="H158" s="4" t="s">
        <v>67</v>
      </c>
      <c r="I158" s="4" t="s">
        <v>39</v>
      </c>
      <c r="J158" s="4" t="s">
        <v>40</v>
      </c>
      <c r="K158" s="4" t="s">
        <v>40</v>
      </c>
      <c r="L158" s="4" t="s">
        <v>40</v>
      </c>
      <c r="M158" s="4" t="s">
        <v>40</v>
      </c>
      <c r="N158" s="4" t="s">
        <v>2</v>
      </c>
      <c r="O158" s="4" t="s">
        <v>2</v>
      </c>
      <c r="P158" s="12" t="s">
        <v>234</v>
      </c>
      <c r="Q158" s="4" t="s">
        <v>2</v>
      </c>
      <c r="R158" s="4"/>
      <c r="S158" s="4" t="s">
        <v>2</v>
      </c>
      <c r="T158" s="4" t="s">
        <v>41</v>
      </c>
      <c r="U158" s="4"/>
      <c r="V158" s="4"/>
      <c r="W158" s="4"/>
      <c r="X158" s="4"/>
      <c r="Y158" s="4"/>
      <c r="Z158" t="str">
        <f>IFERROR(INDEX(הגדרות!$B$2:$B$17,MATCH(H158,הגדרות!$A$2:$A$17,0)),"")</f>
        <v>מיוער</v>
      </c>
      <c r="AA158">
        <f>IFERROR(INDEX(הגדרות!$C$2:$C$17,MATCH(H158,הגדרות!$A$2:$A$17,0)),"")</f>
        <v>0</v>
      </c>
      <c r="AB158" t="str">
        <f>IFERROR(INDEX(הגדרות!$B$2:$B$17,MATCH(I158,הגדרות!$A$2:$A$17,0)),"")</f>
        <v>מדברי</v>
      </c>
      <c r="AC158">
        <f>IFERROR(INDEX(הגדרות!$C$2:$C$17,MATCH(I158,הגדרות!$A$2:$A$17,0)),"")</f>
        <v>0</v>
      </c>
      <c r="AD158" t="e">
        <f>IF(AND(מלאי!D77&lt;&gt;"",OR(#REF!="הכל",מלאי!Z77=#REF!,מלאי!AA77=#REF!,מלאי!AB77=#REF!,מלאי!AC77=#REF!),OR(#REF!="הכל",מלאי!A77=#REF!),OR(#REF!="הכל",מלאי!B77=#REF!),OR(#REF!="הכל",מלאי!F77=#REF!,מלאי!G77=#REF!),OR(#REF!="הכל",מלאי!T77=#REF!),OR(#REF!="הכל",מלאי!Q77=#REF!),OR(#REF!="הכל",מלאי!J77=#REF!),OR(#REF!="הכל",מלאי!L77=#REF!),OR(#REF!="הכל",מלאי!O77=#REF!),OR(#REF!="הכל",מלאי!R77=#REF!),OR(#REF!="הכל",#REF!="",מלאי!W77=#REF!),OR(#REF!="הכל",#REF!="",ISNUMBER(SEARCH(#REF!,מלאי!C77)))),1,0)</f>
        <v>#REF!</v>
      </c>
      <c r="AE158" t="e">
        <f>IF(AND(מלאי!D77&lt;&gt;"",OR(#REF!="הכל",מלאי!Z77=#REF!,מלאי!AA77=#REF!,מלאי!AB77=#REF!,מלאי!AC77=#REF!),OR(#REF!="הכל",מלאי!A77=#REF!),OR(#REF!="הכל",מלאי!B77=#REF!),OR(#REF!="הכל",מלאי!F77=#REF!,מלאי!G77=#REF!),OR(#REF!="הכל",מלאי!T77=#REF!),OR(#REF!="הכל",מלאי!Q77=#REF!),OR(#REF!="הכל",מלאי!J77=#REF!),OR(#REF!="הכל",מלאי!L77=#REF!),OR(#REF!="הכל",מלאי!O77=#REF!),OR(#REF!="הכל",מלאי!R77=#REF!),OR(#REF!="הכל",#REF!="",מלאי!W77=#REF!),OR(#REF!="הכל",#REF!="",ISNUMBER(SEARCH(#REF!,מלאי!C77))),OR(#REF!="הכל",מלאי!#REF!=#REF!)),1,0)</f>
        <v>#REF!</v>
      </c>
      <c r="AF158" t="e">
        <f>IF(AD158=1,COUNTIF($AD$3:$AD158,1),"")</f>
        <v>#REF!</v>
      </c>
      <c r="AG158" t="e">
        <f>IF(AE158=1,COUNTIF($AE$3:$AE158,1),"")</f>
        <v>#REF!</v>
      </c>
    </row>
    <row r="159" spans="1:33" ht="15" hidden="1" customHeight="1" x14ac:dyDescent="0.35">
      <c r="A159" s="4" t="s">
        <v>86</v>
      </c>
      <c r="B159" s="4" t="s">
        <v>93</v>
      </c>
      <c r="C159" s="12" t="s">
        <v>36</v>
      </c>
      <c r="D159" s="12" t="s">
        <v>298</v>
      </c>
      <c r="E159" s="4" t="str">
        <f>IFERROR(INDEX(הגדרות!$I$2:$I$47,MATCH(B159,הגדרות!$H$2:$H$47,0)),"")</f>
        <v>9021-00</v>
      </c>
      <c r="F159" s="4" t="s">
        <v>45</v>
      </c>
      <c r="G159" s="4"/>
      <c r="H159" s="4" t="s">
        <v>67</v>
      </c>
      <c r="I159" s="4" t="s">
        <v>39</v>
      </c>
      <c r="J159" s="4" t="s">
        <v>40</v>
      </c>
      <c r="K159" s="4" t="s">
        <v>40</v>
      </c>
      <c r="L159" s="4" t="s">
        <v>40</v>
      </c>
      <c r="M159" s="4" t="s">
        <v>40</v>
      </c>
      <c r="N159" s="4" t="s">
        <v>2</v>
      </c>
      <c r="O159" s="4" t="s">
        <v>2</v>
      </c>
      <c r="P159" s="12" t="s">
        <v>234</v>
      </c>
      <c r="Q159" s="4" t="s">
        <v>2</v>
      </c>
      <c r="R159" s="4"/>
      <c r="S159" s="4" t="s">
        <v>2</v>
      </c>
      <c r="T159" s="4" t="s">
        <v>41</v>
      </c>
      <c r="U159" s="4"/>
      <c r="V159" s="4"/>
      <c r="W159" s="4"/>
      <c r="X159" s="4"/>
      <c r="Y159" s="4"/>
      <c r="Z159" t="str">
        <f>IFERROR(INDEX(הגדרות!$B$2:$B$17,MATCH(H159,הגדרות!$A$2:$A$17,0)),"")</f>
        <v>מיוער</v>
      </c>
      <c r="AA159">
        <f>IFERROR(INDEX(הגדרות!$C$2:$C$17,MATCH(H159,הגדרות!$A$2:$A$17,0)),"")</f>
        <v>0</v>
      </c>
      <c r="AB159" t="str">
        <f>IFERROR(INDEX(הגדרות!$B$2:$B$17,MATCH(I159,הגדרות!$A$2:$A$17,0)),"")</f>
        <v>מדברי</v>
      </c>
      <c r="AC159">
        <f>IFERROR(INDEX(הגדרות!$C$2:$C$17,MATCH(I159,הגדרות!$A$2:$A$17,0)),"")</f>
        <v>0</v>
      </c>
      <c r="AD159" t="e">
        <f>IF(AND(מלאי!D78&lt;&gt;"",OR(#REF!="הכל",מלאי!Z78=#REF!,מלאי!AA78=#REF!,מלאי!AB78=#REF!,מלאי!AC78=#REF!),OR(#REF!="הכל",מלאי!A78=#REF!),OR(#REF!="הכל",מלאי!B78=#REF!),OR(#REF!="הכל",מלאי!F78=#REF!,מלאי!G78=#REF!),OR(#REF!="הכל",מלאי!T78=#REF!),OR(#REF!="הכל",מלאי!Q78=#REF!),OR(#REF!="הכל",מלאי!J78=#REF!),OR(#REF!="הכל",מלאי!L78=#REF!),OR(#REF!="הכל",מלאי!O78=#REF!),OR(#REF!="הכל",מלאי!R78=#REF!),OR(#REF!="הכל",#REF!="",מלאי!W78=#REF!),OR(#REF!="הכל",#REF!="",ISNUMBER(SEARCH(#REF!,מלאי!C78)))),1,0)</f>
        <v>#REF!</v>
      </c>
      <c r="AE159" t="e">
        <f>IF(AND(מלאי!D78&lt;&gt;"",OR(#REF!="הכל",מלאי!Z78=#REF!,מלאי!AA78=#REF!,מלאי!AB78=#REF!,מלאי!AC78=#REF!),OR(#REF!="הכל",מלאי!A78=#REF!),OR(#REF!="הכל",מלאי!B78=#REF!),OR(#REF!="הכל",מלאי!F78=#REF!,מלאי!G78=#REF!),OR(#REF!="הכל",מלאי!T78=#REF!),OR(#REF!="הכל",מלאי!Q78=#REF!),OR(#REF!="הכל",מלאי!J78=#REF!),OR(#REF!="הכל",מלאי!L78=#REF!),OR(#REF!="הכל",מלאי!O78=#REF!),OR(#REF!="הכל",מלאי!R78=#REF!),OR(#REF!="הכל",#REF!="",מלאי!W78=#REF!),OR(#REF!="הכל",#REF!="",ISNUMBER(SEARCH(#REF!,מלאי!C78))),OR(#REF!="הכל",מלאי!#REF!=#REF!)),1,0)</f>
        <v>#REF!</v>
      </c>
      <c r="AF159" t="e">
        <f>IF(AD159=1,COUNTIF($AD$3:$AD159,1),"")</f>
        <v>#REF!</v>
      </c>
      <c r="AG159" t="e">
        <f>IF(AE159=1,COUNTIF($AE$3:$AE159,1),"")</f>
        <v>#REF!</v>
      </c>
    </row>
    <row r="160" spans="1:33" ht="15" hidden="1" customHeight="1" x14ac:dyDescent="0.35">
      <c r="A160" s="18" t="s">
        <v>86</v>
      </c>
      <c r="B160" s="18" t="s">
        <v>93</v>
      </c>
      <c r="C160" s="18" t="s">
        <v>36</v>
      </c>
      <c r="D160" s="18" t="s">
        <v>299</v>
      </c>
      <c r="E160" s="18" t="str">
        <f>IFERROR(INDEX(הגדרות!$I$2:$I$47,MATCH(B160,הגדרות!$H$2:$H$47,0)),"")</f>
        <v>9021-00</v>
      </c>
      <c r="F160" s="18" t="s">
        <v>45</v>
      </c>
      <c r="G160" s="18"/>
      <c r="H160" s="18" t="s">
        <v>67</v>
      </c>
      <c r="I160" s="18" t="s">
        <v>39</v>
      </c>
      <c r="J160" s="18" t="s">
        <v>40</v>
      </c>
      <c r="K160" s="18" t="s">
        <v>40</v>
      </c>
      <c r="L160" s="18" t="s">
        <v>40</v>
      </c>
      <c r="M160" s="18" t="s">
        <v>40</v>
      </c>
      <c r="N160" s="18" t="s">
        <v>2</v>
      </c>
      <c r="O160" s="18" t="s">
        <v>2</v>
      </c>
      <c r="P160" s="18" t="s">
        <v>234</v>
      </c>
      <c r="Q160" s="18" t="s">
        <v>2</v>
      </c>
      <c r="R160" s="18"/>
      <c r="S160" s="18" t="s">
        <v>2</v>
      </c>
      <c r="T160" s="18" t="s">
        <v>41</v>
      </c>
      <c r="U160" s="18"/>
      <c r="V160" s="18"/>
      <c r="W160" s="18"/>
      <c r="X160" s="18"/>
      <c r="Y160" s="18"/>
      <c r="Z160" t="str">
        <f>IFERROR(INDEX(הגדרות!$B$2:$B$17,MATCH(H160,הגדרות!$A$2:$A$17,0)),"")</f>
        <v>מיוער</v>
      </c>
      <c r="AA160">
        <f>IFERROR(INDEX(הגדרות!$C$2:$C$17,MATCH(H160,הגדרות!$A$2:$A$17,0)),"")</f>
        <v>0</v>
      </c>
      <c r="AB160" t="str">
        <f>IFERROR(INDEX(הגדרות!$B$2:$B$17,MATCH(I160,הגדרות!$A$2:$A$17,0)),"")</f>
        <v>מדברי</v>
      </c>
      <c r="AC160">
        <f>IFERROR(INDEX(הגדרות!$C$2:$C$17,MATCH(I160,הגדרות!$A$2:$A$17,0)),"")</f>
        <v>0</v>
      </c>
      <c r="AD160" t="e">
        <f>IF(AND(מלאי!D79&lt;&gt;"",OR(#REF!="הכל",מלאי!Z79=#REF!,מלאי!AA79=#REF!,מלאי!AB79=#REF!,מלאי!AC79=#REF!),OR(#REF!="הכל",מלאי!A79=#REF!),OR(#REF!="הכל",מלאי!B79=#REF!),OR(#REF!="הכל",מלאי!F79=#REF!,מלאי!G79=#REF!),OR(#REF!="הכל",מלאי!T79=#REF!),OR(#REF!="הכל",מלאי!Q79=#REF!),OR(#REF!="הכל",מלאי!J79=#REF!),OR(#REF!="הכל",מלאי!L79=#REF!),OR(#REF!="הכל",מלאי!O79=#REF!),OR(#REF!="הכל",מלאי!R79=#REF!),OR(#REF!="הכל",#REF!="",מלאי!W79=#REF!),OR(#REF!="הכל",#REF!="",ISNUMBER(SEARCH(#REF!,מלאי!C79)))),1,0)</f>
        <v>#REF!</v>
      </c>
      <c r="AE160" t="e">
        <f>IF(AND(מלאי!D79&lt;&gt;"",OR(#REF!="הכל",מלאי!Z79=#REF!,מלאי!AA79=#REF!,מלאי!AB79=#REF!,מלאי!AC79=#REF!),OR(#REF!="הכל",מלאי!A79=#REF!),OR(#REF!="הכל",מלאי!B79=#REF!),OR(#REF!="הכל",מלאי!F79=#REF!,מלאי!G79=#REF!),OR(#REF!="הכל",מלאי!T79=#REF!),OR(#REF!="הכל",מלאי!Q79=#REF!),OR(#REF!="הכל",מלאי!J79=#REF!),OR(#REF!="הכל",מלאי!L79=#REF!),OR(#REF!="הכל",מלאי!O79=#REF!),OR(#REF!="הכל",מלאי!R79=#REF!),OR(#REF!="הכל",#REF!="",מלאי!W79=#REF!),OR(#REF!="הכל",#REF!="",ISNUMBER(SEARCH(#REF!,מלאי!C79))),OR(#REF!="הכל",מלאי!#REF!=#REF!)),1,0)</f>
        <v>#REF!</v>
      </c>
      <c r="AF160" t="e">
        <f>IF(AD160=1,COUNTIF($AD$3:$AD160,1),"")</f>
        <v>#REF!</v>
      </c>
      <c r="AG160" t="e">
        <f>IF(AE160=1,COUNTIF($AE$3:$AE160,1),"")</f>
        <v>#REF!</v>
      </c>
    </row>
    <row r="161" spans="1:33" ht="15" hidden="1" customHeight="1" x14ac:dyDescent="0.35">
      <c r="A161" s="4" t="s">
        <v>86</v>
      </c>
      <c r="B161" s="4" t="s">
        <v>93</v>
      </c>
      <c r="C161" s="12" t="s">
        <v>36</v>
      </c>
      <c r="D161" s="12" t="s">
        <v>379</v>
      </c>
      <c r="E161" s="4" t="str">
        <f>IFERROR(INDEX(הגדרות!$I$2:$I$47,MATCH(B161,הגדרות!$H$2:$H$47,0)),"")</f>
        <v>9021-00</v>
      </c>
      <c r="F161" s="4" t="s">
        <v>45</v>
      </c>
      <c r="G161" s="4"/>
      <c r="H161" s="4" t="s">
        <v>67</v>
      </c>
      <c r="I161" s="4" t="s">
        <v>39</v>
      </c>
      <c r="J161" s="4" t="s">
        <v>40</v>
      </c>
      <c r="K161" s="4" t="s">
        <v>40</v>
      </c>
      <c r="L161" s="4" t="s">
        <v>40</v>
      </c>
      <c r="M161" s="4" t="s">
        <v>40</v>
      </c>
      <c r="N161" s="4" t="s">
        <v>2</v>
      </c>
      <c r="O161" s="4" t="s">
        <v>2</v>
      </c>
      <c r="P161" s="12" t="s">
        <v>234</v>
      </c>
      <c r="Q161" s="4" t="s">
        <v>2</v>
      </c>
      <c r="R161" s="4"/>
      <c r="S161" s="4" t="s">
        <v>2</v>
      </c>
      <c r="T161" s="4" t="s">
        <v>41</v>
      </c>
      <c r="U161" s="4"/>
      <c r="V161" s="4"/>
      <c r="W161" s="4"/>
      <c r="X161" s="4"/>
      <c r="Y161" s="4"/>
      <c r="Z161" t="str">
        <f>IFERROR(INDEX(הגדרות!$B$2:$B$17,MATCH(H161,הגדרות!$A$2:$A$17,0)),"")</f>
        <v>מיוער</v>
      </c>
      <c r="AA161">
        <f>IFERROR(INDEX(הגדרות!$C$2:$C$17,MATCH(H161,הגדרות!$A$2:$A$17,0)),"")</f>
        <v>0</v>
      </c>
      <c r="AB161" t="str">
        <f>IFERROR(INDEX(הגדרות!$B$2:$B$17,MATCH(I161,הגדרות!$A$2:$A$17,0)),"")</f>
        <v>מדברי</v>
      </c>
      <c r="AC161">
        <f>IFERROR(INDEX(הגדרות!$C$2:$C$17,MATCH(I161,הגדרות!$A$2:$A$17,0)),"")</f>
        <v>0</v>
      </c>
      <c r="AD161" t="e">
        <f>IF(AND(מלאי!D80&lt;&gt;"",OR(#REF!="הכל",מלאי!Z80=#REF!,מלאי!AA80=#REF!,מלאי!AB80=#REF!,מלאי!AC80=#REF!),OR(#REF!="הכל",מלאי!A80=#REF!),OR(#REF!="הכל",מלאי!B80=#REF!),OR(#REF!="הכל",מלאי!F80=#REF!,מלאי!G80=#REF!),OR(#REF!="הכל",מלאי!T80=#REF!),OR(#REF!="הכל",מלאי!Q80=#REF!),OR(#REF!="הכל",מלאי!J80=#REF!),OR(#REF!="הכל",מלאי!L80=#REF!),OR(#REF!="הכל",מלאי!O80=#REF!),OR(#REF!="הכל",מלאי!R80=#REF!),OR(#REF!="הכל",#REF!="",מלאי!W80=#REF!),OR(#REF!="הכל",#REF!="",ISNUMBER(SEARCH(#REF!,מלאי!C80)))),1,0)</f>
        <v>#REF!</v>
      </c>
      <c r="AE161" t="e">
        <f>IF(AND(מלאי!D80&lt;&gt;"",OR(#REF!="הכל",מלאי!Z80=#REF!,מלאי!AA80=#REF!,מלאי!AB80=#REF!,מלאי!AC80=#REF!),OR(#REF!="הכל",מלאי!A80=#REF!),OR(#REF!="הכל",מלאי!B80=#REF!),OR(#REF!="הכל",מלאי!F80=#REF!,מלאי!G80=#REF!),OR(#REF!="הכל",מלאי!T80=#REF!),OR(#REF!="הכל",מלאי!Q80=#REF!),OR(#REF!="הכל",מלאי!J80=#REF!),OR(#REF!="הכל",מלאי!L80=#REF!),OR(#REF!="הכל",מלאי!O80=#REF!),OR(#REF!="הכל",מלאי!R80=#REF!),OR(#REF!="הכל",#REF!="",מלאי!W80=#REF!),OR(#REF!="הכל",#REF!="",ISNUMBER(SEARCH(#REF!,מלאי!C80))),OR(#REF!="הכל",מלאי!#REF!=#REF!)),1,0)</f>
        <v>#REF!</v>
      </c>
      <c r="AF161" t="e">
        <f>IF(AD161=1,COUNTIF($AD$3:$AD161,1),"")</f>
        <v>#REF!</v>
      </c>
      <c r="AG161" t="e">
        <f>IF(AE161=1,COUNTIF($AE$3:$AE161,1),"")</f>
        <v>#REF!</v>
      </c>
    </row>
    <row r="162" spans="1:33" ht="15" hidden="1" customHeight="1" x14ac:dyDescent="0.35">
      <c r="A162" s="4" t="s">
        <v>86</v>
      </c>
      <c r="B162" s="4" t="s">
        <v>93</v>
      </c>
      <c r="C162" s="12" t="s">
        <v>36</v>
      </c>
      <c r="D162" s="12" t="s">
        <v>235</v>
      </c>
      <c r="E162" s="4" t="str">
        <f>IFERROR(INDEX(הגדרות!$I$2:$I$47,MATCH(B162,הגדרות!$H$2:$H$47,0)),"")</f>
        <v>9021-00</v>
      </c>
      <c r="F162" s="4" t="s">
        <v>45</v>
      </c>
      <c r="G162" s="4"/>
      <c r="H162" s="4" t="s">
        <v>67</v>
      </c>
      <c r="I162" s="4" t="s">
        <v>39</v>
      </c>
      <c r="J162" s="4" t="s">
        <v>40</v>
      </c>
      <c r="K162" s="4" t="s">
        <v>40</v>
      </c>
      <c r="L162" s="4" t="s">
        <v>40</v>
      </c>
      <c r="M162" s="4" t="s">
        <v>40</v>
      </c>
      <c r="N162" s="4" t="s">
        <v>2</v>
      </c>
      <c r="O162" s="4" t="s">
        <v>2</v>
      </c>
      <c r="P162" s="12" t="s">
        <v>234</v>
      </c>
      <c r="Q162" s="4" t="s">
        <v>2</v>
      </c>
      <c r="R162" s="4"/>
      <c r="S162" s="4" t="s">
        <v>2</v>
      </c>
      <c r="T162" s="4" t="s">
        <v>42</v>
      </c>
      <c r="U162" s="4"/>
      <c r="V162" s="4"/>
      <c r="W162" s="4"/>
      <c r="X162" s="4"/>
      <c r="Y162" s="4"/>
      <c r="Z162" t="str">
        <f>IFERROR(INDEX(הגדרות!$B$2:$B$17,MATCH(H162,הגדרות!$A$2:$A$17,0)),"")</f>
        <v>מיוער</v>
      </c>
      <c r="AA162">
        <f>IFERROR(INDEX(הגדרות!$C$2:$C$17,MATCH(H162,הגדרות!$A$2:$A$17,0)),"")</f>
        <v>0</v>
      </c>
      <c r="AB162" t="str">
        <f>IFERROR(INDEX(הגדרות!$B$2:$B$17,MATCH(I162,הגדרות!$A$2:$A$17,0)),"")</f>
        <v>מדברי</v>
      </c>
      <c r="AC162">
        <f>IFERROR(INDEX(הגדרות!$C$2:$C$17,MATCH(I162,הגדרות!$A$2:$A$17,0)),"")</f>
        <v>0</v>
      </c>
      <c r="AD162" t="e">
        <f>IF(AND(מלאי!D81&lt;&gt;"",OR(#REF!="הכל",מלאי!Z81=#REF!,מלאי!AA81=#REF!,מלאי!AB81=#REF!,מלאי!AC81=#REF!),OR(#REF!="הכל",מלאי!A81=#REF!),OR(#REF!="הכל",מלאי!B81=#REF!),OR(#REF!="הכל",מלאי!F81=#REF!,מלאי!G81=#REF!),OR(#REF!="הכל",מלאי!T81=#REF!),OR(#REF!="הכל",מלאי!Q81=#REF!),OR(#REF!="הכל",מלאי!J81=#REF!),OR(#REF!="הכל",מלאי!L81=#REF!),OR(#REF!="הכל",מלאי!O81=#REF!),OR(#REF!="הכל",מלאי!R81=#REF!),OR(#REF!="הכל",#REF!="",מלאי!W81=#REF!),OR(#REF!="הכל",#REF!="",ISNUMBER(SEARCH(#REF!,מלאי!C81)))),1,0)</f>
        <v>#REF!</v>
      </c>
      <c r="AE162" t="e">
        <f>IF(AND(מלאי!D81&lt;&gt;"",OR(#REF!="הכל",מלאי!Z81=#REF!,מלאי!AA81=#REF!,מלאי!AB81=#REF!,מלאי!AC81=#REF!),OR(#REF!="הכל",מלאי!A81=#REF!),OR(#REF!="הכל",מלאי!B81=#REF!),OR(#REF!="הכל",מלאי!F81=#REF!,מלאי!G81=#REF!),OR(#REF!="הכל",מלאי!T81=#REF!),OR(#REF!="הכל",מלאי!Q81=#REF!),OR(#REF!="הכל",מלאי!J81=#REF!),OR(#REF!="הכל",מלאי!L81=#REF!),OR(#REF!="הכל",מלאי!O81=#REF!),OR(#REF!="הכל",מלאי!R81=#REF!),OR(#REF!="הכל",#REF!="",מלאי!W81=#REF!),OR(#REF!="הכל",#REF!="",ISNUMBER(SEARCH(#REF!,מלאי!C81))),OR(#REF!="הכל",מלאי!#REF!=#REF!)),1,0)</f>
        <v>#REF!</v>
      </c>
      <c r="AF162" t="e">
        <f>IF(AD162=1,COUNTIF($AD$3:$AD162,1),"")</f>
        <v>#REF!</v>
      </c>
      <c r="AG162" t="e">
        <f>IF(AE162=1,COUNTIF($AE$3:$AE162,1),"")</f>
        <v>#REF!</v>
      </c>
    </row>
    <row r="163" spans="1:33" ht="15" hidden="1" customHeight="1" x14ac:dyDescent="0.35">
      <c r="A163" s="5" t="s">
        <v>86</v>
      </c>
      <c r="B163" s="5" t="s">
        <v>93</v>
      </c>
      <c r="C163" s="5" t="s">
        <v>36</v>
      </c>
      <c r="D163" s="11" t="s">
        <v>300</v>
      </c>
      <c r="E163" s="5" t="str">
        <f>IFERROR(INDEX(הגדרות!$I$2:$I$47,MATCH(B163,הגדרות!$H$2:$H$47,0)),"")</f>
        <v>9021-00</v>
      </c>
      <c r="F163" s="5" t="s">
        <v>45</v>
      </c>
      <c r="G163" s="5"/>
      <c r="H163" s="5" t="s">
        <v>38</v>
      </c>
      <c r="I163" s="5" t="s">
        <v>39</v>
      </c>
      <c r="J163" s="5" t="s">
        <v>40</v>
      </c>
      <c r="K163" s="5" t="s">
        <v>40</v>
      </c>
      <c r="L163" s="5" t="s">
        <v>40</v>
      </c>
      <c r="M163" s="5" t="s">
        <v>40</v>
      </c>
      <c r="N163" s="5"/>
      <c r="O163" s="5" t="s">
        <v>40</v>
      </c>
      <c r="P163" s="5"/>
      <c r="Q163" s="5" t="s">
        <v>2</v>
      </c>
      <c r="R163" s="5"/>
      <c r="S163" s="5" t="s">
        <v>2</v>
      </c>
      <c r="T163" s="5" t="s">
        <v>41</v>
      </c>
      <c r="U163" s="5"/>
      <c r="V163" s="5"/>
      <c r="W163" s="5"/>
      <c r="X163" s="5"/>
      <c r="Y163" s="5"/>
      <c r="Z163" t="str">
        <f>IFERROR(INDEX(הגדרות!$B$2:$B$17,MATCH(H163,הגדרות!$A$2:$A$17,0)),"")</f>
        <v>מיוער</v>
      </c>
      <c r="AA163">
        <f>IFERROR(INDEX(הגדרות!$C$2:$C$17,MATCH(H163,הגדרות!$A$2:$A$17,0)),"")</f>
        <v>0</v>
      </c>
      <c r="AB163" t="str">
        <f>IFERROR(INDEX(הגדרות!$B$2:$B$17,MATCH(I163,הגדרות!$A$2:$A$17,0)),"")</f>
        <v>מדברי</v>
      </c>
      <c r="AC163">
        <f>IFERROR(INDEX(הגדרות!$C$2:$C$17,MATCH(I163,הגדרות!$A$2:$A$17,0)),"")</f>
        <v>0</v>
      </c>
      <c r="AD163" t="e">
        <f>IF(AND(מלאי!D82&lt;&gt;"",OR(#REF!="הכל",מלאי!Z82=#REF!,מלאי!AA82=#REF!,מלאי!AB82=#REF!,מלאי!AC82=#REF!),OR(#REF!="הכל",מלאי!A82=#REF!),OR(#REF!="הכל",מלאי!B82=#REF!),OR(#REF!="הכל",מלאי!F82=#REF!,מלאי!G82=#REF!),OR(#REF!="הכל",מלאי!T82=#REF!),OR(#REF!="הכל",מלאי!Q82=#REF!),OR(#REF!="הכל",מלאי!J82=#REF!),OR(#REF!="הכל",מלאי!L82=#REF!),OR(#REF!="הכל",מלאי!O82=#REF!),OR(#REF!="הכל",מלאי!R82=#REF!),OR(#REF!="הכל",#REF!="",מלאי!W82=#REF!),OR(#REF!="הכל",#REF!="",ISNUMBER(SEARCH(#REF!,מלאי!C82)))),1,0)</f>
        <v>#REF!</v>
      </c>
      <c r="AE163" t="e">
        <f>IF(AND(מלאי!D82&lt;&gt;"",OR(#REF!="הכל",מלאי!Z82=#REF!,מלאי!AA82=#REF!,מלאי!AB82=#REF!,מלאי!AC82=#REF!),OR(#REF!="הכל",מלאי!A82=#REF!),OR(#REF!="הכל",מלאי!B82=#REF!),OR(#REF!="הכל",מלאי!F82=#REF!,מלאי!G82=#REF!),OR(#REF!="הכל",מלאי!T82=#REF!),OR(#REF!="הכל",מלאי!Q82=#REF!),OR(#REF!="הכל",מלאי!J82=#REF!),OR(#REF!="הכל",מלאי!L82=#REF!),OR(#REF!="הכל",מלאי!O82=#REF!),OR(#REF!="הכל",מלאי!R82=#REF!),OR(#REF!="הכל",#REF!="",מלאי!W82=#REF!),OR(#REF!="הכל",#REF!="",ISNUMBER(SEARCH(#REF!,מלאי!C82))),OR(#REF!="הכל",מלאי!#REF!=#REF!)),1,0)</f>
        <v>#REF!</v>
      </c>
      <c r="AF163" t="e">
        <f>IF(AD163=1,COUNTIF($AD$3:$AD163,1),"")</f>
        <v>#REF!</v>
      </c>
      <c r="AG163" t="e">
        <f>IF(AE163=1,COUNTIF($AE$3:$AE163,1),"")</f>
        <v>#REF!</v>
      </c>
    </row>
    <row r="164" spans="1:33" ht="15" hidden="1" customHeight="1" x14ac:dyDescent="0.35">
      <c r="A164" s="5" t="s">
        <v>86</v>
      </c>
      <c r="B164" s="5" t="s">
        <v>93</v>
      </c>
      <c r="C164" s="5" t="s">
        <v>36</v>
      </c>
      <c r="D164" s="11" t="s">
        <v>301</v>
      </c>
      <c r="E164" s="5" t="str">
        <f>IFERROR(INDEX(הגדרות!$I$2:$I$47,MATCH(B164,הגדרות!$H$2:$H$47,0)),"")</f>
        <v>9021-00</v>
      </c>
      <c r="F164" s="5" t="s">
        <v>45</v>
      </c>
      <c r="G164" s="5"/>
      <c r="H164" s="5" t="s">
        <v>46</v>
      </c>
      <c r="I164" s="5" t="s">
        <v>46</v>
      </c>
      <c r="J164" s="5" t="s">
        <v>40</v>
      </c>
      <c r="K164" s="5" t="s">
        <v>40</v>
      </c>
      <c r="L164" s="5" t="s">
        <v>40</v>
      </c>
      <c r="M164" s="5" t="s">
        <v>40</v>
      </c>
      <c r="N164" s="5"/>
      <c r="O164" s="5" t="s">
        <v>40</v>
      </c>
      <c r="P164" s="5"/>
      <c r="Q164" s="5" t="s">
        <v>2</v>
      </c>
      <c r="R164" s="5"/>
      <c r="S164" s="5" t="s">
        <v>2</v>
      </c>
      <c r="T164" s="5" t="s">
        <v>41</v>
      </c>
      <c r="U164" s="5"/>
      <c r="V164" s="5"/>
      <c r="W164" s="5"/>
      <c r="X164" s="5"/>
      <c r="Y164" s="5"/>
      <c r="Z164" t="str">
        <f>IFERROR(INDEX(הגדרות!$B$2:$B$17,MATCH(H164,הגדרות!$A$2:$A$17,0)),"")</f>
        <v>מיוער</v>
      </c>
      <c r="AA164">
        <f>IFERROR(INDEX(הגדרות!$C$2:$C$17,MATCH(H164,הגדרות!$A$2:$A$17,0)),"")</f>
        <v>0</v>
      </c>
      <c r="AB164" t="str">
        <f>IFERROR(INDEX(הגדרות!$B$2:$B$17,MATCH(I164,הגדרות!$A$2:$A$17,0)),"")</f>
        <v>מיוער</v>
      </c>
      <c r="AC164">
        <f>IFERROR(INDEX(הגדרות!$C$2:$C$17,MATCH(I164,הגדרות!$A$2:$A$17,0)),"")</f>
        <v>0</v>
      </c>
      <c r="AD164" t="e">
        <f>IF(AND(מלאי!D83&lt;&gt;"",OR(#REF!="הכל",מלאי!Z83=#REF!,מלאי!AA83=#REF!,מלאי!AB83=#REF!,מלאי!AC83=#REF!),OR(#REF!="הכל",מלאי!A83=#REF!),OR(#REF!="הכל",מלאי!B83=#REF!),OR(#REF!="הכל",מלאי!F83=#REF!,מלאי!G83=#REF!),OR(#REF!="הכל",מלאי!T83=#REF!),OR(#REF!="הכל",מלאי!Q83=#REF!),OR(#REF!="הכל",מלאי!J83=#REF!),OR(#REF!="הכל",מלאי!L83=#REF!),OR(#REF!="הכל",מלאי!O83=#REF!),OR(#REF!="הכל",מלאי!R83=#REF!),OR(#REF!="הכל",#REF!="",מלאי!W83=#REF!),OR(#REF!="הכל",#REF!="",ISNUMBER(SEARCH(#REF!,מלאי!C83)))),1,0)</f>
        <v>#REF!</v>
      </c>
      <c r="AE164" t="e">
        <f>IF(AND(מלאי!D83&lt;&gt;"",OR(#REF!="הכל",מלאי!Z83=#REF!,מלאי!AA83=#REF!,מלאי!AB83=#REF!,מלאי!AC83=#REF!),OR(#REF!="הכל",מלאי!A83=#REF!),OR(#REF!="הכל",מלאי!B83=#REF!),OR(#REF!="הכל",מלאי!F83=#REF!,מלאי!G83=#REF!),OR(#REF!="הכל",מלאי!T83=#REF!),OR(#REF!="הכל",מלאי!Q83=#REF!),OR(#REF!="הכל",מלאי!J83=#REF!),OR(#REF!="הכל",מלאי!L83=#REF!),OR(#REF!="הכל",מלאי!O83=#REF!),OR(#REF!="הכל",מלאי!R83=#REF!),OR(#REF!="הכל",#REF!="",מלאי!W83=#REF!),OR(#REF!="הכל",#REF!="",ISNUMBER(SEARCH(#REF!,מלאי!C83))),OR(#REF!="הכל",מלאי!#REF!=#REF!)),1,0)</f>
        <v>#REF!</v>
      </c>
      <c r="AF164" t="e">
        <f>IF(AD164=1,COUNTIF($AD$3:$AD164,1),"")</f>
        <v>#REF!</v>
      </c>
      <c r="AG164" t="e">
        <f>IF(AE164=1,COUNTIF($AE$3:$AE164,1),"")</f>
        <v>#REF!</v>
      </c>
    </row>
    <row r="165" spans="1:33" ht="15" hidden="1" customHeight="1" x14ac:dyDescent="0.35">
      <c r="A165" s="5" t="s">
        <v>86</v>
      </c>
      <c r="B165" s="5" t="s">
        <v>93</v>
      </c>
      <c r="C165" s="5" t="s">
        <v>36</v>
      </c>
      <c r="D165" s="11" t="s">
        <v>302</v>
      </c>
      <c r="E165" s="5" t="str">
        <f>IFERROR(INDEX(הגדרות!$I$2:$I$47,MATCH(B165,הגדרות!$H$2:$H$47,0)),"")</f>
        <v>9021-00</v>
      </c>
      <c r="F165" s="5" t="s">
        <v>45</v>
      </c>
      <c r="G165" s="5"/>
      <c r="H165" s="5" t="s">
        <v>232</v>
      </c>
      <c r="I165" s="5" t="s">
        <v>232</v>
      </c>
      <c r="J165" s="5" t="s">
        <v>40</v>
      </c>
      <c r="K165" s="5" t="s">
        <v>40</v>
      </c>
      <c r="L165" s="5" t="s">
        <v>40</v>
      </c>
      <c r="M165" s="5" t="s">
        <v>40</v>
      </c>
      <c r="N165" s="5"/>
      <c r="O165" s="5" t="s">
        <v>40</v>
      </c>
      <c r="P165" s="11"/>
      <c r="Q165" s="5" t="s">
        <v>2</v>
      </c>
      <c r="R165" s="5"/>
      <c r="S165" s="5" t="s">
        <v>2</v>
      </c>
      <c r="T165" s="5" t="s">
        <v>41</v>
      </c>
      <c r="U165" s="5"/>
      <c r="V165" s="5"/>
      <c r="W165" s="5"/>
      <c r="X165" s="5"/>
      <c r="Y165" s="5"/>
      <c r="Z165" t="str">
        <f>IFERROR(INDEX(הגדרות!$B$2:$B$17,MATCH(H165,הגדרות!$A$2:$A$17,0)),"")</f>
        <v/>
      </c>
      <c r="AA165" t="str">
        <f>IFERROR(INDEX(הגדרות!$C$2:$C$17,MATCH(H165,הגדרות!$A$2:$A$17,0)),"")</f>
        <v/>
      </c>
      <c r="AB165" t="str">
        <f>IFERROR(INDEX(הגדרות!$B$2:$B$17,MATCH(I165,הגדרות!$A$2:$A$17,0)),"")</f>
        <v/>
      </c>
      <c r="AC165" t="str">
        <f>IFERROR(INDEX(הגדרות!$C$2:$C$17,MATCH(I165,הגדרות!$A$2:$A$17,0)),"")</f>
        <v/>
      </c>
      <c r="AD165" t="e">
        <f>IF(AND(מלאי!D84&lt;&gt;"",OR(#REF!="הכל",מלאי!Z84=#REF!,מלאי!AA84=#REF!,מלאי!AB84=#REF!,מלאי!AC84=#REF!),OR(#REF!="הכל",מלאי!A84=#REF!),OR(#REF!="הכל",מלאי!B84=#REF!),OR(#REF!="הכל",מלאי!F84=#REF!,מלאי!G84=#REF!),OR(#REF!="הכל",מלאי!T84=#REF!),OR(#REF!="הכל",מלאי!Q84=#REF!),OR(#REF!="הכל",מלאי!J84=#REF!),OR(#REF!="הכל",מלאי!L84=#REF!),OR(#REF!="הכל",מלאי!O84=#REF!),OR(#REF!="הכל",מלאי!R84=#REF!),OR(#REF!="הכל",#REF!="",מלאי!W84=#REF!),OR(#REF!="הכל",#REF!="",ISNUMBER(SEARCH(#REF!,מלאי!C84)))),1,0)</f>
        <v>#REF!</v>
      </c>
      <c r="AE165" t="e">
        <f>IF(AND(מלאי!D84&lt;&gt;"",OR(#REF!="הכל",מלאי!Z84=#REF!,מלאי!AA84=#REF!,מלאי!AB84=#REF!,מלאי!AC84=#REF!),OR(#REF!="הכל",מלאי!A84=#REF!),OR(#REF!="הכל",מלאי!B84=#REF!),OR(#REF!="הכל",מלאי!F84=#REF!,מלאי!G84=#REF!),OR(#REF!="הכל",מלאי!T84=#REF!),OR(#REF!="הכל",מלאי!Q84=#REF!),OR(#REF!="הכל",מלאי!J84=#REF!),OR(#REF!="הכל",מלאי!L84=#REF!),OR(#REF!="הכל",מלאי!O84=#REF!),OR(#REF!="הכל",מלאי!R84=#REF!),OR(#REF!="הכל",#REF!="",מלאי!W84=#REF!),OR(#REF!="הכל",#REF!="",ISNUMBER(SEARCH(#REF!,מלאי!C84))),OR(#REF!="הכל",מלאי!#REF!=#REF!)),1,0)</f>
        <v>#REF!</v>
      </c>
      <c r="AF165" t="e">
        <f>IF(AD165=1,COUNTIF($AD$3:$AD165,1),"")</f>
        <v>#REF!</v>
      </c>
      <c r="AG165" t="e">
        <f>IF(AE165=1,COUNTIF($AE$3:$AE165,1),"")</f>
        <v>#REF!</v>
      </c>
    </row>
    <row r="166" spans="1:33" ht="15" hidden="1" customHeight="1" x14ac:dyDescent="0.35">
      <c r="A166" s="5" t="s">
        <v>86</v>
      </c>
      <c r="B166" s="5" t="s">
        <v>93</v>
      </c>
      <c r="C166" s="5" t="s">
        <v>36</v>
      </c>
      <c r="D166" s="11" t="s">
        <v>237</v>
      </c>
      <c r="E166" s="5" t="str">
        <f>IFERROR(INDEX(הגדרות!$I$2:$I$47,MATCH(B166,הגדרות!$H$2:$H$47,0)),"")</f>
        <v>9021-00</v>
      </c>
      <c r="F166" s="5" t="s">
        <v>37</v>
      </c>
      <c r="G166" s="5"/>
      <c r="H166" s="5"/>
      <c r="I166" s="29"/>
      <c r="J166" s="5" t="s">
        <v>40</v>
      </c>
      <c r="K166" s="5" t="s">
        <v>40</v>
      </c>
      <c r="L166" s="5" t="s">
        <v>2</v>
      </c>
      <c r="M166" s="5" t="s">
        <v>2</v>
      </c>
      <c r="N166" s="5"/>
      <c r="O166" s="5" t="s">
        <v>2</v>
      </c>
      <c r="P166" s="5"/>
      <c r="Q166" s="5" t="s">
        <v>40</v>
      </c>
      <c r="R166" s="5"/>
      <c r="S166" s="5" t="s">
        <v>2</v>
      </c>
      <c r="T166" s="5" t="s">
        <v>41</v>
      </c>
      <c r="U166" s="11" t="s">
        <v>236</v>
      </c>
      <c r="V166" s="5"/>
      <c r="W166" s="5"/>
      <c r="X166" s="5"/>
      <c r="Y166" s="5"/>
      <c r="Z166" t="str">
        <f>IFERROR(INDEX(הגדרות!$B$2:$B$17,MATCH(H166,הגדרות!$A$2:$A$17,0)),"")</f>
        <v/>
      </c>
      <c r="AA166" t="str">
        <f>IFERROR(INDEX(הגדרות!$C$2:$C$17,MATCH(H166,הגדרות!$A$2:$A$17,0)),"")</f>
        <v/>
      </c>
      <c r="AB166" t="str">
        <f>IFERROR(INDEX(הגדרות!$B$2:$B$17,MATCH(I167,הגדרות!$A$2:$A$17,0)),"")</f>
        <v>בולדר/שטח בנוי</v>
      </c>
      <c r="AC166">
        <f>IFERROR(INDEX(הגדרות!$C$2:$C$17,MATCH(I167,הגדרות!$A$2:$A$17,0)),"")</f>
        <v>0</v>
      </c>
      <c r="AD166" t="e">
        <f>IF(AND(מלאי!D85&lt;&gt;"",OR(#REF!="הכל",מלאי!Z85=#REF!,מלאי!AA85=#REF!,מלאי!AB85=#REF!,מלאי!AC85=#REF!),OR(#REF!="הכל",מלאי!A85=#REF!),OR(#REF!="הכל",מלאי!B85=#REF!),OR(#REF!="הכל",מלאי!F85=#REF!,מלאי!G85=#REF!),OR(#REF!="הכל",מלאי!T85=#REF!),OR(#REF!="הכל",מלאי!Q85=#REF!),OR(#REF!="הכל",מלאי!J85=#REF!),OR(#REF!="הכל",מלאי!L85=#REF!),OR(#REF!="הכל",מלאי!O85=#REF!),OR(#REF!="הכל",מלאי!R85=#REF!),OR(#REF!="הכל",#REF!="",מלאי!W85=#REF!),OR(#REF!="הכל",#REF!="",ISNUMBER(SEARCH(#REF!,מלאי!C85)))),1,0)</f>
        <v>#REF!</v>
      </c>
      <c r="AE166" t="e">
        <f>IF(AND(מלאי!D85&lt;&gt;"",OR(#REF!="הכל",מלאי!Z85=#REF!,מלאי!AA85=#REF!,מלאי!AB85=#REF!,מלאי!AC85=#REF!),OR(#REF!="הכל",מלאי!A85=#REF!),OR(#REF!="הכל",מלאי!B85=#REF!),OR(#REF!="הכל",מלאי!F85=#REF!,מלאי!G85=#REF!),OR(#REF!="הכל",מלאי!T85=#REF!),OR(#REF!="הכל",מלאי!Q85=#REF!),OR(#REF!="הכל",מלאי!J85=#REF!),OR(#REF!="הכל",מלאי!L85=#REF!),OR(#REF!="הכל",מלאי!O85=#REF!),OR(#REF!="הכל",מלאי!R85=#REF!),OR(#REF!="הכל",#REF!="",מלאי!W85=#REF!),OR(#REF!="הכל",#REF!="",ISNUMBER(SEARCH(#REF!,מלאי!C85))),OR(#REF!="הכל",מלאי!#REF!=#REF!)),1,0)</f>
        <v>#REF!</v>
      </c>
      <c r="AF166" t="e">
        <f>IF(AD166=1,COUNTIF($AD$3:$AD166,1),"")</f>
        <v>#REF!</v>
      </c>
      <c r="AG166" t="e">
        <f>IF(AE166=1,COUNTIF($AE$3:$AE166,1),"")</f>
        <v>#REF!</v>
      </c>
    </row>
    <row r="167" spans="1:33" ht="15" hidden="1" customHeight="1" x14ac:dyDescent="0.35">
      <c r="A167" s="5" t="s">
        <v>34</v>
      </c>
      <c r="B167" s="5" t="s">
        <v>58</v>
      </c>
      <c r="C167" s="5" t="s">
        <v>36</v>
      </c>
      <c r="D167" s="5" t="s">
        <v>59</v>
      </c>
      <c r="E167" s="5" t="str">
        <f>IFERROR(INDEX(הגדרות!$I$2:$I$47,MATCH(B167,הגדרות!$H$2:$H$47,0)),"")</f>
        <v>9097-00</v>
      </c>
      <c r="F167" s="5" t="s">
        <v>37</v>
      </c>
      <c r="G167" s="5"/>
      <c r="H167" s="5" t="s">
        <v>39</v>
      </c>
      <c r="I167" s="5" t="s">
        <v>60</v>
      </c>
      <c r="J167" s="5" t="s">
        <v>40</v>
      </c>
      <c r="K167" s="5" t="s">
        <v>40</v>
      </c>
      <c r="L167" s="5" t="s">
        <v>40</v>
      </c>
      <c r="M167" s="5" t="s">
        <v>40</v>
      </c>
      <c r="N167" s="5"/>
      <c r="O167" s="5" t="s">
        <v>40</v>
      </c>
      <c r="P167" s="5"/>
      <c r="Q167" s="5" t="s">
        <v>2</v>
      </c>
      <c r="R167" s="5"/>
      <c r="S167" s="5" t="s">
        <v>2</v>
      </c>
      <c r="T167" s="5" t="s">
        <v>41</v>
      </c>
      <c r="U167" s="5"/>
      <c r="V167" s="5"/>
      <c r="W167" s="5"/>
      <c r="X167" s="5"/>
      <c r="Y167" s="5"/>
      <c r="Z167" t="str">
        <f>IFERROR(INDEX(הגדרות!$B$2:$B$17,MATCH(H167,הגדרות!$A$2:$A$17,0)),"")</f>
        <v>מדברי</v>
      </c>
      <c r="AA167">
        <f>IFERROR(INDEX(הגדרות!$C$2:$C$17,MATCH(H167,הגדרות!$A$2:$A$17,0)),"")</f>
        <v>0</v>
      </c>
      <c r="AB167" t="str">
        <f>IFERROR(INDEX(הגדרות!$B$2:$B$17,MATCH(I167,הגדרות!$A$2:$A$17,0)),"")</f>
        <v>בולדר/שטח בנוי</v>
      </c>
      <c r="AC167">
        <f>IFERROR(INDEX(הגדרות!$C$2:$C$17,MATCH(I167,הגדרות!$A$2:$A$17,0)),"")</f>
        <v>0</v>
      </c>
      <c r="AD167" t="e">
        <f>IF(AND(מלאי!D26&lt;&gt;"",OR(#REF!="הכל",מלאי!Z26=#REF!,מלאי!AA26=#REF!,מלאי!AB26=#REF!,מלאי!AC26=#REF!),OR(#REF!="הכל",מלאי!A26=#REF!),OR(#REF!="הכל",מלאי!B26=#REF!),OR(#REF!="הכל",מלאי!F26=#REF!,מלאי!G26=#REF!),OR(#REF!="הכל",מלאי!T26=#REF!),OR(#REF!="הכל",מלאי!Q26=#REF!),OR(#REF!="הכל",מלאי!J26=#REF!),OR(#REF!="הכל",מלאי!L26=#REF!),OR(#REF!="הכל",מלאי!O26=#REF!),OR(#REF!="הכל",מלאי!R26=#REF!),OR(#REF!="הכל",#REF!="",מלאי!W26=#REF!),OR(#REF!="הכל",#REF!="",ISNUMBER(SEARCH(#REF!,מלאי!C26)))),1,0)</f>
        <v>#REF!</v>
      </c>
      <c r="AE167" t="e">
        <f>IF(AND(מלאי!D26&lt;&gt;"",OR(#REF!="הכל",מלאי!Z26=#REF!,מלאי!AA26=#REF!,מלאי!AB26=#REF!,מלאי!AC26=#REF!),OR(#REF!="הכל",מלאי!A26=#REF!),OR(#REF!="הכל",מלאי!B26=#REF!),OR(#REF!="הכל",מלאי!F26=#REF!,מלאי!G26=#REF!),OR(#REF!="הכל",מלאי!T26=#REF!),OR(#REF!="הכל",מלאי!Q26=#REF!),OR(#REF!="הכל",מלאי!J26=#REF!),OR(#REF!="הכל",מלאי!L26=#REF!),OR(#REF!="הכל",מלאי!O26=#REF!),OR(#REF!="הכל",מלאי!R26=#REF!),OR(#REF!="הכל",#REF!="",מלאי!W26=#REF!),OR(#REF!="הכל",#REF!="",ISNUMBER(SEARCH(#REF!,מלאי!C26))),OR(#REF!="הכל",מלאי!#REF!=#REF!)),1,0)</f>
        <v>#REF!</v>
      </c>
      <c r="AF167" t="e">
        <f>IF(AD167=1,COUNTIF($AD$3:$AD167,1),"")</f>
        <v>#REF!</v>
      </c>
      <c r="AG167" t="e">
        <f>IF(AE167=1,COUNTIF($AE$3:$AE167,1),"")</f>
        <v>#REF!</v>
      </c>
    </row>
    <row r="168" spans="1:33" ht="15" hidden="1" customHeight="1" x14ac:dyDescent="0.35">
      <c r="A168" s="4" t="s">
        <v>34</v>
      </c>
      <c r="B168" s="4" t="s">
        <v>58</v>
      </c>
      <c r="C168" s="4" t="s">
        <v>36</v>
      </c>
      <c r="D168" s="4" t="s">
        <v>61</v>
      </c>
      <c r="E168" s="4" t="str">
        <f>IFERROR(INDEX(הגדרות!$I$2:$I$47,MATCH(B168,הגדרות!$H$2:$H$47,0)),"")</f>
        <v>9097-00</v>
      </c>
      <c r="F168" s="4" t="s">
        <v>37</v>
      </c>
      <c r="G168" s="4"/>
      <c r="H168" s="4" t="s">
        <v>39</v>
      </c>
      <c r="I168" s="4" t="s">
        <v>60</v>
      </c>
      <c r="J168" s="4" t="s">
        <v>40</v>
      </c>
      <c r="K168" s="4" t="s">
        <v>40</v>
      </c>
      <c r="L168" s="4" t="s">
        <v>40</v>
      </c>
      <c r="M168" s="4" t="s">
        <v>40</v>
      </c>
      <c r="N168" s="4"/>
      <c r="O168" s="4" t="s">
        <v>40</v>
      </c>
      <c r="P168" s="4"/>
      <c r="Q168" s="4" t="s">
        <v>2</v>
      </c>
      <c r="R168" s="4"/>
      <c r="S168" s="4" t="s">
        <v>2</v>
      </c>
      <c r="T168" s="4" t="s">
        <v>42</v>
      </c>
      <c r="U168" s="4"/>
      <c r="V168" s="4"/>
      <c r="W168" s="4"/>
      <c r="X168" s="4"/>
      <c r="Y168" s="4"/>
      <c r="Z168" t="str">
        <f>IFERROR(INDEX(הגדרות!$B$2:$B$17,MATCH(H168,הגדרות!$A$2:$A$17,0)),"")</f>
        <v>מדברי</v>
      </c>
      <c r="AA168">
        <f>IFERROR(INDEX(הגדרות!$C$2:$C$17,MATCH(H168,הגדרות!$A$2:$A$17,0)),"")</f>
        <v>0</v>
      </c>
      <c r="AB168" t="str">
        <f>IFERROR(INDEX(הגדרות!$B$2:$B$17,MATCH(I168,הגדרות!$A$2:$A$17,0)),"")</f>
        <v>בולדר/שטח בנוי</v>
      </c>
      <c r="AC168">
        <f>IFERROR(INDEX(הגדרות!$C$2:$C$17,MATCH(I168,הגדרות!$A$2:$A$17,0)),"")</f>
        <v>0</v>
      </c>
      <c r="AD168" t="e">
        <f>IF(AND(מלאי!D27&lt;&gt;"",OR(#REF!="הכל",מלאי!Z27=#REF!,מלאי!AA27=#REF!,מלאי!AB27=#REF!,מלאי!AC27=#REF!),OR(#REF!="הכל",מלאי!A27=#REF!),OR(#REF!="הכל",מלאי!B27=#REF!),OR(#REF!="הכל",מלאי!F27=#REF!,מלאי!G27=#REF!),OR(#REF!="הכל",מלאי!T27=#REF!),OR(#REF!="הכל",מלאי!Q27=#REF!),OR(#REF!="הכל",מלאי!J27=#REF!),OR(#REF!="הכל",מלאי!L27=#REF!),OR(#REF!="הכל",מלאי!O27=#REF!),OR(#REF!="הכל",מלאי!R27=#REF!),OR(#REF!="הכל",#REF!="",מלאי!W27=#REF!),OR(#REF!="הכל",#REF!="",ISNUMBER(SEARCH(#REF!,מלאי!C27)))),1,0)</f>
        <v>#REF!</v>
      </c>
      <c r="AE168" t="e">
        <f>IF(AND(מלאי!D27&lt;&gt;"",OR(#REF!="הכל",מלאי!Z27=#REF!,מלאי!AA27=#REF!,מלאי!AB27=#REF!,מלאי!AC27=#REF!),OR(#REF!="הכל",מלאי!A27=#REF!),OR(#REF!="הכל",מלאי!B27=#REF!),OR(#REF!="הכל",מלאי!F27=#REF!,מלאי!G27=#REF!),OR(#REF!="הכל",מלאי!T27=#REF!),OR(#REF!="הכל",מלאי!Q27=#REF!),OR(#REF!="הכל",מלאי!J27=#REF!),OR(#REF!="הכל",מלאי!L27=#REF!),OR(#REF!="הכל",מלאי!O27=#REF!),OR(#REF!="הכל",מלאי!R27=#REF!),OR(#REF!="הכל",#REF!="",מלאי!W27=#REF!),OR(#REF!="הכל",#REF!="",ISNUMBER(SEARCH(#REF!,מלאי!C27))),OR(#REF!="הכל",מלאי!#REF!=#REF!)),1,0)</f>
        <v>#REF!</v>
      </c>
      <c r="AF168" t="e">
        <f>IF(AD168=1,COUNTIF($AD$3:$AD168,1),"")</f>
        <v>#REF!</v>
      </c>
      <c r="AG168" t="e">
        <f>IF(AE168=1,COUNTIF($AE$3:$AE168,1),"")</f>
        <v>#REF!</v>
      </c>
    </row>
    <row r="169" spans="1:33" ht="15" hidden="1" customHeight="1" x14ac:dyDescent="0.35">
      <c r="A169" s="8" t="s">
        <v>139</v>
      </c>
      <c r="B169" s="8" t="s">
        <v>206</v>
      </c>
      <c r="C169" s="8"/>
      <c r="D169" s="16" t="s">
        <v>418</v>
      </c>
      <c r="E169" s="5" t="str">
        <f>IFERROR(INDEX(הגדרות!$I$2:$I$47,MATCH(B169,הגדרות!$H$2:$H$47,0)),"")</f>
        <v>9090-00</v>
      </c>
      <c r="F169" s="5" t="s">
        <v>80</v>
      </c>
      <c r="G169" s="5"/>
      <c r="H169" s="5" t="s">
        <v>38</v>
      </c>
      <c r="I169" s="5" t="s">
        <v>39</v>
      </c>
      <c r="J169" s="4" t="s">
        <v>40</v>
      </c>
      <c r="K169" s="4" t="s">
        <v>40</v>
      </c>
      <c r="L169" s="4" t="s">
        <v>40</v>
      </c>
      <c r="M169" s="4" t="s">
        <v>40</v>
      </c>
      <c r="N169" s="4" t="s">
        <v>40</v>
      </c>
      <c r="O169" s="4" t="s">
        <v>40</v>
      </c>
      <c r="P169" s="5"/>
      <c r="Q169" s="5"/>
      <c r="R169" s="5"/>
      <c r="S169" s="5"/>
      <c r="T169" s="4" t="s">
        <v>41</v>
      </c>
      <c r="U169" s="5"/>
      <c r="V169" s="5"/>
      <c r="W169" s="5"/>
      <c r="X169" s="5"/>
      <c r="Y169" s="5"/>
      <c r="Z169" t="str">
        <f>IFERROR(INDEX(הגדרות!$B$2:$B$17,MATCH(H169,הגדרות!$A$2:$A$17,0)),"")</f>
        <v>מיוער</v>
      </c>
      <c r="AA169">
        <f>IFERROR(INDEX(הגדרות!$C$2:$C$17,MATCH(H169,הגדרות!$A$2:$A$17,0)),"")</f>
        <v>0</v>
      </c>
      <c r="AB169" t="str">
        <f>IFERROR(INDEX(הגדרות!$B$2:$B$17,MATCH(I169,הגדרות!$A$2:$A$17,0)),"")</f>
        <v>מדברי</v>
      </c>
      <c r="AC169">
        <f>IFERROR(INDEX(הגדרות!$C$2:$C$17,MATCH(I169,הגדרות!$A$2:$A$17,0)),"")</f>
        <v>0</v>
      </c>
      <c r="AD169" t="e">
        <f>IF(AND(מלאי!D119&lt;&gt;"",OR(#REF!="הכל",מלאי!Z119=#REF!,מלאי!AA119=#REF!,מלאי!AB119=#REF!,מלאי!AC119=#REF!),OR(#REF!="הכל",מלאי!A119=#REF!),OR(#REF!="הכל",מלאי!B119=#REF!),OR(#REF!="הכל",מלאי!F119=#REF!,מלאי!G119=#REF!),OR(#REF!="הכל",מלאי!T119=#REF!),OR(#REF!="הכל",מלאי!Q119=#REF!),OR(#REF!="הכל",מלאי!J119=#REF!),OR(#REF!="הכל",מלאי!L119=#REF!),OR(#REF!="הכל",מלאי!O119=#REF!),OR(#REF!="הכל",מלאי!R119=#REF!),OR(#REF!="הכל",#REF!="",מלאי!W119=#REF!),OR(#REF!="הכל",#REF!="",ISNUMBER(SEARCH(#REF!,מלאי!C119)))),1,0)</f>
        <v>#REF!</v>
      </c>
      <c r="AE169" t="e">
        <f>IF(AND(מלאי!D119&lt;&gt;"",OR(#REF!="הכל",מלאי!Z119=#REF!,מלאי!AA119=#REF!,מלאי!AB119=#REF!,מלאי!AC119=#REF!),OR(#REF!="הכל",מלאי!A119=#REF!),OR(#REF!="הכל",מלאי!B119=#REF!),OR(#REF!="הכל",מלאי!F119=#REF!,מלאי!G119=#REF!),OR(#REF!="הכל",מלאי!T119=#REF!),OR(#REF!="הכל",מלאי!Q119=#REF!),OR(#REF!="הכל",מלאי!J119=#REF!),OR(#REF!="הכל",מלאי!L119=#REF!),OR(#REF!="הכל",מלאי!O119=#REF!),OR(#REF!="הכל",מלאי!R119=#REF!),OR(#REF!="הכל",#REF!="",מלאי!W119=#REF!),OR(#REF!="הכל",#REF!="",ISNUMBER(SEARCH(#REF!,מלאי!C119))),OR(#REF!="הכל",מלאי!#REF!=#REF!)),1,0)</f>
        <v>#REF!</v>
      </c>
      <c r="AF169" t="e">
        <f>IF(AD169=1,COUNTIF($AD$3:$AD169,1),"")</f>
        <v>#REF!</v>
      </c>
      <c r="AG169" t="e">
        <f>IF(AE169=1,COUNTIF($AE$3:$AE169,1),"")</f>
        <v>#REF!</v>
      </c>
    </row>
    <row r="170" spans="1:33" ht="15" hidden="1" customHeight="1" x14ac:dyDescent="0.35">
      <c r="A170" s="8" t="s">
        <v>139</v>
      </c>
      <c r="B170" s="8" t="s">
        <v>206</v>
      </c>
      <c r="C170" s="8"/>
      <c r="D170" s="16" t="s">
        <v>419</v>
      </c>
      <c r="E170" s="5" t="str">
        <f>IFERROR(INDEX(הגדרות!$I$2:$I$47,MATCH(B170,הגדרות!$H$2:$H$47,0)),"")</f>
        <v>9090-00</v>
      </c>
      <c r="F170" s="5" t="s">
        <v>80</v>
      </c>
      <c r="G170" s="5"/>
      <c r="H170" s="5" t="s">
        <v>38</v>
      </c>
      <c r="I170" s="5" t="s">
        <v>39</v>
      </c>
      <c r="J170" s="4" t="s">
        <v>40</v>
      </c>
      <c r="K170" s="4" t="s">
        <v>40</v>
      </c>
      <c r="L170" s="4" t="s">
        <v>40</v>
      </c>
      <c r="M170" s="4" t="s">
        <v>40</v>
      </c>
      <c r="N170" s="4" t="s">
        <v>40</v>
      </c>
      <c r="O170" s="4" t="s">
        <v>40</v>
      </c>
      <c r="P170" s="5"/>
      <c r="Q170" s="5"/>
      <c r="R170" s="5"/>
      <c r="S170" s="5"/>
      <c r="T170" s="4" t="s">
        <v>41</v>
      </c>
      <c r="U170" s="5"/>
      <c r="V170" s="5"/>
      <c r="W170" s="5"/>
      <c r="X170" s="5"/>
      <c r="Y170" s="5"/>
      <c r="Z170" t="str">
        <f>IFERROR(INDEX(הגדרות!$B$2:$B$17,MATCH(H170,הגדרות!$A$2:$A$17,0)),"")</f>
        <v>מיוער</v>
      </c>
      <c r="AA170">
        <f>IFERROR(INDEX(הגדרות!$C$2:$C$17,MATCH(H170,הגדרות!$A$2:$A$17,0)),"")</f>
        <v>0</v>
      </c>
      <c r="AB170" t="str">
        <f>IFERROR(INDEX(הגדרות!$B$2:$B$17,MATCH(I170,הגדרות!$A$2:$A$17,0)),"")</f>
        <v>מדברי</v>
      </c>
      <c r="AC170">
        <f>IFERROR(INDEX(הגדרות!$C$2:$C$17,MATCH(I170,הגדרות!$A$2:$A$17,0)),"")</f>
        <v>0</v>
      </c>
      <c r="AD170" t="e">
        <f>IF(AND(מלאי!D120&lt;&gt;"",OR(#REF!="הכל",מלאי!Z120=#REF!,מלאי!AA120=#REF!,מלאי!AB120=#REF!,מלאי!AC120=#REF!),OR(#REF!="הכל",מלאי!A120=#REF!),OR(#REF!="הכל",מלאי!B120=#REF!),OR(#REF!="הכל",מלאי!F120=#REF!,מלאי!G120=#REF!),OR(#REF!="הכל",מלאי!T120=#REF!),OR(#REF!="הכל",מלאי!Q120=#REF!),OR(#REF!="הכל",מלאי!J120=#REF!),OR(#REF!="הכל",מלאי!L120=#REF!),OR(#REF!="הכל",מלאי!O120=#REF!),OR(#REF!="הכל",מלאי!R120=#REF!),OR(#REF!="הכל",#REF!="",מלאי!W120=#REF!),OR(#REF!="הכל",#REF!="",ISNUMBER(SEARCH(#REF!,מלאי!C120)))),1,0)</f>
        <v>#REF!</v>
      </c>
      <c r="AE170" t="e">
        <f>IF(AND(מלאי!D120&lt;&gt;"",OR(#REF!="הכל",מלאי!Z120=#REF!,מלאי!AA120=#REF!,מלאי!AB120=#REF!,מלאי!AC120=#REF!),OR(#REF!="הכל",מלאי!A120=#REF!),OR(#REF!="הכל",מלאי!B120=#REF!),OR(#REF!="הכל",מלאי!F120=#REF!,מלאי!G120=#REF!),OR(#REF!="הכל",מלאי!T120=#REF!),OR(#REF!="הכל",מלאי!Q120=#REF!),OR(#REF!="הכל",מלאי!J120=#REF!),OR(#REF!="הכל",מלאי!L120=#REF!),OR(#REF!="הכל",מלאי!O120=#REF!),OR(#REF!="הכל",מלאי!R120=#REF!),OR(#REF!="הכל",#REF!="",מלאי!W120=#REF!),OR(#REF!="הכל",#REF!="",ISNUMBER(SEARCH(#REF!,מלאי!C120))),OR(#REF!="הכל",מלאי!#REF!=#REF!)),1,0)</f>
        <v>#REF!</v>
      </c>
      <c r="AF170" t="e">
        <f>IF(AD170=1,COUNTIF($AD$3:$AD170,1),"")</f>
        <v>#REF!</v>
      </c>
      <c r="AG170" t="e">
        <f>IF(AE170=1,COUNTIF($AE$3:$AE170,1),"")</f>
        <v>#REF!</v>
      </c>
    </row>
    <row r="171" spans="1:33" ht="15" hidden="1" customHeight="1" x14ac:dyDescent="0.35">
      <c r="A171" s="8" t="s">
        <v>139</v>
      </c>
      <c r="B171" s="8" t="s">
        <v>206</v>
      </c>
      <c r="C171" s="8"/>
      <c r="D171" s="16" t="s">
        <v>420</v>
      </c>
      <c r="E171" s="5" t="str">
        <f>IFERROR(INDEX(הגדרות!$I$2:$I$47,MATCH(B171,הגדרות!$H$2:$H$47,0)),"")</f>
        <v>9090-00</v>
      </c>
      <c r="F171" s="5" t="s">
        <v>80</v>
      </c>
      <c r="G171" s="5"/>
      <c r="H171" s="5" t="s">
        <v>68</v>
      </c>
      <c r="I171" s="5" t="s">
        <v>39</v>
      </c>
      <c r="J171" s="4" t="s">
        <v>40</v>
      </c>
      <c r="K171" s="4" t="s">
        <v>40</v>
      </c>
      <c r="L171" s="4" t="s">
        <v>40</v>
      </c>
      <c r="M171" s="4" t="s">
        <v>40</v>
      </c>
      <c r="N171" s="4" t="s">
        <v>40</v>
      </c>
      <c r="O171" s="4" t="s">
        <v>40</v>
      </c>
      <c r="P171" s="5"/>
      <c r="Q171" s="5"/>
      <c r="R171" s="5"/>
      <c r="S171" s="5"/>
      <c r="T171" s="4" t="s">
        <v>41</v>
      </c>
      <c r="U171" s="5"/>
      <c r="V171" s="5"/>
      <c r="W171" s="5"/>
      <c r="X171" s="5"/>
      <c r="Y171" s="5"/>
      <c r="Z171" t="str">
        <f>IFERROR(INDEX(הגדרות!$B$2:$B$17,MATCH(H171,הגדרות!$A$2:$A$17,0)),"")</f>
        <v>מדברי</v>
      </c>
      <c r="AA171">
        <f>IFERROR(INDEX(הגדרות!$C$2:$C$17,MATCH(H171,הגדרות!$A$2:$A$17,0)),"")</f>
        <v>0</v>
      </c>
      <c r="AB171" t="str">
        <f>IFERROR(INDEX(הגדרות!$B$2:$B$17,MATCH(#REF!,הגדרות!$A$2:$A$17,0)),"")</f>
        <v/>
      </c>
      <c r="AC171" t="str">
        <f>IFERROR(INDEX(הגדרות!$C$2:$C$17,MATCH(#REF!,הגדרות!$A$2:$A$17,0)),"")</f>
        <v/>
      </c>
      <c r="AD171" t="e">
        <f>IF(AND(מלאי!D121&lt;&gt;"",OR(#REF!="הכל",מלאי!Z121=#REF!,מלאי!AA121=#REF!,מלאי!AB121=#REF!,מלאי!AC121=#REF!),OR(#REF!="הכל",מלאי!A121=#REF!),OR(#REF!="הכל",מלאי!B121=#REF!),OR(#REF!="הכל",מלאי!F121=#REF!,מלאי!G121=#REF!),OR(#REF!="הכל",מלאי!T121=#REF!),OR(#REF!="הכל",מלאי!Q121=#REF!),OR(#REF!="הכל",מלאי!J121=#REF!),OR(#REF!="הכל",מלאי!L121=#REF!),OR(#REF!="הכל",מלאי!O121=#REF!),OR(#REF!="הכל",מלאי!R121=#REF!),OR(#REF!="הכל",#REF!="",מלאי!W121=#REF!),OR(#REF!="הכל",#REF!="",ISNUMBER(SEARCH(#REF!,מלאי!C121)))),1,0)</f>
        <v>#REF!</v>
      </c>
      <c r="AE171" t="e">
        <f>IF(AND(מלאי!D121&lt;&gt;"",OR(#REF!="הכל",מלאי!Z121=#REF!,מלאי!AA121=#REF!,מלאי!AB121=#REF!,מלאי!AC121=#REF!),OR(#REF!="הכל",מלאי!A121=#REF!),OR(#REF!="הכל",מלאי!B121=#REF!),OR(#REF!="הכל",מלאי!F121=#REF!,מלאי!G121=#REF!),OR(#REF!="הכל",מלאי!T121=#REF!),OR(#REF!="הכל",מלאי!Q121=#REF!),OR(#REF!="הכל",מלאי!J121=#REF!),OR(#REF!="הכל",מלאי!L121=#REF!),OR(#REF!="הכל",מלאי!O121=#REF!),OR(#REF!="הכל",מלאי!R121=#REF!),OR(#REF!="הכל",#REF!="",מלאי!W121=#REF!),OR(#REF!="הכל",#REF!="",ISNUMBER(SEARCH(#REF!,מלאי!C121))),OR(#REF!="הכל",מלאי!#REF!=#REF!)),1,0)</f>
        <v>#REF!</v>
      </c>
      <c r="AF171" t="e">
        <f>IF(AD171=1,COUNTIF($AD$3:$AD171,1),"")</f>
        <v>#REF!</v>
      </c>
      <c r="AG171" t="e">
        <f>IF(AE171=1,COUNTIF($AE$3:$AE171,1),"")</f>
        <v>#REF!</v>
      </c>
    </row>
    <row r="172" spans="1:33" ht="15" hidden="1" customHeight="1" x14ac:dyDescent="0.35">
      <c r="A172" s="22" t="s">
        <v>139</v>
      </c>
      <c r="B172" s="22" t="s">
        <v>206</v>
      </c>
      <c r="C172" s="22" t="s">
        <v>440</v>
      </c>
      <c r="D172" s="16" t="s">
        <v>437</v>
      </c>
      <c r="E172" s="5" t="str">
        <f>IFERROR(INDEX(הגדרות!$I$2:$I$47,MATCH(B172,הגדרות!$H$2:$H$47,0)),"")</f>
        <v>9090-00</v>
      </c>
      <c r="F172" s="5" t="s">
        <v>80</v>
      </c>
      <c r="G172" s="5"/>
      <c r="H172" s="5" t="s">
        <v>68</v>
      </c>
      <c r="I172" s="5" t="s">
        <v>39</v>
      </c>
      <c r="J172" s="4" t="s">
        <v>40</v>
      </c>
      <c r="K172" s="4" t="s">
        <v>40</v>
      </c>
      <c r="L172" s="5"/>
      <c r="M172" s="5"/>
      <c r="N172" s="5"/>
      <c r="O172" s="5"/>
      <c r="P172" s="5" t="s">
        <v>446</v>
      </c>
      <c r="Q172" s="5"/>
      <c r="R172" s="5"/>
      <c r="S172" s="5"/>
      <c r="T172" s="4" t="s">
        <v>41</v>
      </c>
      <c r="U172" s="5"/>
      <c r="V172" s="5"/>
      <c r="W172" s="5"/>
      <c r="X172" s="5"/>
      <c r="Y172" s="5"/>
      <c r="Z172" t="str">
        <f>IFERROR(INDEX(הגדרות!$B$2:$B$17,MATCH(H172,הגדרות!$A$2:$A$17,0)),"")</f>
        <v>מדברי</v>
      </c>
      <c r="AA172">
        <f>IFERROR(INDEX(הגדרות!$C$2:$C$17,MATCH(H172,הגדרות!$A$2:$A$17,0)),"")</f>
        <v>0</v>
      </c>
      <c r="AB172" t="str">
        <f>IFERROR(INDEX(הגדרות!$B$2:$B$17,MATCH(I172,הגדרות!$A$2:$A$17,0)),"")</f>
        <v>מדברי</v>
      </c>
      <c r="AC172">
        <f>IFERROR(INDEX(הגדרות!$C$2:$C$17,MATCH(I172,הגדרות!$A$2:$A$17,0)),"")</f>
        <v>0</v>
      </c>
      <c r="AD172" t="e">
        <f>IF(AND(מלאי!D144&lt;&gt;"",OR(#REF!="הכל",מלאי!Z144=#REF!,מלאי!AA144=#REF!,מלאי!AB144=#REF!,מלאי!AC144=#REF!),OR(#REF!="הכל",מלאי!A144=#REF!),OR(#REF!="הכל",מלאי!B144=#REF!),OR(#REF!="הכל",מלאי!F144=#REF!,מלאי!G144=#REF!),OR(#REF!="הכל",מלאי!#REF!=#REF!),OR(#REF!="הכל",מלאי!Q144=#REF!),OR(#REF!="הכל",מלאי!J144=#REF!),OR(#REF!="הכל",מלאי!L144=#REF!),OR(#REF!="הכל",מלאי!O144=#REF!),OR(#REF!="הכל",מלאי!R144=#REF!),OR(#REF!="הכל",#REF!="",מלאי!W144=#REF!),OR(#REF!="הכל",#REF!="",ISNUMBER(SEARCH(#REF!,מלאי!C144)))),1,0)</f>
        <v>#REF!</v>
      </c>
      <c r="AE172" t="e">
        <f>IF(AND(מלאי!D144&lt;&gt;"",OR(#REF!="הכל",מלאי!Z144=#REF!,מלאי!AA144=#REF!,מלאי!AB144=#REF!,מלאי!AC144=#REF!),OR(#REF!="הכל",מלאי!A144=#REF!),OR(#REF!="הכל",מלאי!B144=#REF!),OR(#REF!="הכל",מלאי!F144=#REF!,מלאי!G144=#REF!),OR(#REF!="הכל",מלאי!#REF!=#REF!),OR(#REF!="הכל",מלאי!Q144=#REF!),OR(#REF!="הכל",מלאי!J144=#REF!),OR(#REF!="הכל",מלאי!L144=#REF!),OR(#REF!="הכל",מלאי!O144=#REF!),OR(#REF!="הכל",מלאי!R144=#REF!),OR(#REF!="הכל",#REF!="",מלאי!W144=#REF!),OR(#REF!="הכל",#REF!="",ISNUMBER(SEARCH(#REF!,מלאי!C144))),OR(#REF!="הכל",מלאי!#REF!=#REF!)),1,0)</f>
        <v>#REF!</v>
      </c>
      <c r="AF172" t="e">
        <f>IF(AD172=1,COUNTIF($AD$3:$AD172,1),"")</f>
        <v>#REF!</v>
      </c>
      <c r="AG172" t="e">
        <f>IF(AE172=1,COUNTIF($AE$3:$AE172,1),"")</f>
        <v>#REF!</v>
      </c>
    </row>
    <row r="173" spans="1:33" ht="15" hidden="1" customHeight="1" x14ac:dyDescent="0.35">
      <c r="A173" s="8" t="s">
        <v>139</v>
      </c>
      <c r="B173" s="8" t="s">
        <v>208</v>
      </c>
      <c r="C173" s="8"/>
      <c r="D173" s="16" t="s">
        <v>416</v>
      </c>
      <c r="E173" s="5" t="str">
        <f>IFERROR(INDEX(הגדרות!$I$2:$I$47,MATCH(B173,הגדרות!$H$2:$H$47,0)),"")</f>
        <v>9093-00</v>
      </c>
      <c r="F173" s="5" t="s">
        <v>80</v>
      </c>
      <c r="G173" s="5"/>
      <c r="H173" s="5" t="s">
        <v>67</v>
      </c>
      <c r="I173" s="5" t="s">
        <v>38</v>
      </c>
      <c r="J173" s="4" t="s">
        <v>40</v>
      </c>
      <c r="K173" s="4" t="s">
        <v>40</v>
      </c>
      <c r="L173" s="4" t="s">
        <v>40</v>
      </c>
      <c r="M173" s="4" t="s">
        <v>40</v>
      </c>
      <c r="N173" s="4" t="s">
        <v>40</v>
      </c>
      <c r="O173" s="4" t="s">
        <v>2</v>
      </c>
      <c r="P173" s="5" t="s">
        <v>424</v>
      </c>
      <c r="Q173" s="4" t="s">
        <v>40</v>
      </c>
      <c r="R173" s="5"/>
      <c r="S173" s="5"/>
      <c r="T173" s="4" t="s">
        <v>41</v>
      </c>
      <c r="U173" s="5" t="s">
        <v>423</v>
      </c>
      <c r="V173" s="5"/>
      <c r="W173" s="5"/>
      <c r="X173" s="5"/>
      <c r="Y173" s="5"/>
      <c r="Z173" t="str">
        <f>IFERROR(INDEX(הגדרות!$B$2:$B$17,MATCH(H173,הגדרות!$A$2:$A$17,0)),"")</f>
        <v>מיוער</v>
      </c>
      <c r="AA173">
        <f>IFERROR(INDEX(הגדרות!$C$2:$C$17,MATCH(H173,הגדרות!$A$2:$A$17,0)),"")</f>
        <v>0</v>
      </c>
      <c r="AB173" t="str">
        <f>IFERROR(INDEX(הגדרות!$B$2:$B$17,MATCH(I173,הגדרות!$A$2:$A$17,0)),"")</f>
        <v>מיוער</v>
      </c>
      <c r="AC173">
        <f>IFERROR(INDEX(הגדרות!$C$2:$C$17,MATCH(I173,הגדרות!$A$2:$A$17,0)),"")</f>
        <v>0</v>
      </c>
      <c r="AD173" t="e">
        <f>IF(AND(מלאי!D118&lt;&gt;"",OR(#REF!="הכל",מלאי!Z118=#REF!,מלאי!AA118=#REF!,מלאי!AB118=#REF!,מלאי!AC118=#REF!),OR(#REF!="הכל",מלאי!A118=#REF!),OR(#REF!="הכל",מלאי!B118=#REF!),OR(#REF!="הכל",מלאי!F118=#REF!,מלאי!G118=#REF!),OR(#REF!="הכל",מלאי!T118=#REF!),OR(#REF!="הכל",מלאי!Q118=#REF!),OR(#REF!="הכל",מלאי!#REF!=#REF!),OR(#REF!="הכל",מלאי!#REF!=#REF!),OR(#REF!="הכל",מלאי!O118=#REF!),OR(#REF!="הכל",מלאי!R118=#REF!),OR(#REF!="הכל",#REF!="",מלאי!W118=#REF!),OR(#REF!="הכל",#REF!="",ISNUMBER(SEARCH(#REF!,מלאי!C118)))),1,0)</f>
        <v>#REF!</v>
      </c>
      <c r="AE173" t="e">
        <f>IF(AND(מלאי!D118&lt;&gt;"",OR(#REF!="הכל",מלאי!Z118=#REF!,מלאי!AA118=#REF!,מלאי!AB118=#REF!,מלאי!AC118=#REF!),OR(#REF!="הכל",מלאי!A118=#REF!),OR(#REF!="הכל",מלאי!B118=#REF!),OR(#REF!="הכל",מלאי!F118=#REF!,מלאי!G118=#REF!),OR(#REF!="הכל",מלאי!T118=#REF!),OR(#REF!="הכל",מלאי!Q118=#REF!),OR(#REF!="הכל",מלאי!#REF!=#REF!),OR(#REF!="הכל",מלאי!#REF!=#REF!),OR(#REF!="הכל",מלאי!O118=#REF!),OR(#REF!="הכל",מלאי!R118=#REF!),OR(#REF!="הכל",#REF!="",מלאי!W118=#REF!),OR(#REF!="הכל",#REF!="",ISNUMBER(SEARCH(#REF!,מלאי!C118))),OR(#REF!="הכל",מלאי!#REF!=#REF!)),1,0)</f>
        <v>#REF!</v>
      </c>
      <c r="AF173" t="e">
        <f>IF(AD173=1,COUNTIF($AD$3:$AD173,1),"")</f>
        <v>#REF!</v>
      </c>
      <c r="AG173" t="e">
        <f>IF(AE173=1,COUNTIF($AE$3:$AE173,1),"")</f>
        <v>#REF!</v>
      </c>
    </row>
    <row r="174" spans="1:33" ht="15" hidden="1" customHeight="1" x14ac:dyDescent="0.35">
      <c r="A174" s="8" t="s">
        <v>139</v>
      </c>
      <c r="B174" s="8" t="s">
        <v>208</v>
      </c>
      <c r="C174" s="8"/>
      <c r="D174" s="16" t="s">
        <v>417</v>
      </c>
      <c r="E174" s="5" t="str">
        <f>IFERROR(INDEX(הגדרות!$I$2:$I$47,MATCH(B174,הגדרות!$H$2:$H$47,0)),"")</f>
        <v>9093-00</v>
      </c>
      <c r="F174" s="5" t="s">
        <v>80</v>
      </c>
      <c r="G174" s="5"/>
      <c r="H174" s="5" t="s">
        <v>68</v>
      </c>
      <c r="I174" s="5" t="s">
        <v>39</v>
      </c>
      <c r="J174" s="4" t="s">
        <v>40</v>
      </c>
      <c r="K174" s="4" t="s">
        <v>40</v>
      </c>
      <c r="L174" s="4" t="s">
        <v>40</v>
      </c>
      <c r="M174" s="4" t="s">
        <v>40</v>
      </c>
      <c r="N174" s="4" t="s">
        <v>40</v>
      </c>
      <c r="O174" s="4" t="s">
        <v>40</v>
      </c>
      <c r="P174" s="5"/>
      <c r="Q174" s="5"/>
      <c r="R174" s="5"/>
      <c r="S174" s="5"/>
      <c r="T174" s="4" t="s">
        <v>41</v>
      </c>
      <c r="U174" s="5"/>
      <c r="V174" s="5"/>
      <c r="W174" s="5"/>
      <c r="X174" s="5"/>
      <c r="Y174" s="5"/>
      <c r="Z174" t="str">
        <f>IFERROR(INDEX(הגדרות!$B$2:$B$17,MATCH(H174,הגדרות!$A$2:$A$17,0)),"")</f>
        <v>מדברי</v>
      </c>
      <c r="AA174">
        <f>IFERROR(INDEX(הגדרות!$C$2:$C$17,MATCH(H174,הגדרות!$A$2:$A$17,0)),"")</f>
        <v>0</v>
      </c>
      <c r="AB174" t="str">
        <f>IFERROR(INDEX(הגדרות!$B$2:$B$17,MATCH(I173,הגדרות!$A$2:$A$17,0)),"")</f>
        <v>מיוער</v>
      </c>
      <c r="AC174">
        <f>IFERROR(INDEX(הגדרות!$C$2:$C$17,MATCH(I173,הגדרות!$A$2:$A$17,0)),"")</f>
        <v>0</v>
      </c>
      <c r="AD174" t="e">
        <f>IF(AND(מלאי!D122&lt;&gt;"",OR(#REF!="הכל",מלאי!Z122=#REF!,מלאי!AA122=#REF!,מלאי!AB122=#REF!,מלאי!AC122=#REF!),OR(#REF!="הכל",מלאי!A122=#REF!),OR(#REF!="הכל",מלאי!B122=#REF!),OR(#REF!="הכל",מלאי!F122=#REF!,מלאי!G122=#REF!),OR(#REF!="הכל",מלאי!T122=#REF!),OR(#REF!="הכל",מלאי!Q122=#REF!),OR(#REF!="הכל",מלאי!J122=#REF!),OR(#REF!="הכל",מלאי!L122=#REF!),OR(#REF!="הכל",מלאי!O122=#REF!),OR(#REF!="הכל",מלאי!R122=#REF!),OR(#REF!="הכל",#REF!="",מלאי!W122=#REF!),OR(#REF!="הכל",#REF!="",ISNUMBER(SEARCH(#REF!,מלאי!C122)))),1,0)</f>
        <v>#REF!</v>
      </c>
      <c r="AE174" t="e">
        <f>IF(AND(מלאי!D122&lt;&gt;"",OR(#REF!="הכל",מלאי!Z122=#REF!,מלאי!AA122=#REF!,מלאי!AB122=#REF!,מלאי!AC122=#REF!),OR(#REF!="הכל",מלאי!A122=#REF!),OR(#REF!="הכל",מלאי!B122=#REF!),OR(#REF!="הכל",מלאי!F122=#REF!,מלאי!G122=#REF!),OR(#REF!="הכל",מלאי!T122=#REF!),OR(#REF!="הכל",מלאי!Q122=#REF!),OR(#REF!="הכל",מלאי!J122=#REF!),OR(#REF!="הכל",מלאי!L122=#REF!),OR(#REF!="הכל",מלאי!O122=#REF!),OR(#REF!="הכל",מלאי!R122=#REF!),OR(#REF!="הכל",#REF!="",מלאי!W122=#REF!),OR(#REF!="הכל",#REF!="",ISNUMBER(SEARCH(#REF!,מלאי!C122))),OR(#REF!="הכל",מלאי!#REF!=#REF!)),1,0)</f>
        <v>#REF!</v>
      </c>
      <c r="AF174" t="e">
        <f>IF(AD174=1,COUNTIF($AD$3:$AD174,1),"")</f>
        <v>#REF!</v>
      </c>
      <c r="AG174" t="e">
        <f>IF(AE174=1,COUNTIF($AE$3:$AE174,1),"")</f>
        <v>#REF!</v>
      </c>
    </row>
    <row r="175" spans="1:33" ht="15" hidden="1" customHeight="1" x14ac:dyDescent="0.35">
      <c r="A175" s="8" t="s">
        <v>139</v>
      </c>
      <c r="B175" s="8" t="s">
        <v>208</v>
      </c>
      <c r="C175" s="8"/>
      <c r="D175" s="16" t="s">
        <v>421</v>
      </c>
      <c r="E175" s="5" t="str">
        <f>IFERROR(INDEX(הגדרות!$I$2:$I$47,MATCH(B175,הגדרות!$H$2:$H$47,0)),"")</f>
        <v>9093-00</v>
      </c>
      <c r="F175" s="5" t="s">
        <v>81</v>
      </c>
      <c r="G175" s="5"/>
      <c r="H175" s="5" t="s">
        <v>82</v>
      </c>
      <c r="I175" s="5" t="s">
        <v>38</v>
      </c>
      <c r="J175" s="4" t="s">
        <v>40</v>
      </c>
      <c r="K175" s="4" t="s">
        <v>40</v>
      </c>
      <c r="L175" s="4" t="s">
        <v>40</v>
      </c>
      <c r="M175" s="4" t="s">
        <v>40</v>
      </c>
      <c r="N175" s="4" t="s">
        <v>40</v>
      </c>
      <c r="O175" s="4" t="s">
        <v>2</v>
      </c>
      <c r="P175" s="5" t="s">
        <v>422</v>
      </c>
      <c r="Q175" s="4" t="s">
        <v>40</v>
      </c>
      <c r="R175" s="5"/>
      <c r="S175" s="5"/>
      <c r="T175" s="4" t="s">
        <v>41</v>
      </c>
      <c r="U175" s="5"/>
      <c r="V175" s="5"/>
      <c r="W175" s="5"/>
      <c r="X175" s="5"/>
      <c r="Y175" s="5"/>
      <c r="Z175" t="str">
        <f>IFERROR(INDEX(הגדרות!$B$2:$B$17,MATCH(H175,הגדרות!$A$2:$A$17,0)),"")</f>
        <v>מיוער</v>
      </c>
      <c r="AA175" t="str">
        <f>IFERROR(INDEX(הגדרות!$C$2:$C$17,MATCH(H175,הגדרות!$A$2:$A$17,0)),"")</f>
        <v>בולדר/שטח בנוי</v>
      </c>
      <c r="AB175" t="str">
        <f>IFERROR(INDEX(הגדרות!$B$2:$B$17,MATCH(I175,הגדרות!$A$2:$A$17,0)),"")</f>
        <v>מיוער</v>
      </c>
      <c r="AC175">
        <f>IFERROR(INDEX(הגדרות!$C$2:$C$17,MATCH(I175,הגדרות!$A$2:$A$17,0)),"")</f>
        <v>0</v>
      </c>
      <c r="AD175" t="e">
        <f>IF(AND(מלאי!D123&lt;&gt;"",OR(#REF!="הכל",מלאי!Z123=#REF!,מלאי!AA123=#REF!,מלאי!AB123=#REF!,מלאי!AC123=#REF!),OR(#REF!="הכל",מלאי!A123=#REF!),OR(#REF!="הכל",מלאי!B123=#REF!),OR(#REF!="הכל",מלאי!F123=#REF!,מלאי!G123=#REF!),OR(#REF!="הכל",מלאי!T123=#REF!),OR(#REF!="הכל",מלאי!Q123=#REF!),OR(#REF!="הכל",מלאי!J123=#REF!),OR(#REF!="הכל",מלאי!L123=#REF!),OR(#REF!="הכל",מלאי!O123=#REF!),OR(#REF!="הכל",מלאי!R123=#REF!),OR(#REF!="הכל",#REF!="",מלאי!W123=#REF!),OR(#REF!="הכל",#REF!="",ISNUMBER(SEARCH(#REF!,מלאי!C123)))),1,0)</f>
        <v>#REF!</v>
      </c>
      <c r="AE175" t="e">
        <f>IF(AND(מלאי!D123&lt;&gt;"",OR(#REF!="הכל",מלאי!Z123=#REF!,מלאי!AA123=#REF!,מלאי!AB123=#REF!,מלאי!AC123=#REF!),OR(#REF!="הכל",מלאי!A123=#REF!),OR(#REF!="הכל",מלאי!B123=#REF!),OR(#REF!="הכל",מלאי!F123=#REF!,מלאי!G123=#REF!),OR(#REF!="הכל",מלאי!T123=#REF!),OR(#REF!="הכל",מלאי!Q123=#REF!),OR(#REF!="הכל",מלאי!J123=#REF!),OR(#REF!="הכל",מלאי!L123=#REF!),OR(#REF!="הכל",מלאי!O123=#REF!),OR(#REF!="הכל",מלאי!R123=#REF!),OR(#REF!="הכל",#REF!="",מלאי!W123=#REF!),OR(#REF!="הכל",#REF!="",ISNUMBER(SEARCH(#REF!,מלאי!C123))),OR(#REF!="הכל",מלאי!#REF!=#REF!)),1,0)</f>
        <v>#REF!</v>
      </c>
      <c r="AF175" t="e">
        <f>IF(AD175=1,COUNTIF($AD$3:$AD175,1),"")</f>
        <v>#REF!</v>
      </c>
      <c r="AG175" t="e">
        <f>IF(AE175=1,COUNTIF($AE$3:$AE175,1),"")</f>
        <v>#REF!</v>
      </c>
    </row>
    <row r="176" spans="1:33" ht="15" customHeight="1" x14ac:dyDescent="0.35">
      <c r="A176" s="5" t="s">
        <v>144</v>
      </c>
      <c r="B176" s="5" t="s">
        <v>200</v>
      </c>
      <c r="C176" s="4"/>
      <c r="D176" s="5" t="s">
        <v>459</v>
      </c>
      <c r="E176" s="5" t="str">
        <f>IFERROR(INDEX(הגדרות!$I$2:$I$47,MATCH(B176,הגדרות!$H$2:$H$47,0)),"")</f>
        <v>7017-00</v>
      </c>
      <c r="F176" s="4" t="s">
        <v>45</v>
      </c>
      <c r="G176" s="5"/>
      <c r="H176" s="5" t="s">
        <v>39</v>
      </c>
      <c r="I176" s="5"/>
      <c r="J176" s="5" t="s">
        <v>40</v>
      </c>
      <c r="K176" s="5"/>
      <c r="L176" s="5"/>
      <c r="M176" s="5"/>
      <c r="N176" s="5"/>
      <c r="O176" s="5"/>
      <c r="P176" s="5" t="s">
        <v>460</v>
      </c>
      <c r="Q176" s="5"/>
      <c r="R176" s="5"/>
      <c r="S176" s="5"/>
      <c r="T176" s="5" t="s">
        <v>41</v>
      </c>
      <c r="U176" s="5"/>
      <c r="V176" s="5"/>
      <c r="W176" s="5"/>
      <c r="X176" s="5"/>
      <c r="Y176" s="5"/>
      <c r="Z176" t="str">
        <f>IFERROR(INDEX(הגדרות!$B$2:$B$17,MATCH(H176,הגדרות!$A$2:$A$17,0)),"")</f>
        <v>מדברי</v>
      </c>
      <c r="AA176">
        <f>IFERROR(INDEX(הגדרות!$C$2:$C$17,MATCH(H176,הגדרות!$A$2:$A$17,0)),"")</f>
        <v>0</v>
      </c>
      <c r="AB176" t="str">
        <f>IFERROR(INDEX(הגדרות!$B$2:$B$17,MATCH(I176,הגדרות!$A$2:$A$17,0)),"")</f>
        <v/>
      </c>
      <c r="AC176" t="str">
        <f>IFERROR(INDEX(הגדרות!$C$2:$C$17,MATCH(I176,הגדרות!$A$2:$A$17,0)),"")</f>
        <v/>
      </c>
      <c r="AD176" t="e">
        <f>IF(AND(מלאי!D174&lt;&gt;"",OR(#REF!="הכל",מלאי!Z174=#REF!,מלאי!AA174=#REF!,מלאי!AB174=#REF!,מלאי!AC174=#REF!),OR(#REF!="הכל",מלאי!A174=#REF!),OR(#REF!="הכל",מלאי!B174=#REF!),OR(#REF!="הכל",מלאי!F174=#REF!,מלאי!G174=#REF!),OR(#REF!="הכל",מלאי!T174=#REF!),OR(#REF!="הכל",מלאי!Q174=#REF!),OR(#REF!="הכל",מלאי!J174=#REF!),OR(#REF!="הכל",מלאי!L174=#REF!),OR(#REF!="הכל",מלאי!O174=#REF!),OR(#REF!="הכל",מלאי!R174=#REF!),OR(#REF!="הכל",#REF!="",מלאי!W174=#REF!),OR(#REF!="הכל",#REF!="",ISNUMBER(SEARCH(#REF!,מלאי!C174)))),1,0)</f>
        <v>#REF!</v>
      </c>
      <c r="AE176" t="e">
        <f>IF(AND(מלאי!D174&lt;&gt;"",OR(#REF!="הכל",מלאי!Z174=#REF!,מלאי!AA174=#REF!,מלאי!AB174=#REF!,מלאי!AC174=#REF!),OR(#REF!="הכל",מלאי!A174=#REF!),OR(#REF!="הכל",מלאי!B174=#REF!),OR(#REF!="הכל",מלאי!F174=#REF!,מלאי!G174=#REF!),OR(#REF!="הכל",מלאי!T174=#REF!),OR(#REF!="הכל",מלאי!Q174=#REF!),OR(#REF!="הכל",מלאי!J174=#REF!),OR(#REF!="הכל",מלאי!L174=#REF!),OR(#REF!="הכל",מלאי!O174=#REF!),OR(#REF!="הכל",מלאי!R174=#REF!),OR(#REF!="הכל",#REF!="",מלאי!W174=#REF!),OR(#REF!="הכל",#REF!="",ISNUMBER(SEARCH(#REF!,מלאי!C174))),OR(#REF!="הכל",מלאי!#REF!=#REF!)),1,0)</f>
        <v>#REF!</v>
      </c>
      <c r="AF176" t="e">
        <f>IF(AD176=1,COUNTIF($AD$3:$AD176,1),"")</f>
        <v>#REF!</v>
      </c>
      <c r="AG176" t="e">
        <f>IF(AE176=1,COUNTIF($AE$3:$AE176,1),"")</f>
        <v>#REF!</v>
      </c>
    </row>
    <row r="177" spans="1:33" ht="15" customHeight="1" x14ac:dyDescent="0.35">
      <c r="A177" s="5" t="s">
        <v>144</v>
      </c>
      <c r="B177" s="5" t="s">
        <v>200</v>
      </c>
      <c r="C177" s="4" t="s">
        <v>461</v>
      </c>
      <c r="D177" s="5" t="s">
        <v>462</v>
      </c>
      <c r="E177" s="5" t="str">
        <f>IFERROR(INDEX(הגדרות!$I$2:$I$47,MATCH(B177,הגדרות!$H$2:$H$47,0)),"")</f>
        <v>7017-00</v>
      </c>
      <c r="F177" s="4" t="s">
        <v>45</v>
      </c>
      <c r="G177" s="5"/>
      <c r="H177" s="5" t="s">
        <v>72</v>
      </c>
      <c r="I177" s="5"/>
      <c r="J177" s="5" t="s">
        <v>40</v>
      </c>
      <c r="K177" s="5"/>
      <c r="L177" s="5"/>
      <c r="M177" s="5"/>
      <c r="N177" s="5"/>
      <c r="O177" s="5"/>
      <c r="P177" s="5"/>
      <c r="Q177" s="5"/>
      <c r="R177" s="5"/>
      <c r="S177" s="5"/>
      <c r="T177" s="5" t="s">
        <v>41</v>
      </c>
      <c r="U177" s="5"/>
      <c r="V177" s="5"/>
      <c r="W177" s="5"/>
      <c r="X177" s="5"/>
      <c r="Y177" s="5"/>
      <c r="Z177" t="str">
        <f>IFERROR(INDEX(הגדרות!$B$2:$B$17,MATCH(H177,הגדרות!$A$2:$A$17,0)),"")</f>
        <v>מיוער</v>
      </c>
      <c r="AA177">
        <f>IFERROR(INDEX(הגדרות!$C$2:$C$17,MATCH(H177,הגדרות!$A$2:$A$17,0)),"")</f>
        <v>0</v>
      </c>
      <c r="AB177" t="str">
        <f>IFERROR(INDEX(הגדרות!$B$2:$B$17,MATCH(I177,הגדרות!$A$2:$A$17,0)),"")</f>
        <v/>
      </c>
      <c r="AC177" t="str">
        <f>IFERROR(INDEX(הגדרות!$C$2:$C$17,MATCH(I177,הגדרות!$A$2:$A$17,0)),"")</f>
        <v/>
      </c>
      <c r="AD177" t="e">
        <f>IF(AND(מלאי!D175&lt;&gt;"",OR(#REF!="הכל",מלאי!Z175=#REF!,מלאי!AA175=#REF!,מלאי!AB175=#REF!,מלאי!AC175=#REF!),OR(#REF!="הכל",מלאי!A175=#REF!),OR(#REF!="הכל",מלאי!B175=#REF!),OR(#REF!="הכל",מלאי!F175=#REF!,מלאי!G175=#REF!),OR(#REF!="הכל",מלאי!T175=#REF!),OR(#REF!="הכל",מלאי!Q175=#REF!),OR(#REF!="הכל",מלאי!J175=#REF!),OR(#REF!="הכל",מלאי!L175=#REF!),OR(#REF!="הכל",מלאי!O175=#REF!),OR(#REF!="הכל",מלאי!R175=#REF!),OR(#REF!="הכל",#REF!="",מלאי!W175=#REF!),OR(#REF!="הכל",#REF!="",ISNUMBER(SEARCH(#REF!,מלאי!C175)))),1,0)</f>
        <v>#REF!</v>
      </c>
      <c r="AE177" t="e">
        <f>IF(AND(מלאי!D175&lt;&gt;"",OR(#REF!="הכל",מלאי!Z175=#REF!,מלאי!AA175=#REF!,מלאי!AB175=#REF!,מלאי!AC175=#REF!),OR(#REF!="הכל",מלאי!A175=#REF!),OR(#REF!="הכל",מלאי!B175=#REF!),OR(#REF!="הכל",מלאי!F175=#REF!,מלאי!G175=#REF!),OR(#REF!="הכל",מלאי!T175=#REF!),OR(#REF!="הכל",מלאי!Q175=#REF!),OR(#REF!="הכל",מלאי!J175=#REF!),OR(#REF!="הכל",מלאי!L175=#REF!),OR(#REF!="הכל",מלאי!O175=#REF!),OR(#REF!="הכל",מלאי!R175=#REF!),OR(#REF!="הכל",#REF!="",מלאי!W175=#REF!),OR(#REF!="הכל",#REF!="",ISNUMBER(SEARCH(#REF!,מלאי!C175))),OR(#REF!="הכל",מלאי!#REF!=#REF!)),1,0)</f>
        <v>#REF!</v>
      </c>
      <c r="AF177" t="e">
        <f>IF(AD177=1,COUNTIF($AD$3:$AD177,1),"")</f>
        <v>#REF!</v>
      </c>
      <c r="AG177" t="e">
        <f>IF(AE177=1,COUNTIF($AE$3:$AE177,1),"")</f>
        <v>#REF!</v>
      </c>
    </row>
    <row r="178" spans="1:33" ht="15" customHeight="1" x14ac:dyDescent="0.35">
      <c r="A178" s="5" t="s">
        <v>144</v>
      </c>
      <c r="B178" s="5" t="s">
        <v>200</v>
      </c>
      <c r="C178" s="4" t="s">
        <v>449</v>
      </c>
      <c r="D178" s="5" t="s">
        <v>463</v>
      </c>
      <c r="E178" s="5" t="str">
        <f>IFERROR(INDEX(הגדרות!$I$2:$I$47,MATCH(B178,הגדרות!$H$2:$H$47,0)),"")</f>
        <v>7017-00</v>
      </c>
      <c r="F178" s="4" t="s">
        <v>45</v>
      </c>
      <c r="G178" s="5"/>
      <c r="H178" s="5" t="s">
        <v>72</v>
      </c>
      <c r="I178" s="5"/>
      <c r="J178" s="5" t="s">
        <v>40</v>
      </c>
      <c r="K178" s="5"/>
      <c r="L178" s="5"/>
      <c r="M178" s="5"/>
      <c r="N178" s="5"/>
      <c r="O178" s="5"/>
      <c r="P178" s="5"/>
      <c r="Q178" s="5"/>
      <c r="R178" s="5"/>
      <c r="S178" s="5"/>
      <c r="T178" s="5" t="s">
        <v>41</v>
      </c>
      <c r="U178" s="5"/>
      <c r="V178" s="5"/>
      <c r="W178" s="5"/>
      <c r="X178" s="5"/>
      <c r="Y178" s="5"/>
      <c r="Z178" t="str">
        <f>IFERROR(INDEX(הגדרות!$B$2:$B$17,MATCH(H178,הגדרות!$A$2:$A$17,0)),"")</f>
        <v>מיוער</v>
      </c>
      <c r="AA178">
        <f>IFERROR(INDEX(הגדרות!$C$2:$C$17,MATCH(H178,הגדרות!$A$2:$A$17,0)),"")</f>
        <v>0</v>
      </c>
      <c r="AB178" t="str">
        <f>IFERROR(INDEX(הגדרות!$B$2:$B$17,MATCH(I178,הגדרות!$A$2:$A$17,0)),"")</f>
        <v/>
      </c>
      <c r="AC178" t="str">
        <f>IFERROR(INDEX(הגדרות!$C$2:$C$17,MATCH(I178,הגדרות!$A$2:$A$17,0)),"")</f>
        <v/>
      </c>
      <c r="AD178" t="e">
        <f>IF(AND(מלאי!D176&lt;&gt;"",OR(#REF!="הכל",מלאי!Z176=#REF!,מלאי!AA176=#REF!,מלאי!AB176=#REF!,מלאי!AC176=#REF!),OR(#REF!="הכל",מלאי!A176=#REF!),OR(#REF!="הכל",מלאי!B176=#REF!),OR(#REF!="הכל",מלאי!F176=#REF!,מלאי!G176=#REF!),OR(#REF!="הכל",מלאי!T176=#REF!),OR(#REF!="הכל",מלאי!Q176=#REF!),OR(#REF!="הכל",מלאי!J176=#REF!),OR(#REF!="הכל",מלאי!L176=#REF!),OR(#REF!="הכל",מלאי!O176=#REF!),OR(#REF!="הכל",מלאי!R176=#REF!),OR(#REF!="הכל",#REF!="",מלאי!W176=#REF!),OR(#REF!="הכל",#REF!="",ISNUMBER(SEARCH(#REF!,מלאי!C176)))),1,0)</f>
        <v>#REF!</v>
      </c>
      <c r="AE178" t="e">
        <f>IF(AND(מלאי!D176&lt;&gt;"",OR(#REF!="הכל",מלאי!Z176=#REF!,מלאי!AA176=#REF!,מלאי!AB176=#REF!,מלאי!AC176=#REF!),OR(#REF!="הכל",מלאי!A176=#REF!),OR(#REF!="הכל",מלאי!B176=#REF!),OR(#REF!="הכל",מלאי!F176=#REF!,מלאי!G176=#REF!),OR(#REF!="הכל",מלאי!T176=#REF!),OR(#REF!="הכל",מלאי!Q176=#REF!),OR(#REF!="הכל",מלאי!J176=#REF!),OR(#REF!="הכל",מלאי!L176=#REF!),OR(#REF!="הכל",מלאי!O176=#REF!),OR(#REF!="הכל",מלאי!R176=#REF!),OR(#REF!="הכל",#REF!="",מלאי!W176=#REF!),OR(#REF!="הכל",#REF!="",ISNUMBER(SEARCH(#REF!,מלאי!C176))),OR(#REF!="הכל",מלאי!#REF!=#REF!)),1,0)</f>
        <v>#REF!</v>
      </c>
      <c r="AF178" t="e">
        <f>IF(AD178=1,COUNTIF($AD$3:$AD178,1),"")</f>
        <v>#REF!</v>
      </c>
      <c r="AG178" t="e">
        <f>IF(AE178=1,COUNTIF($AE$3:$AE178,1),"")</f>
        <v>#REF!</v>
      </c>
    </row>
    <row r="179" spans="1:33" ht="15" customHeight="1" x14ac:dyDescent="0.35">
      <c r="A179" s="5" t="s">
        <v>144</v>
      </c>
      <c r="B179" s="5" t="s">
        <v>200</v>
      </c>
      <c r="C179" s="4"/>
      <c r="D179" s="5" t="s">
        <v>464</v>
      </c>
      <c r="E179" s="5" t="str">
        <f>IFERROR(INDEX(הגדרות!$I$2:$I$47,MATCH(B179,הגדרות!$H$2:$H$47,0)),"")</f>
        <v>7017-00</v>
      </c>
      <c r="F179" s="4" t="s">
        <v>45</v>
      </c>
      <c r="G179" s="5"/>
      <c r="H179" s="5" t="s">
        <v>72</v>
      </c>
      <c r="I179" s="5"/>
      <c r="J179" s="5" t="s">
        <v>40</v>
      </c>
      <c r="K179" s="5"/>
      <c r="L179" s="5"/>
      <c r="M179" s="5"/>
      <c r="N179" s="5"/>
      <c r="O179" s="5"/>
      <c r="P179" s="5" t="s">
        <v>460</v>
      </c>
      <c r="Q179" s="5"/>
      <c r="R179" s="5"/>
      <c r="S179" s="5"/>
      <c r="T179" s="5" t="s">
        <v>41</v>
      </c>
      <c r="U179" s="5"/>
      <c r="V179" s="5"/>
      <c r="W179" s="5"/>
      <c r="X179" s="5"/>
      <c r="Y179" s="5"/>
      <c r="Z179" t="str">
        <f>IFERROR(INDEX(הגדרות!$B$2:$B$17,MATCH(H179,הגדרות!$A$2:$A$17,0)),"")</f>
        <v>מיוער</v>
      </c>
      <c r="AA179">
        <f>IFERROR(INDEX(הגדרות!$C$2:$C$17,MATCH(H179,הגדרות!$A$2:$A$17,0)),"")</f>
        <v>0</v>
      </c>
      <c r="AB179" t="str">
        <f>IFERROR(INDEX(הגדרות!$B$2:$B$17,MATCH(I179,הגדרות!$A$2:$A$17,0)),"")</f>
        <v/>
      </c>
      <c r="AC179" t="str">
        <f>IFERROR(INDEX(הגדרות!$C$2:$C$17,MATCH(I179,הגדרות!$A$2:$A$17,0)),"")</f>
        <v/>
      </c>
      <c r="AD179" t="e">
        <f>IF(AND(מלאי!D177&lt;&gt;"",OR(#REF!="הכל",מלאי!Z177=#REF!,מלאי!AA177=#REF!,מלאי!AB177=#REF!,מלאי!AC177=#REF!),OR(#REF!="הכל",מלאי!A177=#REF!),OR(#REF!="הכל",מלאי!B177=#REF!),OR(#REF!="הכל",מלאי!F177=#REF!,מלאי!G177=#REF!),OR(#REF!="הכל",מלאי!T177=#REF!),OR(#REF!="הכל",מלאי!Q177=#REF!),OR(#REF!="הכל",מלאי!J177=#REF!),OR(#REF!="הכל",מלאי!L177=#REF!),OR(#REF!="הכל",מלאי!O177=#REF!),OR(#REF!="הכל",מלאי!R177=#REF!),OR(#REF!="הכל",#REF!="",מלאי!W177=#REF!),OR(#REF!="הכל",#REF!="",ISNUMBER(SEARCH(#REF!,מלאי!C177)))),1,0)</f>
        <v>#REF!</v>
      </c>
      <c r="AE179" t="e">
        <f>IF(AND(מלאי!D177&lt;&gt;"",OR(#REF!="הכל",מלאי!Z177=#REF!,מלאי!AA177=#REF!,מלאי!AB177=#REF!,מלאי!AC177=#REF!),OR(#REF!="הכל",מלאי!A177=#REF!),OR(#REF!="הכל",מלאי!B177=#REF!),OR(#REF!="הכל",מלאי!F177=#REF!,מלאי!G177=#REF!),OR(#REF!="הכל",מלאי!T177=#REF!),OR(#REF!="הכל",מלאי!Q177=#REF!),OR(#REF!="הכל",מלאי!J177=#REF!),OR(#REF!="הכל",מלאי!L177=#REF!),OR(#REF!="הכל",מלאי!O177=#REF!),OR(#REF!="הכל",מלאי!R177=#REF!),OR(#REF!="הכל",#REF!="",מלאי!W177=#REF!),OR(#REF!="הכל",#REF!="",ISNUMBER(SEARCH(#REF!,מלאי!C177))),OR(#REF!="הכל",מלאי!#REF!=#REF!)),1,0)</f>
        <v>#REF!</v>
      </c>
      <c r="AF179" t="e">
        <f>IF(AD179=1,COUNTIF($AD$3:$AD179,1),"")</f>
        <v>#REF!</v>
      </c>
      <c r="AG179" t="e">
        <f>IF(AE179=1,COUNTIF($AE$3:$AE179,1),"")</f>
        <v>#REF!</v>
      </c>
    </row>
    <row r="180" spans="1:33" ht="15" customHeight="1" x14ac:dyDescent="0.35">
      <c r="A180" s="5" t="s">
        <v>144</v>
      </c>
      <c r="B180" s="5" t="s">
        <v>200</v>
      </c>
      <c r="C180" s="4"/>
      <c r="D180" s="5" t="s">
        <v>465</v>
      </c>
      <c r="E180" s="5" t="str">
        <f>IFERROR(INDEX(הגדרות!$I$2:$I$47,MATCH(B180,הגדרות!$H$2:$H$47,0)),"")</f>
        <v>7017-00</v>
      </c>
      <c r="F180" s="4" t="s">
        <v>45</v>
      </c>
      <c r="G180" s="5"/>
      <c r="H180" s="5" t="s">
        <v>38</v>
      </c>
      <c r="I180" s="5"/>
      <c r="J180" s="5" t="s">
        <v>40</v>
      </c>
      <c r="K180" s="5"/>
      <c r="L180" s="5"/>
      <c r="M180" s="5"/>
      <c r="N180" s="5"/>
      <c r="O180" s="5"/>
      <c r="P180" s="5" t="s">
        <v>460</v>
      </c>
      <c r="Q180" s="5"/>
      <c r="R180" s="5"/>
      <c r="S180" s="5"/>
      <c r="T180" s="5" t="s">
        <v>41</v>
      </c>
      <c r="U180" s="5"/>
      <c r="V180" s="5"/>
      <c r="W180" s="5"/>
      <c r="X180" s="5"/>
      <c r="Y180" s="5"/>
      <c r="Z180" t="str">
        <f>IFERROR(INDEX(הגדרות!$B$2:$B$17,MATCH(H180,הגדרות!$A$2:$A$17,0)),"")</f>
        <v>מיוער</v>
      </c>
      <c r="AA180">
        <f>IFERROR(INDEX(הגדרות!$C$2:$C$17,MATCH(H180,הגדרות!$A$2:$A$17,0)),"")</f>
        <v>0</v>
      </c>
      <c r="AB180" t="str">
        <f>IFERROR(INDEX(הגדרות!$B$2:$B$17,MATCH(I180,הגדרות!$A$2:$A$17,0)),"")</f>
        <v/>
      </c>
      <c r="AC180" t="str">
        <f>IFERROR(INDEX(הגדרות!$C$2:$C$17,MATCH(I180,הגדרות!$A$2:$A$17,0)),"")</f>
        <v/>
      </c>
      <c r="AD180" t="e">
        <f>IF(AND(מלאי!D178&lt;&gt;"",OR(#REF!="הכל",מלאי!Z178=#REF!,מלאי!AA178=#REF!,מלאי!AB178=#REF!,מלאי!AC178=#REF!),OR(#REF!="הכל",מלאי!A178=#REF!),OR(#REF!="הכל",מלאי!B178=#REF!),OR(#REF!="הכל",מלאי!F178=#REF!,מלאי!G178=#REF!),OR(#REF!="הכל",מלאי!T178=#REF!),OR(#REF!="הכל",מלאי!Q178=#REF!),OR(#REF!="הכל",מלאי!J178=#REF!),OR(#REF!="הכל",מלאי!L178=#REF!),OR(#REF!="הכל",מלאי!O178=#REF!),OR(#REF!="הכל",מלאי!R178=#REF!),OR(#REF!="הכל",#REF!="",מלאי!W178=#REF!),OR(#REF!="הכל",#REF!="",ISNUMBER(SEARCH(#REF!,מלאי!C178)))),1,0)</f>
        <v>#REF!</v>
      </c>
      <c r="AE180" t="e">
        <f>IF(AND(מלאי!D178&lt;&gt;"",OR(#REF!="הכל",מלאי!Z178=#REF!,מלאי!AA178=#REF!,מלאי!AB178=#REF!,מלאי!AC178=#REF!),OR(#REF!="הכל",מלאי!A178=#REF!),OR(#REF!="הכל",מלאי!B178=#REF!),OR(#REF!="הכל",מלאי!F178=#REF!,מלאי!G178=#REF!),OR(#REF!="הכל",מלאי!T178=#REF!),OR(#REF!="הכל",מלאי!Q178=#REF!),OR(#REF!="הכל",מלאי!J178=#REF!),OR(#REF!="הכל",מלאי!L178=#REF!),OR(#REF!="הכל",מלאי!O178=#REF!),OR(#REF!="הכל",מלאי!R178=#REF!),OR(#REF!="הכל",#REF!="",מלאי!W178=#REF!),OR(#REF!="הכל",#REF!="",ISNUMBER(SEARCH(#REF!,מלאי!C178))),OR(#REF!="הכל",מלאי!#REF!=#REF!)),1,0)</f>
        <v>#REF!</v>
      </c>
      <c r="AF180" t="e">
        <f>IF(AD180=1,COUNTIF($AD$3:$AD180,1),"")</f>
        <v>#REF!</v>
      </c>
      <c r="AG180" t="e">
        <f>IF(AE180=1,COUNTIF($AE$3:$AE180,1),"")</f>
        <v>#REF!</v>
      </c>
    </row>
    <row r="181" spans="1:33" ht="15" customHeight="1" x14ac:dyDescent="0.35">
      <c r="A181" s="5" t="s">
        <v>144</v>
      </c>
      <c r="B181" s="5" t="s">
        <v>200</v>
      </c>
      <c r="C181" s="4" t="s">
        <v>449</v>
      </c>
      <c r="D181" s="5" t="s">
        <v>466</v>
      </c>
      <c r="E181" s="5" t="str">
        <f>IFERROR(INDEX(הגדרות!$I$2:$I$47,MATCH(B181,הגדרות!$H$2:$H$47,0)),"")</f>
        <v>7017-00</v>
      </c>
      <c r="F181" s="4" t="s">
        <v>45</v>
      </c>
      <c r="G181" s="5"/>
      <c r="H181" s="5" t="s">
        <v>39</v>
      </c>
      <c r="I181" s="5" t="s">
        <v>68</v>
      </c>
      <c r="J181" s="5" t="s">
        <v>40</v>
      </c>
      <c r="K181" s="5" t="s">
        <v>40</v>
      </c>
      <c r="L181" s="5"/>
      <c r="M181" s="5"/>
      <c r="N181" s="5"/>
      <c r="O181" s="5"/>
      <c r="P181" s="5"/>
      <c r="Q181" s="5"/>
      <c r="R181" s="5"/>
      <c r="S181" s="5"/>
      <c r="T181" s="5" t="s">
        <v>41</v>
      </c>
      <c r="U181" s="5"/>
      <c r="V181" s="5"/>
      <c r="W181" s="5"/>
      <c r="X181" s="5"/>
      <c r="Y181" s="5"/>
      <c r="Z181" t="str">
        <f>IFERROR(INDEX(הגדרות!$B$2:$B$17,MATCH(H181,הגדרות!$A$2:$A$17,0)),"")</f>
        <v>מדברי</v>
      </c>
      <c r="AA181">
        <f>IFERROR(INDEX(הגדרות!$C$2:$C$17,MATCH(H181,הגדרות!$A$2:$A$17,0)),"")</f>
        <v>0</v>
      </c>
      <c r="AB181" t="str">
        <f>IFERROR(INDEX(הגדרות!$B$2:$B$17,MATCH(I181,הגדרות!$A$2:$A$17,0)),"")</f>
        <v>מדברי</v>
      </c>
      <c r="AC181">
        <f>IFERROR(INDEX(הגדרות!$C$2:$C$17,MATCH(I181,הגדרות!$A$2:$A$17,0)),"")</f>
        <v>0</v>
      </c>
      <c r="AD181" t="e">
        <f>IF(AND(מלאי!D179&lt;&gt;"",OR(#REF!="הכל",מלאי!Z179=#REF!,מלאי!AA179=#REF!,מלאי!AB179=#REF!,מלאי!AC179=#REF!),OR(#REF!="הכל",מלאי!A179=#REF!),OR(#REF!="הכל",מלאי!B179=#REF!),OR(#REF!="הכל",מלאי!F179=#REF!,מלאי!G179=#REF!),OR(#REF!="הכל",מלאי!T179=#REF!),OR(#REF!="הכל",מלאי!Q179=#REF!),OR(#REF!="הכל",מלאי!J179=#REF!),OR(#REF!="הכל",מלאי!L179=#REF!),OR(#REF!="הכל",מלאי!O179=#REF!),OR(#REF!="הכל",מלאי!R179=#REF!),OR(#REF!="הכל",#REF!="",מלאי!W179=#REF!),OR(#REF!="הכל",#REF!="",ISNUMBER(SEARCH(#REF!,מלאי!C179)))),1,0)</f>
        <v>#REF!</v>
      </c>
      <c r="AE181" t="e">
        <f>IF(AND(מלאי!D179&lt;&gt;"",OR(#REF!="הכל",מלאי!Z179=#REF!,מלאי!AA179=#REF!,מלאי!AB179=#REF!,מלאי!AC179=#REF!),OR(#REF!="הכל",מלאי!A179=#REF!),OR(#REF!="הכל",מלאי!B179=#REF!),OR(#REF!="הכל",מלאי!F179=#REF!,מלאי!G179=#REF!),OR(#REF!="הכל",מלאי!T179=#REF!),OR(#REF!="הכל",מלאי!Q179=#REF!),OR(#REF!="הכל",מלאי!J179=#REF!),OR(#REF!="הכל",מלאי!L179=#REF!),OR(#REF!="הכל",מלאי!O179=#REF!),OR(#REF!="הכל",מלאי!R179=#REF!),OR(#REF!="הכל",#REF!="",מלאי!W179=#REF!),OR(#REF!="הכל",#REF!="",ISNUMBER(SEARCH(#REF!,מלאי!C179))),OR(#REF!="הכל",מלאי!#REF!=#REF!)),1,0)</f>
        <v>#REF!</v>
      </c>
      <c r="AF181" t="e">
        <f>IF(AD181=1,COUNTIF($AD$3:$AD181,1),"")</f>
        <v>#REF!</v>
      </c>
      <c r="AG181" t="e">
        <f>IF(AE181=1,COUNTIF($AE$3:$AE181,1),"")</f>
        <v>#REF!</v>
      </c>
    </row>
    <row r="182" spans="1:33" ht="15" customHeight="1" x14ac:dyDescent="0.35">
      <c r="A182" s="5" t="s">
        <v>144</v>
      </c>
      <c r="B182" s="5" t="s">
        <v>200</v>
      </c>
      <c r="C182" s="4"/>
      <c r="D182" s="5" t="s">
        <v>480</v>
      </c>
      <c r="E182" s="5" t="str">
        <f>IFERROR(INDEX(הגדרות!$I$2:$I$47,MATCH(B182,הגדרות!$H$2:$H$47,0)),"")</f>
        <v>7017-00</v>
      </c>
      <c r="F182" s="4" t="s">
        <v>37</v>
      </c>
      <c r="G182" s="5"/>
      <c r="H182" s="5" t="s">
        <v>67</v>
      </c>
      <c r="I182" s="5"/>
      <c r="J182" s="5" t="s">
        <v>40</v>
      </c>
      <c r="K182" s="5"/>
      <c r="L182" s="5"/>
      <c r="M182" s="5"/>
      <c r="N182" s="5"/>
      <c r="O182" s="5"/>
      <c r="P182" s="5" t="s">
        <v>460</v>
      </c>
      <c r="Q182" s="5"/>
      <c r="R182" s="5"/>
      <c r="S182" s="5"/>
      <c r="T182" s="5" t="s">
        <v>41</v>
      </c>
      <c r="U182" s="5"/>
      <c r="V182" s="5"/>
      <c r="W182" s="5"/>
      <c r="X182" s="5"/>
      <c r="Y182" s="5"/>
      <c r="Z182" t="str">
        <f>IFERROR(INDEX(הגדרות!$B$2:$B$17,MATCH(H182,הגדרות!$A$2:$A$17,0)),"")</f>
        <v>מיוער</v>
      </c>
      <c r="AA182">
        <f>IFERROR(INDEX(הגדרות!$C$2:$C$17,MATCH(H182,הגדרות!$A$2:$A$17,0)),"")</f>
        <v>0</v>
      </c>
      <c r="AB182" t="str">
        <f>IFERROR(INDEX(הגדרות!$B$2:$B$17,MATCH(I182,הגדרות!$A$2:$A$17,0)),"")</f>
        <v/>
      </c>
      <c r="AC182" t="str">
        <f>IFERROR(INDEX(הגדרות!$C$2:$C$17,MATCH(I182,הגדרות!$A$2:$A$17,0)),"")</f>
        <v/>
      </c>
      <c r="AD182" t="e">
        <f>IF(AND(מלאי!D191&lt;&gt;"",OR(#REF!="הכל",מלאי!Z191=#REF!,מלאי!AA191=#REF!,מלאי!AB191=#REF!,מלאי!AC191=#REF!),OR(#REF!="הכל",מלאי!A191=#REF!),OR(#REF!="הכל",מלאי!B191=#REF!),OR(#REF!="הכל",מלאי!F191=#REF!,מלאי!G191=#REF!),OR(#REF!="הכל",מלאי!T191=#REF!),OR(#REF!="הכל",מלאי!Q191=#REF!),OR(#REF!="הכל",מלאי!J191=#REF!),OR(#REF!="הכל",מלאי!L191=#REF!),OR(#REF!="הכל",מלאי!O191=#REF!),OR(#REF!="הכל",מלאי!R191=#REF!),OR(#REF!="הכל",#REF!="",מלאי!W191=#REF!),OR(#REF!="הכל",#REF!="",ISNUMBER(SEARCH(#REF!,מלאי!C191)))),1,0)</f>
        <v>#REF!</v>
      </c>
      <c r="AE182" t="e">
        <f>IF(AND(מלאי!D191&lt;&gt;"",OR(#REF!="הכל",מלאי!Z191=#REF!,מלאי!AA191=#REF!,מלאי!AB191=#REF!,מלאי!AC191=#REF!),OR(#REF!="הכל",מלאי!A191=#REF!),OR(#REF!="הכל",מלאי!B191=#REF!),OR(#REF!="הכל",מלאי!F191=#REF!,מלאי!G191=#REF!),OR(#REF!="הכל",מלאי!T191=#REF!),OR(#REF!="הכל",מלאי!Q191=#REF!),OR(#REF!="הכל",מלאי!J191=#REF!),OR(#REF!="הכל",מלאי!L191=#REF!),OR(#REF!="הכל",מלאי!O191=#REF!),OR(#REF!="הכל",מלאי!R191=#REF!),OR(#REF!="הכל",#REF!="",מלאי!W191=#REF!),OR(#REF!="הכל",#REF!="",ISNUMBER(SEARCH(#REF!,מלאי!C191))),OR(#REF!="הכל",מלאי!#REF!=#REF!)),1,0)</f>
        <v>#REF!</v>
      </c>
      <c r="AF182" t="e">
        <f>IF(AD182=1,COUNTIF($AD$3:$AD182,1),"")</f>
        <v>#REF!</v>
      </c>
      <c r="AG182" t="e">
        <f>IF(AE182=1,COUNTIF($AE$3:$AE182,1),"")</f>
        <v>#REF!</v>
      </c>
    </row>
    <row r="183" spans="1:33" ht="15" hidden="1" customHeight="1" x14ac:dyDescent="0.35">
      <c r="A183" s="4" t="s">
        <v>86</v>
      </c>
      <c r="B183" s="4" t="s">
        <v>89</v>
      </c>
      <c r="C183" s="4" t="s">
        <v>36</v>
      </c>
      <c r="D183" s="4" t="s">
        <v>90</v>
      </c>
      <c r="E183" s="4" t="str">
        <f>IFERROR(INDEX(הגדרות!$I$2:$I$47,MATCH(B183,הגדרות!$H$2:$H$47,0)),"")</f>
        <v>9028-00</v>
      </c>
      <c r="F183" s="4" t="s">
        <v>45</v>
      </c>
      <c r="G183" s="4" t="s">
        <v>91</v>
      </c>
      <c r="H183" s="4" t="s">
        <v>83</v>
      </c>
      <c r="I183" s="4"/>
      <c r="J183" s="4" t="s">
        <v>40</v>
      </c>
      <c r="K183" s="4"/>
      <c r="L183" s="4" t="s">
        <v>40</v>
      </c>
      <c r="M183" s="4"/>
      <c r="N183" s="4"/>
      <c r="O183" s="4" t="s">
        <v>40</v>
      </c>
      <c r="P183" s="4"/>
      <c r="Q183" s="4" t="s">
        <v>2</v>
      </c>
      <c r="R183" s="4"/>
      <c r="S183" s="4" t="s">
        <v>2</v>
      </c>
      <c r="T183" s="4" t="s">
        <v>42</v>
      </c>
      <c r="U183" s="4"/>
      <c r="V183" s="4"/>
      <c r="W183" s="4"/>
      <c r="X183" s="4"/>
      <c r="Y183" s="4"/>
      <c r="Z183" t="str">
        <f>IFERROR(INDEX(הגדרות!$B$2:$B$17,MATCH(H183,הגדרות!$A$2:$A$17,0)),"")</f>
        <v>מיוער</v>
      </c>
      <c r="AA183">
        <f>IFERROR(INDEX(הגדרות!$C$2:$C$17,MATCH(H183,הגדרות!$A$2:$A$17,0)),"")</f>
        <v>0</v>
      </c>
      <c r="AB183" t="str">
        <f>IFERROR(INDEX(הגדרות!$B$2:$B$17,MATCH(I183,הגדרות!$A$2:$A$17,0)),"")</f>
        <v/>
      </c>
      <c r="AC183" t="str">
        <f>IFERROR(INDEX(הגדרות!$C$2:$C$17,MATCH(I183,הגדרות!$A$2:$A$17,0)),"")</f>
        <v/>
      </c>
      <c r="AD183" t="e">
        <f>IF(AND(מלאי!D60&lt;&gt;"",OR(#REF!="הכל",מלאי!Z60=#REF!,מלאי!AA60=#REF!,מלאי!AB60=#REF!,מלאי!AC60=#REF!),OR(#REF!="הכל",מלאי!A60=#REF!),OR(#REF!="הכל",מלאי!B60=#REF!),OR(#REF!="הכל",מלאי!F60=#REF!,מלאי!G60=#REF!),OR(#REF!="הכל",מלאי!T60=#REF!),OR(#REF!="הכל",מלאי!Q60=#REF!),OR(#REF!="הכל",מלאי!J60=#REF!),OR(#REF!="הכל",מלאי!L60=#REF!),OR(#REF!="הכל",מלאי!O60=#REF!),OR(#REF!="הכל",מלאי!R60=#REF!),OR(#REF!="הכל",#REF!="",מלאי!W60=#REF!),OR(#REF!="הכל",#REF!="",ISNUMBER(SEARCH(#REF!,מלאי!C60)))),1,0)</f>
        <v>#REF!</v>
      </c>
      <c r="AE183" t="e">
        <f>IF(AND(מלאי!D60&lt;&gt;"",OR(#REF!="הכל",מלאי!Z60=#REF!,מלאי!AA60=#REF!,מלאי!AB60=#REF!,מלאי!AC60=#REF!),OR(#REF!="הכל",מלאי!A60=#REF!),OR(#REF!="הכל",מלאי!B60=#REF!),OR(#REF!="הכל",מלאי!F60=#REF!,מלאי!G60=#REF!),OR(#REF!="הכל",מלאי!T60=#REF!),OR(#REF!="הכל",מלאי!Q60=#REF!),OR(#REF!="הכל",מלאי!J60=#REF!),OR(#REF!="הכל",מלאי!L60=#REF!),OR(#REF!="הכל",מלאי!O60=#REF!),OR(#REF!="הכל",מלאי!R60=#REF!),OR(#REF!="הכל",#REF!="",מלאי!W60=#REF!),OR(#REF!="הכל",#REF!="",ISNUMBER(SEARCH(#REF!,מלאי!C60))),OR(#REF!="הכל",מלאי!#REF!=#REF!)),1,0)</f>
        <v>#REF!</v>
      </c>
      <c r="AF183" t="e">
        <f>IF(AD183=1,COUNTIF($AD$3:$AD183,1),"")</f>
        <v>#REF!</v>
      </c>
      <c r="AG183" t="e">
        <f>IF(AE183=1,COUNTIF($AE$3:$AE183,1),"")</f>
        <v>#REF!</v>
      </c>
    </row>
    <row r="184" spans="1:33" ht="15" hidden="1" customHeight="1" x14ac:dyDescent="0.35">
      <c r="A184" s="5" t="s">
        <v>86</v>
      </c>
      <c r="B184" s="5" t="s">
        <v>89</v>
      </c>
      <c r="C184" s="5" t="s">
        <v>36</v>
      </c>
      <c r="D184" s="5" t="s">
        <v>92</v>
      </c>
      <c r="E184" s="5" t="str">
        <f>IFERROR(INDEX(הגדרות!$I$2:$I$47,MATCH(B184,הגדרות!$H$2:$H$47,0)),"")</f>
        <v>9028-00</v>
      </c>
      <c r="F184" s="5" t="s">
        <v>45</v>
      </c>
      <c r="G184" s="5" t="s">
        <v>91</v>
      </c>
      <c r="H184" s="5" t="s">
        <v>72</v>
      </c>
      <c r="I184" s="5"/>
      <c r="J184" s="5" t="s">
        <v>2</v>
      </c>
      <c r="K184" s="5"/>
      <c r="L184" s="5" t="s">
        <v>40</v>
      </c>
      <c r="M184" s="5"/>
      <c r="N184" s="5"/>
      <c r="O184" s="5" t="s">
        <v>2</v>
      </c>
      <c r="P184" s="5"/>
      <c r="Q184" s="5" t="s">
        <v>2</v>
      </c>
      <c r="R184" s="5"/>
      <c r="S184" s="5" t="s">
        <v>2</v>
      </c>
      <c r="T184" s="5" t="s">
        <v>41</v>
      </c>
      <c r="U184" s="5"/>
      <c r="V184" s="5"/>
      <c r="W184" s="5"/>
      <c r="X184" s="5"/>
      <c r="Y184" s="5"/>
      <c r="Z184" t="str">
        <f>IFERROR(INDEX(הגדרות!$B$2:$B$17,MATCH(H184,הגדרות!$A$2:$A$17,0)),"")</f>
        <v>מיוער</v>
      </c>
      <c r="AA184">
        <f>IFERROR(INDEX(הגדרות!$C$2:$C$17,MATCH(H184,הגדרות!$A$2:$A$17,0)),"")</f>
        <v>0</v>
      </c>
      <c r="AB184" t="str">
        <f>IFERROR(INDEX(הגדרות!$B$2:$B$17,MATCH(I184,הגדרות!$A$2:$A$17,0)),"")</f>
        <v/>
      </c>
      <c r="AC184" t="str">
        <f>IFERROR(INDEX(הגדרות!$C$2:$C$17,MATCH(I184,הגדרות!$A$2:$A$17,0)),"")</f>
        <v/>
      </c>
      <c r="AD184" t="e">
        <f>IF(AND(מלאי!D61&lt;&gt;"",OR(#REF!="הכל",מלאי!Z61=#REF!,מלאי!AA61=#REF!,מלאי!AB61=#REF!,מלאי!AC61=#REF!),OR(#REF!="הכל",מלאי!A61=#REF!),OR(#REF!="הכל",מלאי!B61=#REF!),OR(#REF!="הכל",מלאי!F61=#REF!,מלאי!G61=#REF!),OR(#REF!="הכל",מלאי!T61=#REF!),OR(#REF!="הכל",מלאי!Q61=#REF!),OR(#REF!="הכל",מלאי!J61=#REF!),OR(#REF!="הכל",מלאי!L61=#REF!),OR(#REF!="הכל",מלאי!O61=#REF!),OR(#REF!="הכל",מלאי!R61=#REF!),OR(#REF!="הכל",#REF!="",מלאי!W61=#REF!),OR(#REF!="הכל",#REF!="",ISNUMBER(SEARCH(#REF!,מלאי!C61)))),1,0)</f>
        <v>#REF!</v>
      </c>
      <c r="AE184" t="e">
        <f>IF(AND(מלאי!D61&lt;&gt;"",OR(#REF!="הכל",מלאי!Z61=#REF!,מלאי!AA61=#REF!,מלאי!AB61=#REF!,מלאי!AC61=#REF!),OR(#REF!="הכל",מלאי!A61=#REF!),OR(#REF!="הכל",מלאי!B61=#REF!),OR(#REF!="הכל",מלאי!F61=#REF!,מלאי!G61=#REF!),OR(#REF!="הכל",מלאי!T61=#REF!),OR(#REF!="הכל",מלאי!Q61=#REF!),OR(#REF!="הכל",מלאי!J61=#REF!),OR(#REF!="הכל",מלאי!L61=#REF!),OR(#REF!="הכל",מלאי!O61=#REF!),OR(#REF!="הכל",מלאי!R61=#REF!),OR(#REF!="הכל",#REF!="",מלאי!W61=#REF!),OR(#REF!="הכל",#REF!="",ISNUMBER(SEARCH(#REF!,מלאי!C61))),OR(#REF!="הכל",מלאי!#REF!=#REF!)),1,0)</f>
        <v>#REF!</v>
      </c>
      <c r="AF184" t="e">
        <f>IF(AD184=1,COUNTIF($AD$3:$AD184,1),"")</f>
        <v>#REF!</v>
      </c>
      <c r="AG184" t="e">
        <f>IF(AE184=1,COUNTIF($AE$3:$AE184,1),"")</f>
        <v>#REF!</v>
      </c>
    </row>
    <row r="185" spans="1:33" ht="15" hidden="1" customHeight="1" x14ac:dyDescent="0.35">
      <c r="A185" s="27" t="s">
        <v>159</v>
      </c>
      <c r="B185" s="27" t="s">
        <v>357</v>
      </c>
      <c r="C185" s="27"/>
      <c r="D185" s="27" t="s">
        <v>432</v>
      </c>
      <c r="E185" s="8" t="str">
        <f>IFERROR(INDEX(הגדרות!$I$2:$I$47,MATCH(B185,הגדרות!$H$2:$H$47,0)),"")</f>
        <v/>
      </c>
      <c r="F185" s="8" t="s">
        <v>152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 t="s">
        <v>41</v>
      </c>
      <c r="U185" s="8"/>
      <c r="V185" s="8"/>
      <c r="W185" s="8"/>
      <c r="X185" s="8"/>
      <c r="Y185" s="8"/>
      <c r="Z185" t="str">
        <f>IFERROR(INDEX(הגדרות!$B$2:$B$17,MATCH(H185,הגדרות!$A$2:$A$17,0)),"")</f>
        <v/>
      </c>
      <c r="AA185" t="str">
        <f>IFERROR(INDEX(הגדרות!$C$2:$C$17,MATCH(H185,הגדרות!$A$2:$A$17,0)),"")</f>
        <v/>
      </c>
      <c r="AB185" t="str">
        <f>IFERROR(INDEX(הגדרות!$B$2:$B$17,MATCH(I185,הגדרות!$A$2:$A$17,0)),"")</f>
        <v/>
      </c>
      <c r="AC185" t="str">
        <f>IFERROR(INDEX(הגדרות!$C$2:$C$17,MATCH(I185,הגדרות!$A$2:$A$17,0)),"")</f>
        <v/>
      </c>
      <c r="AD185" t="e">
        <f>IF(AND(מלאי!D129&lt;&gt;"",OR(#REF!="הכל",מלאי!Z129=#REF!,מלאי!AA129=#REF!,מלאי!AB129=#REF!,מלאי!AC129=#REF!),OR(#REF!="הכל",מלאי!A129=#REF!),OR(#REF!="הכל",מלאי!B129=#REF!),OR(#REF!="הכל",מלאי!F129=#REF!,מלאי!G129=#REF!),OR(#REF!="הכל",מלאי!T129=#REF!),OR(#REF!="הכל",מלאי!Q129=#REF!),OR(#REF!="הכל",מלאי!J129=#REF!),OR(#REF!="הכל",מלאי!L129=#REF!),OR(#REF!="הכל",מלאי!O129=#REF!),OR(#REF!="הכל",מלאי!R129=#REF!),OR(#REF!="הכל",#REF!="",מלאי!W129=#REF!),OR(#REF!="הכל",#REF!="",ISNUMBER(SEARCH(#REF!,מלאי!C129)))),1,0)</f>
        <v>#REF!</v>
      </c>
      <c r="AE185" t="e">
        <f>IF(AND(מלאי!D129&lt;&gt;"",OR(#REF!="הכל",מלאי!Z129=#REF!,מלאי!AA129=#REF!,מלאי!AB129=#REF!,מלאי!AC129=#REF!),OR(#REF!="הכל",מלאי!A129=#REF!),OR(#REF!="הכל",מלאי!B129=#REF!),OR(#REF!="הכל",מלאי!F129=#REF!,מלאי!G129=#REF!),OR(#REF!="הכל",מלאי!T129=#REF!),OR(#REF!="הכל",מלאי!Q129=#REF!),OR(#REF!="הכל",מלאי!J129=#REF!),OR(#REF!="הכל",מלאי!L129=#REF!),OR(#REF!="הכל",מלאי!O129=#REF!),OR(#REF!="הכל",מלאי!R129=#REF!),OR(#REF!="הכל",#REF!="",מלאי!W129=#REF!),OR(#REF!="הכל",#REF!="",ISNUMBER(SEARCH(#REF!,מלאי!C129))),OR(#REF!="הכל",מלאי!#REF!=#REF!)),1,0)</f>
        <v>#REF!</v>
      </c>
      <c r="AF185" t="e">
        <f>IF(AD185=1,COUNTIF($AD$3:$AD185,1),"")</f>
        <v>#REF!</v>
      </c>
      <c r="AG185" t="e">
        <f>IF(AE185=1,COUNTIF($AE$3:$AE185,1),"")</f>
        <v>#REF!</v>
      </c>
    </row>
    <row r="186" spans="1:33" ht="15" hidden="1" customHeight="1" x14ac:dyDescent="0.35">
      <c r="A186" s="27" t="s">
        <v>159</v>
      </c>
      <c r="B186" s="27" t="s">
        <v>357</v>
      </c>
      <c r="C186" s="27"/>
      <c r="D186" s="27" t="s">
        <v>436</v>
      </c>
      <c r="E186" s="8" t="str">
        <f>IFERROR(INDEX(הגדרות!$I$2:$I$47,MATCH(B186,הגדרות!$H$2:$H$47,0)),"")</f>
        <v/>
      </c>
      <c r="F186" s="8" t="s">
        <v>152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 t="s">
        <v>40</v>
      </c>
      <c r="R186" s="8"/>
      <c r="S186" s="8"/>
      <c r="T186" s="8" t="s">
        <v>41</v>
      </c>
      <c r="U186" s="8" t="s">
        <v>363</v>
      </c>
      <c r="V186" s="8"/>
      <c r="W186" s="8"/>
      <c r="X186" s="8"/>
      <c r="Y186" s="8"/>
      <c r="Z186" t="str">
        <f>IFERROR(INDEX(הגדרות!$B$2:$B$17,MATCH(H186,הגדרות!$A$2:$A$17,0)),"")</f>
        <v/>
      </c>
      <c r="AA186" t="str">
        <f>IFERROR(INDEX(הגדרות!$C$2:$C$17,MATCH(H186,הגדרות!$A$2:$A$17,0)),"")</f>
        <v/>
      </c>
      <c r="AB186" t="str">
        <f>IFERROR(INDEX(הגדרות!$B$2:$B$17,MATCH(I186,הגדרות!$A$2:$A$17,0)),"")</f>
        <v/>
      </c>
      <c r="AC186" t="str">
        <f>IFERROR(INDEX(הגדרות!$C$2:$C$17,MATCH(I186,הגדרות!$A$2:$A$17,0)),"")</f>
        <v/>
      </c>
      <c r="AD186" t="e">
        <f>IF(AND(מלאי!D140&lt;&gt;"",OR(#REF!="הכל",מלאי!Z140=#REF!,מלאי!AA140=#REF!,מלאי!AB140=#REF!,מלאי!AC140=#REF!),OR(#REF!="הכל",מלאי!A140=#REF!),OR(#REF!="הכל",מלאי!B140=#REF!),OR(#REF!="הכל",מלאי!F140=#REF!,מלאי!G140=#REF!),OR(#REF!="הכל",מלאי!T140=#REF!),OR(#REF!="הכל",מלאי!Q140=#REF!),OR(#REF!="הכל",מלאי!J140=#REF!),OR(#REF!="הכל",מלאי!L140=#REF!),OR(#REF!="הכל",מלאי!O140=#REF!),OR(#REF!="הכל",מלאי!R140=#REF!),OR(#REF!="הכל",#REF!="",מלאי!W140=#REF!),OR(#REF!="הכל",#REF!="",ISNUMBER(SEARCH(#REF!,מלאי!C140)))),1,0)</f>
        <v>#REF!</v>
      </c>
      <c r="AE186" t="e">
        <f>IF(AND(מלאי!D140&lt;&gt;"",OR(#REF!="הכל",מלאי!Z140=#REF!,מלאי!AA140=#REF!,מלאי!AB140=#REF!,מלאי!AC140=#REF!),OR(#REF!="הכל",מלאי!A140=#REF!),OR(#REF!="הכל",מלאי!B140=#REF!),OR(#REF!="הכל",מלאי!F140=#REF!,מלאי!G140=#REF!),OR(#REF!="הכל",מלאי!T140=#REF!),OR(#REF!="הכל",מלאי!Q140=#REF!),OR(#REF!="הכל",מלאי!J140=#REF!),OR(#REF!="הכל",מלאי!L140=#REF!),OR(#REF!="הכל",מלאי!O140=#REF!),OR(#REF!="הכל",מלאי!R140=#REF!),OR(#REF!="הכל",#REF!="",מלאי!W140=#REF!),OR(#REF!="הכל",#REF!="",ISNUMBER(SEARCH(#REF!,מלאי!C140))),OR(#REF!="הכל",מלאי!#REF!=#REF!)),1,0)</f>
        <v>#REF!</v>
      </c>
      <c r="AF186" t="e">
        <f>IF(AD186=1,COUNTIF($AD$3:$AD186,1),"")</f>
        <v>#REF!</v>
      </c>
      <c r="AG186" t="e">
        <f>IF(AE186=1,COUNTIF($AE$3:$AE186,1),"")</f>
        <v>#REF!</v>
      </c>
    </row>
    <row r="187" spans="1:33" ht="15" hidden="1" customHeight="1" x14ac:dyDescent="0.35">
      <c r="A187" s="5" t="s">
        <v>86</v>
      </c>
      <c r="B187" s="5" t="s">
        <v>411</v>
      </c>
      <c r="C187" s="5"/>
      <c r="D187" s="5" t="s">
        <v>412</v>
      </c>
      <c r="E187" s="5" t="str">
        <f>IFERROR(INDEX(הגדרות!$I$2:$I$47,MATCH(B187,הגדרות!$H$2:$H$47,0)),"")</f>
        <v/>
      </c>
      <c r="F187" s="5" t="s">
        <v>173</v>
      </c>
      <c r="G187" s="5"/>
      <c r="H187" s="5"/>
      <c r="I187" s="5"/>
      <c r="J187" s="5" t="s">
        <v>40</v>
      </c>
      <c r="K187" s="5" t="s">
        <v>40</v>
      </c>
      <c r="L187" s="5" t="s">
        <v>2</v>
      </c>
      <c r="M187" s="5" t="s">
        <v>2</v>
      </c>
      <c r="N187" s="5" t="s">
        <v>2</v>
      </c>
      <c r="O187" s="5" t="s">
        <v>2</v>
      </c>
      <c r="P187" s="5" t="s">
        <v>413</v>
      </c>
      <c r="Q187" s="5" t="s">
        <v>40</v>
      </c>
      <c r="R187" s="5"/>
      <c r="S187" s="5"/>
      <c r="T187" s="5" t="s">
        <v>41</v>
      </c>
      <c r="U187" s="5" t="s">
        <v>414</v>
      </c>
      <c r="V187" s="5"/>
      <c r="W187" s="5"/>
      <c r="X187" s="5"/>
      <c r="Y187" s="5"/>
      <c r="Z187" t="str">
        <f>IFERROR(INDEX(הגדרות!$B$2:$B$17,MATCH(H187,הגדרות!$A$2:$A$17,0)),"")</f>
        <v/>
      </c>
      <c r="AA187" t="str">
        <f>IFERROR(INDEX(הגדרות!$C$2:$C$17,MATCH(H187,הגדרות!$A$2:$A$17,0)),"")</f>
        <v/>
      </c>
      <c r="AB187" t="str">
        <f>IFERROR(INDEX(הגדרות!$B$2:$B$17,MATCH(I187,הגדרות!$A$2:$A$17,0)),"")</f>
        <v/>
      </c>
      <c r="AC187" t="str">
        <f>IFERROR(INDEX(הגדרות!$C$2:$C$17,MATCH(I187,הגדרות!$A$2:$A$17,0)),"")</f>
        <v/>
      </c>
      <c r="AD187" t="e">
        <f>IF(AND(מלאי!D164&lt;&gt;"",OR(#REF!="הכל",מלאי!Z164=#REF!,מלאי!AA164=#REF!,מלאי!AB164=#REF!,מלאי!AC164=#REF!),OR(#REF!="הכל",מלאי!A164=#REF!),OR(#REF!="הכל",מלאי!B164=#REF!),OR(#REF!="הכל",מלאי!F164=#REF!,מלאי!G164=#REF!),OR(#REF!="הכל",מלאי!T164=#REF!),OR(#REF!="הכל",מלאי!Q164=#REF!),OR(#REF!="הכל",מלאי!J164=#REF!),OR(#REF!="הכל",מלאי!L164=#REF!),OR(#REF!="הכל",מלאי!O164=#REF!),OR(#REF!="הכל",מלאי!R164=#REF!),OR(#REF!="הכל",#REF!="",מלאי!W164=#REF!),OR(#REF!="הכל",#REF!="",ISNUMBER(SEARCH(#REF!,מלאי!C164)))),1,0)</f>
        <v>#REF!</v>
      </c>
      <c r="AE187" t="e">
        <f>IF(AND(מלאי!D164&lt;&gt;"",OR(#REF!="הכל",מלאי!Z164=#REF!,מלאי!AA164=#REF!,מלאי!AB164=#REF!,מלאי!AC164=#REF!),OR(#REF!="הכל",מלאי!A164=#REF!),OR(#REF!="הכל",מלאי!B164=#REF!),OR(#REF!="הכל",מלאי!F164=#REF!,מלאי!G164=#REF!),OR(#REF!="הכל",מלאי!T164=#REF!),OR(#REF!="הכל",מלאי!Q164=#REF!),OR(#REF!="הכל",מלאי!J164=#REF!),OR(#REF!="הכל",מלאי!L164=#REF!),OR(#REF!="הכל",מלאי!O164=#REF!),OR(#REF!="הכל",מלאי!R164=#REF!),OR(#REF!="הכל",#REF!="",מלאי!W164=#REF!),OR(#REF!="הכל",#REF!="",ISNUMBER(SEARCH(#REF!,מלאי!C164))),OR(#REF!="הכל",מלאי!#REF!=#REF!)),1,0)</f>
        <v>#REF!</v>
      </c>
      <c r="AF187" t="e">
        <f>IF(AD187=1,COUNTIF($AD$3:$AD187,1),"")</f>
        <v>#REF!</v>
      </c>
      <c r="AG187" t="e">
        <f>IF(AE187=1,COUNTIF($AE$3:$AE187,1),"")</f>
        <v>#REF!</v>
      </c>
    </row>
    <row r="188" spans="1:33" ht="15" hidden="1" customHeight="1" x14ac:dyDescent="0.35">
      <c r="A188" s="19" t="s">
        <v>78</v>
      </c>
      <c r="B188" s="19" t="s">
        <v>189</v>
      </c>
      <c r="C188" s="19" t="s">
        <v>36</v>
      </c>
      <c r="D188" s="19" t="s">
        <v>364</v>
      </c>
      <c r="E188" s="4">
        <f>IFERROR(INDEX(הגדרות!$I$2:$I$47,MATCH(B188,הגדרות!$H$2:$H$47,0)),"")</f>
        <v>0</v>
      </c>
      <c r="F188" s="4" t="s">
        <v>80</v>
      </c>
      <c r="G188" s="4"/>
      <c r="H188" s="4" t="s">
        <v>38</v>
      </c>
      <c r="I188" s="4" t="s">
        <v>39</v>
      </c>
      <c r="J188" s="4" t="s">
        <v>40</v>
      </c>
      <c r="K188" s="4" t="s">
        <v>40</v>
      </c>
      <c r="L188" s="4" t="s">
        <v>2</v>
      </c>
      <c r="M188" s="4" t="s">
        <v>2</v>
      </c>
      <c r="N188" s="4" t="s">
        <v>2</v>
      </c>
      <c r="O188" s="4" t="s">
        <v>2</v>
      </c>
      <c r="P188" s="4" t="s">
        <v>366</v>
      </c>
      <c r="Q188" s="4" t="s">
        <v>40</v>
      </c>
      <c r="R188" s="4"/>
      <c r="S188" s="4" t="s">
        <v>40</v>
      </c>
      <c r="T188" s="4" t="s">
        <v>41</v>
      </c>
      <c r="U188" s="4" t="s">
        <v>84</v>
      </c>
      <c r="V188" s="4"/>
      <c r="W188" s="4"/>
      <c r="X188" s="4"/>
      <c r="Y188" s="4"/>
      <c r="Z188" t="str">
        <f>IFERROR(INDEX(הגדרות!$B$2:$B$17,MATCH(H188,הגדרות!$A$2:$A$17,0)),"")</f>
        <v>מיוער</v>
      </c>
      <c r="AA188">
        <f>IFERROR(INDEX(הגדרות!$C$2:$C$17,MATCH(H188,הגדרות!$A$2:$A$17,0)),"")</f>
        <v>0</v>
      </c>
      <c r="AB188" t="str">
        <f>IFERROR(INDEX(הגדרות!$B$2:$B$17,MATCH(I188,הגדרות!$A$2:$A$17,0)),"")</f>
        <v>מדברי</v>
      </c>
      <c r="AC188">
        <f>IFERROR(INDEX(הגדרות!$C$2:$C$17,MATCH(I188,הגדרות!$A$2:$A$17,0)),"")</f>
        <v>0</v>
      </c>
      <c r="AD188" t="e">
        <f>IF(AND(מלאי!D141&lt;&gt;"",OR(#REF!="הכל",מלאי!Z141=#REF!,מלאי!AA141=#REF!,מלאי!AB141=#REF!,מלאי!AC141=#REF!),OR(#REF!="הכל",מלאי!A141=#REF!),OR(#REF!="הכל",מלאי!B141=#REF!),OR(#REF!="הכל",מלאי!F141=#REF!,מלאי!G141=#REF!),OR(#REF!="הכל",מלאי!T141=#REF!),OR(#REF!="הכל",מלאי!Q141=#REF!),OR(#REF!="הכל",מלאי!J141=#REF!),OR(#REF!="הכל",מלאי!L141=#REF!),OR(#REF!="הכל",מלאי!O141=#REF!),OR(#REF!="הכל",מלאי!R141=#REF!),OR(#REF!="הכל",#REF!="",מלאי!W141=#REF!),OR(#REF!="הכל",#REF!="",ISNUMBER(SEARCH(#REF!,מלאי!C141)))),1,0)</f>
        <v>#REF!</v>
      </c>
      <c r="AE188" t="e">
        <f>IF(AND(מלאי!D141&lt;&gt;"",OR(#REF!="הכל",מלאי!Z141=#REF!,מלאי!AA141=#REF!,מלאי!AB141=#REF!,מלאי!AC141=#REF!),OR(#REF!="הכל",מלאי!A141=#REF!),OR(#REF!="הכל",מלאי!B141=#REF!),OR(#REF!="הכל",מלאי!F141=#REF!,מלאי!G141=#REF!),OR(#REF!="הכל",מלאי!T141=#REF!),OR(#REF!="הכל",מלאי!Q141=#REF!),OR(#REF!="הכל",מלאי!J141=#REF!),OR(#REF!="הכל",מלאי!L141=#REF!),OR(#REF!="הכל",מלאי!O141=#REF!),OR(#REF!="הכל",מלאי!R141=#REF!),OR(#REF!="הכל",#REF!="",מלאי!W141=#REF!),OR(#REF!="הכל",#REF!="",ISNUMBER(SEARCH(#REF!,מלאי!C141))),OR(#REF!="הכל",מלאי!#REF!=#REF!)),1,0)</f>
        <v>#REF!</v>
      </c>
      <c r="AF188" t="e">
        <f>IF(AD188=1,COUNTIF($AD$3:$AD188,1),"")</f>
        <v>#REF!</v>
      </c>
      <c r="AG188" t="e">
        <f>IF(AE188=1,COUNTIF($AE$3:$AE188,1),"")</f>
        <v>#REF!</v>
      </c>
    </row>
    <row r="189" spans="1:33" ht="15" hidden="1" customHeight="1" x14ac:dyDescent="0.35">
      <c r="A189" s="19" t="s">
        <v>78</v>
      </c>
      <c r="B189" s="19" t="s">
        <v>189</v>
      </c>
      <c r="C189" s="19" t="s">
        <v>36</v>
      </c>
      <c r="D189" s="19" t="s">
        <v>365</v>
      </c>
      <c r="E189" s="4">
        <f>IFERROR(INDEX(הגדרות!$I$2:$I$47,MATCH(B189,הגדרות!$H$2:$H$47,0)),"")</f>
        <v>0</v>
      </c>
      <c r="F189" s="4" t="s">
        <v>80</v>
      </c>
      <c r="G189" s="4"/>
      <c r="H189" s="4" t="s">
        <v>38</v>
      </c>
      <c r="I189" s="4" t="s">
        <v>39</v>
      </c>
      <c r="J189" s="4" t="s">
        <v>40</v>
      </c>
      <c r="K189" s="4" t="s">
        <v>40</v>
      </c>
      <c r="L189" s="4" t="s">
        <v>2</v>
      </c>
      <c r="M189" s="4" t="s">
        <v>2</v>
      </c>
      <c r="N189" s="4" t="s">
        <v>2</v>
      </c>
      <c r="O189" s="4" t="s">
        <v>2</v>
      </c>
      <c r="P189" s="4" t="s">
        <v>366</v>
      </c>
      <c r="Q189" s="4" t="s">
        <v>40</v>
      </c>
      <c r="R189" s="4"/>
      <c r="S189" s="4" t="s">
        <v>40</v>
      </c>
      <c r="T189" s="4" t="s">
        <v>41</v>
      </c>
      <c r="U189" s="4" t="s">
        <v>84</v>
      </c>
      <c r="V189" s="4"/>
      <c r="W189" s="4"/>
      <c r="X189" s="4"/>
      <c r="Y189" s="4"/>
      <c r="Z189" t="str">
        <f>IFERROR(INDEX(הגדרות!$B$2:$B$17,MATCH(H189,הגדרות!$A$2:$A$17,0)),"")</f>
        <v>מיוער</v>
      </c>
      <c r="AA189">
        <f>IFERROR(INDEX(הגדרות!$C$2:$C$17,MATCH(H189,הגדרות!$A$2:$A$17,0)),"")</f>
        <v>0</v>
      </c>
      <c r="AB189" t="str">
        <f>IFERROR(INDEX(הגדרות!$B$2:$B$17,MATCH(I189,הגדרות!$A$2:$A$17,0)),"")</f>
        <v>מדברי</v>
      </c>
      <c r="AC189">
        <f>IFERROR(INDEX(הגדרות!$C$2:$C$17,MATCH(I189,הגדרות!$A$2:$A$17,0)),"")</f>
        <v>0</v>
      </c>
      <c r="AD189" t="e">
        <f>IF(AND(מלאי!D142&lt;&gt;"",OR(#REF!="הכל",מלאי!Z142=#REF!,מלאי!AA142=#REF!,מלאי!AB142=#REF!,מלאי!AC142=#REF!),OR(#REF!="הכל",מלאי!A142=#REF!),OR(#REF!="הכל",מלאי!B142=#REF!),OR(#REF!="הכל",מלאי!F142=#REF!,מלאי!G142=#REF!),OR(#REF!="הכל",מלאי!T142=#REF!),OR(#REF!="הכל",מלאי!Q142=#REF!),OR(#REF!="הכל",מלאי!J142=#REF!),OR(#REF!="הכל",מלאי!L142=#REF!),OR(#REF!="הכל",מלאי!O142=#REF!),OR(#REF!="הכל",מלאי!R142=#REF!),OR(#REF!="הכל",#REF!="",מלאי!W142=#REF!),OR(#REF!="הכל",#REF!="",ISNUMBER(SEARCH(#REF!,מלאי!C142)))),1,0)</f>
        <v>#REF!</v>
      </c>
      <c r="AE189" t="e">
        <f>IF(AND(מלאי!D142&lt;&gt;"",OR(#REF!="הכל",מלאי!Z142=#REF!,מלאי!AA142=#REF!,מלאי!AB142=#REF!,מלאי!AC142=#REF!),OR(#REF!="הכל",מלאי!A142=#REF!),OR(#REF!="הכל",מלאי!B142=#REF!),OR(#REF!="הכל",מלאי!F142=#REF!,מלאי!G142=#REF!),OR(#REF!="הכל",מלאי!T142=#REF!),OR(#REF!="הכל",מלאי!Q142=#REF!),OR(#REF!="הכל",מלאי!J142=#REF!),OR(#REF!="הכל",מלאי!L142=#REF!),OR(#REF!="הכל",מלאי!O142=#REF!),OR(#REF!="הכל",מלאי!R142=#REF!),OR(#REF!="הכל",#REF!="",מלאי!W142=#REF!),OR(#REF!="הכל",#REF!="",ISNUMBER(SEARCH(#REF!,מלאי!C142))),OR(#REF!="הכל",מלאי!#REF!=#REF!)),1,0)</f>
        <v>#REF!</v>
      </c>
      <c r="AF189" t="e">
        <f>IF(AD189=1,COUNTIF($AD$3:$AD189,1),"")</f>
        <v>#REF!</v>
      </c>
      <c r="AG189" t="e">
        <f>IF(AE189=1,COUNTIF($AE$3:$AE189,1),"")</f>
        <v>#REF!</v>
      </c>
    </row>
    <row r="190" spans="1:33" ht="15" hidden="1" customHeight="1" x14ac:dyDescent="0.35">
      <c r="A190" s="27" t="s">
        <v>139</v>
      </c>
      <c r="B190" s="27" t="s">
        <v>359</v>
      </c>
      <c r="C190" s="27" t="s">
        <v>36</v>
      </c>
      <c r="D190" s="27" t="s">
        <v>360</v>
      </c>
      <c r="E190" s="8" t="str">
        <f>IFERROR(INDEX(הגדרות!$I$2:$I$47,MATCH(B190,הגדרות!$H$2:$H$47,0)),"")</f>
        <v/>
      </c>
      <c r="F190" s="8" t="s">
        <v>152</v>
      </c>
      <c r="G190" s="8"/>
      <c r="H190" s="8" t="s">
        <v>39</v>
      </c>
      <c r="I190" s="8" t="s">
        <v>68</v>
      </c>
      <c r="J190" s="8" t="s">
        <v>40</v>
      </c>
      <c r="K190" s="8" t="s">
        <v>40</v>
      </c>
      <c r="L190" s="8" t="s">
        <v>2</v>
      </c>
      <c r="M190" s="8" t="s">
        <v>2</v>
      </c>
      <c r="N190" s="8"/>
      <c r="O190" s="8"/>
      <c r="P190" s="8" t="s">
        <v>361</v>
      </c>
      <c r="Q190" s="8" t="s">
        <v>40</v>
      </c>
      <c r="R190" s="8"/>
      <c r="S190" s="8"/>
      <c r="T190" s="8" t="s">
        <v>41</v>
      </c>
      <c r="U190" s="8"/>
      <c r="V190" s="8"/>
      <c r="W190" s="8"/>
      <c r="X190" s="8"/>
      <c r="Y190" s="8"/>
      <c r="Z190" t="str">
        <f>IFERROR(INDEX(הגדרות!$B$2:$B$17,MATCH(H190,הגדרות!$A$2:$A$17,0)),"")</f>
        <v>מדברי</v>
      </c>
      <c r="AA190">
        <f>IFERROR(INDEX(הגדרות!$C$2:$C$17,MATCH(H190,הגדרות!$A$2:$A$17,0)),"")</f>
        <v>0</v>
      </c>
      <c r="AB190" t="str">
        <f>IFERROR(INDEX(הגדרות!$B$2:$B$17,MATCH(I190,הגדרות!$A$2:$A$17,0)),"")</f>
        <v>מדברי</v>
      </c>
      <c r="AC190">
        <f>IFERROR(INDEX(הגדרות!$C$2:$C$17,MATCH(I190,הגדרות!$A$2:$A$17,0)),"")</f>
        <v>0</v>
      </c>
      <c r="AD190" t="e">
        <f>IF(AND(מלאי!D137&lt;&gt;"",OR(#REF!="הכל",מלאי!Z137=#REF!,מלאי!AA137=#REF!,מלאי!AB137=#REF!,מלאי!AC137=#REF!),OR(#REF!="הכל",מלאי!A137=#REF!),OR(#REF!="הכל",מלאי!B137=#REF!),OR(#REF!="הכל",מלאי!F137=#REF!,מלאי!G137=#REF!),OR(#REF!="הכל",מלאי!T137=#REF!),OR(#REF!="הכל",מלאי!Q137=#REF!),OR(#REF!="הכל",מלאי!J137=#REF!),OR(#REF!="הכל",מלאי!L137=#REF!),OR(#REF!="הכל",מלאי!O137=#REF!),OR(#REF!="הכל",מלאי!R137=#REF!),OR(#REF!="הכל",#REF!="",מלאי!W137=#REF!),OR(#REF!="הכל",#REF!="",ISNUMBER(SEARCH(#REF!,מלאי!C137)))),1,0)</f>
        <v>#REF!</v>
      </c>
      <c r="AE190" t="e">
        <f>IF(AND(מלאי!D137&lt;&gt;"",OR(#REF!="הכל",מלאי!Z137=#REF!,מלאי!AA137=#REF!,מלאי!AB137=#REF!,מלאי!AC137=#REF!),OR(#REF!="הכל",מלאי!A137=#REF!),OR(#REF!="הכל",מלאי!B137=#REF!),OR(#REF!="הכל",מלאי!F137=#REF!,מלאי!G137=#REF!),OR(#REF!="הכל",מלאי!T137=#REF!),OR(#REF!="הכל",מלאי!Q137=#REF!),OR(#REF!="הכל",מלאי!J137=#REF!),OR(#REF!="הכל",מלאי!L137=#REF!),OR(#REF!="הכל",מלאי!O137=#REF!),OR(#REF!="הכל",מלאי!R137=#REF!),OR(#REF!="הכל",#REF!="",מלאי!W137=#REF!),OR(#REF!="הכל",#REF!="",ISNUMBER(SEARCH(#REF!,מלאי!C137))),OR(#REF!="הכל",מלאי!#REF!=#REF!)),1,0)</f>
        <v>#REF!</v>
      </c>
      <c r="AF190" t="e">
        <f>IF(AD190=1,COUNTIF($AD$3:$AD190,1),"")</f>
        <v>#REF!</v>
      </c>
      <c r="AG190" t="e">
        <f>IF(AE190=1,COUNTIF($AE$3:$AE190,1),"")</f>
        <v>#REF!</v>
      </c>
    </row>
    <row r="191" spans="1:33" ht="15" hidden="1" customHeight="1" x14ac:dyDescent="0.35">
      <c r="A191" s="22" t="s">
        <v>139</v>
      </c>
      <c r="B191" s="22"/>
      <c r="C191" s="22" t="s">
        <v>367</v>
      </c>
      <c r="D191" s="34" t="s">
        <v>447</v>
      </c>
      <c r="E191" s="5" t="str">
        <f>IFERROR(INDEX(הגדרות!$I$2:$I$47,MATCH(B191,הגדרות!$H$2:$H$47,0)),"")</f>
        <v/>
      </c>
      <c r="F191" s="5"/>
      <c r="G191" s="5"/>
      <c r="H191" s="5" t="s">
        <v>38</v>
      </c>
      <c r="I191" s="5" t="s">
        <v>39</v>
      </c>
      <c r="J191" s="4" t="s">
        <v>2</v>
      </c>
      <c r="K191" s="4" t="s">
        <v>2</v>
      </c>
      <c r="L191" s="5"/>
      <c r="M191" s="5"/>
      <c r="N191" s="5"/>
      <c r="O191" s="5"/>
      <c r="P191" s="5" t="s">
        <v>448</v>
      </c>
      <c r="Q191" s="5"/>
      <c r="R191" s="5"/>
      <c r="S191" s="5"/>
      <c r="T191" s="4" t="s">
        <v>41</v>
      </c>
      <c r="U191" s="5"/>
      <c r="V191" s="5"/>
      <c r="W191" s="5"/>
      <c r="X191" s="5"/>
      <c r="Y191" s="5"/>
      <c r="Z191" t="str">
        <f>IFERROR(INDEX(הגדרות!$B$2:$B$17,MATCH(H191,הגדרות!$A$2:$A$17,0)),"")</f>
        <v>מיוער</v>
      </c>
      <c r="AA191">
        <f>IFERROR(INDEX(הגדרות!$C$2:$C$17,MATCH(H191,הגדרות!$A$2:$A$17,0)),"")</f>
        <v>0</v>
      </c>
      <c r="AB191" t="str">
        <f>IFERROR(INDEX(הגדרות!$B$2:$B$17,MATCH(I191,הגדרות!$A$2:$A$17,0)),"")</f>
        <v>מדברי</v>
      </c>
      <c r="AC191">
        <f>IFERROR(INDEX(הגדרות!$C$2:$C$17,MATCH(I191,הגדרות!$A$2:$A$17,0)),"")</f>
        <v>0</v>
      </c>
      <c r="AD191" t="e">
        <f>IF(AND(מלאי!D147&lt;&gt;"",OR(#REF!="הכל",מלאי!Z147=#REF!,מלאי!AA147=#REF!,מלאי!AB147=#REF!,מלאי!AC147=#REF!),OR(#REF!="הכל",מלאי!A147=#REF!),OR(#REF!="הכל",מלאי!B147=#REF!),OR(#REF!="הכל",מלאי!F147=#REF!,מלאי!G147=#REF!),OR(#REF!="הכל",מלאי!T147=#REF!),OR(#REF!="הכל",מלאי!Q147=#REF!),OR(#REF!="הכל",מלאי!J147=#REF!),OR(#REF!="הכל",מלאי!L147=#REF!),OR(#REF!="הכל",מלאי!O147=#REF!),OR(#REF!="הכל",מלאי!R147=#REF!),OR(#REF!="הכל",#REF!="",מלאי!W147=#REF!),OR(#REF!="הכל",#REF!="",ISNUMBER(SEARCH(#REF!,מלאי!C147)))),1,0)</f>
        <v>#REF!</v>
      </c>
      <c r="AE191" t="e">
        <f>IF(AND(מלאי!D147&lt;&gt;"",OR(#REF!="הכל",מלאי!Z147=#REF!,מלאי!AA147=#REF!,מלאי!AB147=#REF!,מלאי!AC147=#REF!),OR(#REF!="הכל",מלאי!A147=#REF!),OR(#REF!="הכל",מלאי!B147=#REF!),OR(#REF!="הכל",מלאי!F147=#REF!,מלאי!G147=#REF!),OR(#REF!="הכל",מלאי!T147=#REF!),OR(#REF!="הכל",מלאי!Q147=#REF!),OR(#REF!="הכל",מלאי!J147=#REF!),OR(#REF!="הכל",מלאי!L147=#REF!),OR(#REF!="הכל",מלאי!O147=#REF!),OR(#REF!="הכל",מלאי!R147=#REF!),OR(#REF!="הכל",#REF!="",מלאי!W147=#REF!),OR(#REF!="הכל",#REF!="",ISNUMBER(SEARCH(#REF!,מלאי!C147))),OR(#REF!="הכל",מלאי!#REF!=#REF!)),1,0)</f>
        <v>#REF!</v>
      </c>
      <c r="AF191" t="e">
        <f>IF(AD191=1,COUNTIF($AD$3:$AD191,1),"")</f>
        <v>#REF!</v>
      </c>
      <c r="AG191" t="e">
        <f>IF(AE191=1,COUNTIF($AE$3:$AE191,1),"")</f>
        <v>#REF!</v>
      </c>
    </row>
    <row r="192" spans="1:33" ht="15" customHeight="1" x14ac:dyDescent="0.35">
      <c r="A192" s="17" t="s">
        <v>144</v>
      </c>
      <c r="B192" s="17" t="s">
        <v>198</v>
      </c>
      <c r="C192" s="18" t="s">
        <v>36</v>
      </c>
      <c r="D192" s="17" t="s">
        <v>481</v>
      </c>
      <c r="E192" s="17" t="str">
        <f>IFERROR(INDEX(הגדרות!$I$2:$I$47,MATCH(B192,הגדרות!$H$2:$H$47,0)),"")</f>
        <v>7022-00</v>
      </c>
      <c r="F192" s="18" t="s">
        <v>311</v>
      </c>
      <c r="G192" s="17"/>
      <c r="H192" s="17" t="s">
        <v>72</v>
      </c>
      <c r="I192" s="17"/>
      <c r="J192" s="17" t="s">
        <v>40</v>
      </c>
      <c r="K192" s="17"/>
      <c r="L192" s="17"/>
      <c r="M192" s="17"/>
      <c r="N192" s="17"/>
      <c r="O192" s="17"/>
      <c r="P192" s="17"/>
      <c r="Q192" s="17" t="s">
        <v>40</v>
      </c>
      <c r="R192" s="17"/>
      <c r="S192" s="17"/>
      <c r="T192" s="17" t="s">
        <v>41</v>
      </c>
      <c r="U192" s="17"/>
      <c r="V192" s="17"/>
      <c r="W192" s="17"/>
      <c r="X192" s="17"/>
      <c r="Y192" s="17"/>
      <c r="Z192" t="str">
        <f>IFERROR(INDEX(הגדרות!$B$2:$B$17,MATCH(H192,הגדרות!$A$2:$A$17,0)),"")</f>
        <v>מיוער</v>
      </c>
      <c r="AA192">
        <f>IFERROR(INDEX(הגדרות!$C$2:$C$17,MATCH(H192,הגדרות!$A$2:$A$17,0)),"")</f>
        <v>0</v>
      </c>
      <c r="AB192" t="str">
        <f>IFERROR(INDEX(הגדרות!$B$2:$B$17,MATCH(I192,הגדרות!$A$2:$A$17,0)),"")</f>
        <v/>
      </c>
      <c r="AC192" t="str">
        <f>IFERROR(INDEX(הגדרות!$C$2:$C$17,MATCH(I192,הגדרות!$A$2:$A$17,0)),"")</f>
        <v/>
      </c>
      <c r="AD192" t="e">
        <f>IF(AND(מלאי!D326&lt;&gt;"",OR(#REF!="הכל",מלאי!Z326=#REF!,מלאי!AA326=#REF!,מלאי!AB326=#REF!,מלאי!AC326=#REF!),OR(#REF!="הכל",מלאי!A326=#REF!),OR(#REF!="הכל",מלאי!B326=#REF!),OR(#REF!="הכל",מלאי!F326=#REF!,מלאי!G326=#REF!),OR(#REF!="הכל",מלאי!T326=#REF!),OR(#REF!="הכל",מלאי!Q326=#REF!),OR(#REF!="הכל",מלאי!J326=#REF!),OR(#REF!="הכל",מלאי!L326=#REF!),OR(#REF!="הכל",מלאי!O326=#REF!),OR(#REF!="הכל",מלאי!R326=#REF!),OR(#REF!="הכל",#REF!="",מלאי!W326=#REF!),OR(#REF!="הכל",#REF!="",ISNUMBER(SEARCH(#REF!,מלאי!C326)))),1,0)</f>
        <v>#REF!</v>
      </c>
      <c r="AE192" t="e">
        <f>IF(AND(מלאי!D326&lt;&gt;"",OR(#REF!="הכל",מלאי!Z326=#REF!,מלאי!AA326=#REF!,מלאי!AB326=#REF!,מלאי!AC326=#REF!),OR(#REF!="הכל",מלאי!A326=#REF!),OR(#REF!="הכל",מלאי!B326=#REF!),OR(#REF!="הכל",מלאי!F326=#REF!,מלאי!G326=#REF!),OR(#REF!="הכל",מלאי!T326=#REF!),OR(#REF!="הכל",מלאי!Q326=#REF!),OR(#REF!="הכל",מלאי!J326=#REF!),OR(#REF!="הכל",מלאי!L326=#REF!),OR(#REF!="הכל",מלאי!O326=#REF!),OR(#REF!="הכל",מלאי!R326=#REF!),OR(#REF!="הכל",#REF!="",מלאי!W326=#REF!),OR(#REF!="הכל",#REF!="",ISNUMBER(SEARCH(#REF!,מלאי!C326))),OR(#REF!="הכל",מלאי!#REF!=#REF!)),1,0)</f>
        <v>#REF!</v>
      </c>
      <c r="AF192" t="e">
        <f>IF(AD192=1,COUNTIF($AD$3:$AD192,1),"")</f>
        <v>#REF!</v>
      </c>
      <c r="AG192" t="e">
        <f>IF(AE192=1,COUNTIF($AE$3:$AE192,1),"")</f>
        <v>#REF!</v>
      </c>
    </row>
    <row r="193" spans="1:33" ht="15" customHeight="1" x14ac:dyDescent="0.35">
      <c r="A193" s="17" t="s">
        <v>144</v>
      </c>
      <c r="B193" s="17" t="s">
        <v>202</v>
      </c>
      <c r="C193" s="18" t="s">
        <v>449</v>
      </c>
      <c r="D193" s="17" t="s">
        <v>482</v>
      </c>
      <c r="E193" s="17">
        <f>IFERROR(INDEX(הגדרות!$I$2:$I$47,MATCH(B193,הגדרות!$H$2:$H$47,0)),"")</f>
        <v>0</v>
      </c>
      <c r="F193" s="18" t="s">
        <v>313</v>
      </c>
      <c r="G193" s="17"/>
      <c r="H193" s="17" t="s">
        <v>72</v>
      </c>
      <c r="I193" s="17"/>
      <c r="J193" s="17" t="s">
        <v>40</v>
      </c>
      <c r="K193" s="17"/>
      <c r="L193" s="17"/>
      <c r="M193" s="17"/>
      <c r="N193" s="17"/>
      <c r="O193" s="17"/>
      <c r="P193" s="17"/>
      <c r="Q193" s="17"/>
      <c r="R193" s="17" t="s">
        <v>151</v>
      </c>
      <c r="S193" s="17"/>
      <c r="T193" s="17" t="s">
        <v>41</v>
      </c>
      <c r="U193" s="17"/>
      <c r="V193" s="17"/>
      <c r="W193" s="17"/>
      <c r="X193" s="17"/>
      <c r="Y193" s="17"/>
      <c r="Z193" t="str">
        <f>IFERROR(INDEX(הגדרות!$B$2:$B$17,MATCH(H193,הגדרות!$A$2:$A$17,0)),"")</f>
        <v>מיוער</v>
      </c>
      <c r="AA193">
        <f>IFERROR(INDEX(הגדרות!$C$2:$C$17,MATCH(H193,הגדרות!$A$2:$A$17,0)),"")</f>
        <v>0</v>
      </c>
      <c r="AB193" t="str">
        <f>IFERROR(INDEX(הגדרות!$B$2:$B$17,MATCH(I193,הגדרות!$A$2:$A$17,0)),"")</f>
        <v/>
      </c>
      <c r="AC193" t="str">
        <f>IFERROR(INDEX(הגדרות!$C$2:$C$17,MATCH(I193,הגדרות!$A$2:$A$17,0)),"")</f>
        <v/>
      </c>
      <c r="AD193" t="e">
        <f>IF(AND(מלאי!D327&lt;&gt;"",OR(#REF!="הכל",מלאי!Z327=#REF!,מלאי!AA327=#REF!,מלאי!AB327=#REF!,מלאי!AC327=#REF!),OR(#REF!="הכל",מלאי!A327=#REF!),OR(#REF!="הכל",מלאי!B327=#REF!),OR(#REF!="הכל",מלאי!F327=#REF!,מלאי!G327=#REF!),OR(#REF!="הכל",מלאי!T327=#REF!),OR(#REF!="הכל",מלאי!Q327=#REF!),OR(#REF!="הכל",מלאי!J327=#REF!),OR(#REF!="הכל",מלאי!L327=#REF!),OR(#REF!="הכל",מלאי!O327=#REF!),OR(#REF!="הכל",מלאי!R327=#REF!),OR(#REF!="הכל",#REF!="",מלאי!W327=#REF!),OR(#REF!="הכל",#REF!="",ISNUMBER(SEARCH(#REF!,מלאי!C327)))),1,0)</f>
        <v>#REF!</v>
      </c>
      <c r="AE193" t="e">
        <f>IF(AND(מלאי!D327&lt;&gt;"",OR(#REF!="הכל",מלאי!Z327=#REF!,מלאי!AA327=#REF!,מלאי!AB327=#REF!,מלאי!AC327=#REF!),OR(#REF!="הכל",מלאי!A327=#REF!),OR(#REF!="הכל",מלאי!B327=#REF!),OR(#REF!="הכל",מלאי!F327=#REF!,מלאי!G327=#REF!),OR(#REF!="הכל",מלאי!T327=#REF!),OR(#REF!="הכל",מלאי!Q327=#REF!),OR(#REF!="הכל",מלאי!J327=#REF!),OR(#REF!="הכל",מלאי!L327=#REF!),OR(#REF!="הכל",מלאי!O327=#REF!),OR(#REF!="הכל",מלאי!R327=#REF!),OR(#REF!="הכל",#REF!="",מלאי!W327=#REF!),OR(#REF!="הכל",#REF!="",ISNUMBER(SEARCH(#REF!,מלאי!C327))),OR(#REF!="הכל",מלאי!#REF!=#REF!)),1,0)</f>
        <v>#REF!</v>
      </c>
      <c r="AF193" t="e">
        <f>IF(AD193=1,COUNTIF($AD$3:$AD193,1),"")</f>
        <v>#REF!</v>
      </c>
      <c r="AG193" t="e">
        <f>IF(AE193=1,COUNTIF($AE$3:$AE193,1),"")</f>
        <v>#REF!</v>
      </c>
    </row>
    <row r="194" spans="1:33" ht="15" customHeight="1" x14ac:dyDescent="0.35">
      <c r="A194" s="17" t="s">
        <v>144</v>
      </c>
      <c r="B194" s="17" t="s">
        <v>192</v>
      </c>
      <c r="C194" s="18" t="s">
        <v>449</v>
      </c>
      <c r="D194" s="17" t="s">
        <v>483</v>
      </c>
      <c r="E194" s="17" t="str">
        <f>IFERROR(INDEX(הגדרות!$I$2:$I$47,MATCH(B194,הגדרות!$H$2:$H$47,0)),"")</f>
        <v>8006-00</v>
      </c>
      <c r="F194" s="18" t="s">
        <v>311</v>
      </c>
      <c r="G194" s="17"/>
      <c r="H194" s="17" t="s">
        <v>64</v>
      </c>
      <c r="I194" s="17"/>
      <c r="J194" s="17" t="s">
        <v>40</v>
      </c>
      <c r="K194" s="17"/>
      <c r="L194" s="17"/>
      <c r="M194" s="17"/>
      <c r="N194" s="17"/>
      <c r="O194" s="17"/>
      <c r="P194" s="17"/>
      <c r="Q194" s="17"/>
      <c r="R194" s="17"/>
      <c r="S194" s="17"/>
      <c r="T194" s="17" t="s">
        <v>41</v>
      </c>
      <c r="U194" s="17"/>
      <c r="V194" s="17"/>
      <c r="W194" s="17"/>
      <c r="X194" s="17"/>
      <c r="Y194" s="17"/>
      <c r="Z194" t="str">
        <f>IFERROR(INDEX(הגדרות!$B$2:$B$17,MATCH(H194,הגדרות!$A$2:$A$17,0)),"")</f>
        <v>ימי</v>
      </c>
      <c r="AA194">
        <f>IFERROR(INDEX(הגדרות!$C$2:$C$17,MATCH(H194,הגדרות!$A$2:$A$17,0)),"")</f>
        <v>0</v>
      </c>
      <c r="AB194" t="str">
        <f>IFERROR(INDEX(הגדרות!$B$2:$B$17,MATCH(I194,הגדרות!$A$2:$A$17,0)),"")</f>
        <v/>
      </c>
      <c r="AC194" t="str">
        <f>IFERROR(INDEX(הגדרות!$C$2:$C$17,MATCH(I194,הגדרות!$A$2:$A$17,0)),"")</f>
        <v/>
      </c>
      <c r="AD194" t="e">
        <f>IF(AND(מלאי!D328&lt;&gt;"",OR(#REF!="הכל",מלאי!Z328=#REF!,מלאי!AA328=#REF!,מלאי!AB328=#REF!,מלאי!AC328=#REF!),OR(#REF!="הכל",מלאי!A328=#REF!),OR(#REF!="הכל",מלאי!B328=#REF!),OR(#REF!="הכל",מלאי!F328=#REF!,מלאי!G328=#REF!),OR(#REF!="הכל",מלאי!T328=#REF!),OR(#REF!="הכל",מלאי!Q328=#REF!),OR(#REF!="הכל",מלאי!J328=#REF!),OR(#REF!="הכל",מלאי!L328=#REF!),OR(#REF!="הכל",מלאי!O328=#REF!),OR(#REF!="הכל",מלאי!R328=#REF!),OR(#REF!="הכל",#REF!="",מלאי!W328=#REF!),OR(#REF!="הכל",#REF!="",ISNUMBER(SEARCH(#REF!,מלאי!C328)))),1,0)</f>
        <v>#REF!</v>
      </c>
      <c r="AE194" t="e">
        <f>IF(AND(מלאי!D328&lt;&gt;"",OR(#REF!="הכל",מלאי!Z328=#REF!,מלאי!AA328=#REF!,מלאי!AB328=#REF!,מלאי!AC328=#REF!),OR(#REF!="הכל",מלאי!A328=#REF!),OR(#REF!="הכל",מלאי!B328=#REF!),OR(#REF!="הכל",מלאי!F328=#REF!,מלאי!G328=#REF!),OR(#REF!="הכל",מלאי!T328=#REF!),OR(#REF!="הכל",מלאי!Q328=#REF!),OR(#REF!="הכל",מלאי!J328=#REF!),OR(#REF!="הכל",מלאי!L328=#REF!),OR(#REF!="הכל",מלאי!O328=#REF!),OR(#REF!="הכל",מלאי!R328=#REF!),OR(#REF!="הכל",#REF!="",מלאי!W328=#REF!),OR(#REF!="הכל",#REF!="",ISNUMBER(SEARCH(#REF!,מלאי!C328))),OR(#REF!="הכל",מלאי!#REF!=#REF!)),1,0)</f>
        <v>#REF!</v>
      </c>
      <c r="AF194" t="e">
        <f>IF(AD194=1,COUNTIF($AD$3:$AD194,1),"")</f>
        <v>#REF!</v>
      </c>
      <c r="AG194" t="e">
        <f>IF(AE194=1,COUNTIF($AE$3:$AE194,1),"")</f>
        <v>#REF!</v>
      </c>
    </row>
    <row r="195" spans="1:33" ht="15" customHeight="1" x14ac:dyDescent="0.35">
      <c r="A195" s="17" t="s">
        <v>144</v>
      </c>
      <c r="B195" s="17" t="s">
        <v>202</v>
      </c>
      <c r="C195" s="18" t="s">
        <v>484</v>
      </c>
      <c r="D195" s="17" t="s">
        <v>485</v>
      </c>
      <c r="E195" s="17">
        <f>IFERROR(INDEX(הגדרות!$I$2:$I$47,MATCH(B195,הגדרות!$H$2:$H$47,0)),"")</f>
        <v>0</v>
      </c>
      <c r="F195" s="18" t="s">
        <v>311</v>
      </c>
      <c r="G195" s="17"/>
      <c r="H195" s="17" t="s">
        <v>72</v>
      </c>
      <c r="I195" s="17"/>
      <c r="J195" s="17" t="s">
        <v>40</v>
      </c>
      <c r="K195" s="17"/>
      <c r="L195" s="17"/>
      <c r="M195" s="17"/>
      <c r="N195" s="17"/>
      <c r="O195" s="17"/>
      <c r="P195" s="17" t="s">
        <v>486</v>
      </c>
      <c r="Q195" s="17"/>
      <c r="R195" s="17"/>
      <c r="S195" s="17"/>
      <c r="T195" s="17" t="s">
        <v>41</v>
      </c>
      <c r="U195" s="17"/>
      <c r="V195" s="17"/>
      <c r="W195" s="17"/>
      <c r="X195" s="17"/>
      <c r="Y195" s="17"/>
      <c r="Z195" t="str">
        <f>IFERROR(INDEX(הגדרות!$B$2:$B$17,MATCH(H195,הגדרות!$A$2:$A$17,0)),"")</f>
        <v>מיוער</v>
      </c>
      <c r="AA195">
        <f>IFERROR(INDEX(הגדרות!$C$2:$C$17,MATCH(H195,הגדרות!$A$2:$A$17,0)),"")</f>
        <v>0</v>
      </c>
      <c r="AB195" t="str">
        <f>IFERROR(INDEX(הגדרות!$B$2:$B$17,MATCH(I195,הגדרות!$A$2:$A$17,0)),"")</f>
        <v/>
      </c>
      <c r="AC195" t="str">
        <f>IFERROR(INDEX(הגדרות!$C$2:$C$17,MATCH(I195,הגדרות!$A$2:$A$17,0)),"")</f>
        <v/>
      </c>
      <c r="AD195" t="e">
        <f>IF(AND(מלאי!D329&lt;&gt;"",OR(#REF!="הכל",מלאי!Z329=#REF!,מלאי!AA329=#REF!,מלאי!AB329=#REF!,מלאי!AC329=#REF!),OR(#REF!="הכל",מלאי!A329=#REF!),OR(#REF!="הכל",מלאי!B329=#REF!),OR(#REF!="הכל",מלאי!F329=#REF!,מלאי!G329=#REF!),OR(#REF!="הכל",מלאי!T329=#REF!),OR(#REF!="הכל",מלאי!Q329=#REF!),OR(#REF!="הכל",מלאי!J329=#REF!),OR(#REF!="הכל",מלאי!L329=#REF!),OR(#REF!="הכל",מלאי!O329=#REF!),OR(#REF!="הכל",מלאי!R329=#REF!),OR(#REF!="הכל",#REF!="",מלאי!W329=#REF!),OR(#REF!="הכל",#REF!="",ISNUMBER(SEARCH(#REF!,מלאי!C329)))),1,0)</f>
        <v>#REF!</v>
      </c>
      <c r="AE195" t="e">
        <f>IF(AND(מלאי!D329&lt;&gt;"",OR(#REF!="הכל",מלאי!Z329=#REF!,מלאי!AA329=#REF!,מלאי!AB329=#REF!,מלאי!AC329=#REF!),OR(#REF!="הכל",מלאי!A329=#REF!),OR(#REF!="הכל",מלאי!B329=#REF!),OR(#REF!="הכל",מלאי!F329=#REF!,מלאי!G329=#REF!),OR(#REF!="הכל",מלאי!T329=#REF!),OR(#REF!="הכל",מלאי!Q329=#REF!),OR(#REF!="הכל",מלאי!J329=#REF!),OR(#REF!="הכל",מלאי!L329=#REF!),OR(#REF!="הכל",מלאי!O329=#REF!),OR(#REF!="הכל",מלאי!R329=#REF!),OR(#REF!="הכל",#REF!="",מלאי!W329=#REF!),OR(#REF!="הכל",#REF!="",ISNUMBER(SEARCH(#REF!,מלאי!C329))),OR(#REF!="הכל",מלאי!#REF!=#REF!)),1,0)</f>
        <v>#REF!</v>
      </c>
      <c r="AF195" t="e">
        <f>IF(AD195=1,COUNTIF($AD$3:$AD195,1),"")</f>
        <v>#REF!</v>
      </c>
      <c r="AG195" t="e">
        <f>IF(AE195=1,COUNTIF($AE$3:$AE195,1),"")</f>
        <v>#REF!</v>
      </c>
    </row>
    <row r="196" spans="1:33" ht="15" customHeight="1" x14ac:dyDescent="0.35">
      <c r="A196" s="17" t="s">
        <v>144</v>
      </c>
      <c r="B196" s="17" t="s">
        <v>203</v>
      </c>
      <c r="C196" s="18" t="s">
        <v>484</v>
      </c>
      <c r="D196" s="17" t="s">
        <v>488</v>
      </c>
      <c r="E196" s="17">
        <f>IFERROR(INDEX(הגדרות!$I$2:$I$47,MATCH(B196,הגדרות!$H$2:$H$47,0)),"")</f>
        <v>0</v>
      </c>
      <c r="F196" s="18" t="s">
        <v>311</v>
      </c>
      <c r="G196" s="17"/>
      <c r="H196" s="17" t="s">
        <v>72</v>
      </c>
      <c r="I196" s="17"/>
      <c r="J196" s="17" t="s">
        <v>40</v>
      </c>
      <c r="K196" s="17"/>
      <c r="L196" s="17"/>
      <c r="M196" s="17"/>
      <c r="N196" s="17"/>
      <c r="O196" s="17"/>
      <c r="P196" s="17" t="s">
        <v>487</v>
      </c>
      <c r="Q196" s="17"/>
      <c r="R196" s="17"/>
      <c r="S196" s="17"/>
      <c r="T196" s="17" t="s">
        <v>41</v>
      </c>
      <c r="U196" s="17"/>
      <c r="V196" s="17"/>
      <c r="W196" s="17"/>
      <c r="X196" s="17"/>
      <c r="Y196" s="17"/>
      <c r="Z196" t="str">
        <f>IFERROR(INDEX(הגדרות!$B$2:$B$17,MATCH(H196,הגדרות!$A$2:$A$17,0)),"")</f>
        <v>מיוער</v>
      </c>
      <c r="AA196">
        <f>IFERROR(INDEX(הגדרות!$C$2:$C$17,MATCH(H196,הגדרות!$A$2:$A$17,0)),"")</f>
        <v>0</v>
      </c>
      <c r="AB196" t="str">
        <f>IFERROR(INDEX(הגדרות!$B$2:$B$17,MATCH(I196,הגדרות!$A$2:$A$17,0)),"")</f>
        <v/>
      </c>
      <c r="AC196" t="str">
        <f>IFERROR(INDEX(הגדרות!$C$2:$C$17,MATCH(I196,הגדרות!$A$2:$A$17,0)),"")</f>
        <v/>
      </c>
      <c r="AD196" t="e">
        <f>IF(AND(מלאי!D330&lt;&gt;"",OR(#REF!="הכל",מלאי!Z330=#REF!,מלאי!AA330=#REF!,מלאי!AB330=#REF!,מלאי!AC330=#REF!),OR(#REF!="הכל",מלאי!A330=#REF!),OR(#REF!="הכל",מלאי!B330=#REF!),OR(#REF!="הכל",מלאי!F330=#REF!,מלאי!G330=#REF!),OR(#REF!="הכל",מלאי!T330=#REF!),OR(#REF!="הכל",מלאי!Q330=#REF!),OR(#REF!="הכל",מלאי!J330=#REF!),OR(#REF!="הכל",מלאי!L330=#REF!),OR(#REF!="הכל",מלאי!O330=#REF!),OR(#REF!="הכל",מלאי!R330=#REF!),OR(#REF!="הכל",#REF!="",מלאי!W330=#REF!),OR(#REF!="הכל",#REF!="",ISNUMBER(SEARCH(#REF!,מלאי!C330)))),1,0)</f>
        <v>#REF!</v>
      </c>
      <c r="AE196" t="e">
        <f>IF(AND(מלאי!D330&lt;&gt;"",OR(#REF!="הכל",מלאי!Z330=#REF!,מלאי!AA330=#REF!,מלאי!AB330=#REF!,מלאי!AC330=#REF!),OR(#REF!="הכל",מלאי!A330=#REF!),OR(#REF!="הכל",מלאי!B330=#REF!),OR(#REF!="הכל",מלאי!F330=#REF!,מלאי!G330=#REF!),OR(#REF!="הכל",מלאי!T330=#REF!),OR(#REF!="הכל",מלאי!Q330=#REF!),OR(#REF!="הכל",מלאי!J330=#REF!),OR(#REF!="הכל",מלאי!L330=#REF!),OR(#REF!="הכל",מלאי!O330=#REF!),OR(#REF!="הכל",מלאי!R330=#REF!),OR(#REF!="הכל",#REF!="",מלאי!W330=#REF!),OR(#REF!="הכל",#REF!="",ISNUMBER(SEARCH(#REF!,מלאי!C330))),OR(#REF!="הכל",מלאי!#REF!=#REF!)),1,0)</f>
        <v>#REF!</v>
      </c>
      <c r="AF196" t="e">
        <f>IF(AD196=1,COUNTIF($AD$3:$AD196,1),"")</f>
        <v>#REF!</v>
      </c>
      <c r="AG196" t="e">
        <f>IF(AE196=1,COUNTIF($AE$3:$AE196,1),"")</f>
        <v>#REF!</v>
      </c>
    </row>
    <row r="197" spans="1:33" ht="15" customHeight="1" x14ac:dyDescent="0.35">
      <c r="A197" s="17" t="s">
        <v>144</v>
      </c>
      <c r="B197" s="17" t="s">
        <v>202</v>
      </c>
      <c r="C197" s="18" t="s">
        <v>484</v>
      </c>
      <c r="D197" s="17" t="s">
        <v>490</v>
      </c>
      <c r="E197" s="17">
        <f>IFERROR(INDEX(הגדרות!$I$2:$I$47,MATCH(B197,הגדרות!$H$2:$H$47,0)),"")</f>
        <v>0</v>
      </c>
      <c r="F197" s="18" t="s">
        <v>311</v>
      </c>
      <c r="G197" s="17"/>
      <c r="H197" s="17" t="s">
        <v>72</v>
      </c>
      <c r="I197" s="17"/>
      <c r="J197" s="17" t="s">
        <v>40</v>
      </c>
      <c r="K197" s="17"/>
      <c r="L197" s="17"/>
      <c r="M197" s="17"/>
      <c r="N197" s="17"/>
      <c r="O197" s="17"/>
      <c r="P197" s="17" t="s">
        <v>486</v>
      </c>
      <c r="Q197" s="17"/>
      <c r="R197" s="17"/>
      <c r="S197" s="17"/>
      <c r="T197" s="17" t="s">
        <v>41</v>
      </c>
      <c r="U197" s="17"/>
      <c r="V197" s="17"/>
      <c r="W197" s="17"/>
      <c r="X197" s="17"/>
      <c r="Y197" s="17"/>
      <c r="Z197" t="str">
        <f>IFERROR(INDEX(הגדרות!$B$2:$B$17,MATCH(H197,הגדרות!$A$2:$A$17,0)),"")</f>
        <v>מיוער</v>
      </c>
      <c r="AA197">
        <f>IFERROR(INDEX(הגדרות!$C$2:$C$17,MATCH(H197,הגדרות!$A$2:$A$17,0)),"")</f>
        <v>0</v>
      </c>
      <c r="AB197" t="str">
        <f>IFERROR(INDEX(הגדרות!$B$2:$B$17,MATCH(I197,הגדרות!$A$2:$A$17,0)),"")</f>
        <v/>
      </c>
      <c r="AC197" t="str">
        <f>IFERROR(INDEX(הגדרות!$C$2:$C$17,MATCH(I197,הגדרות!$A$2:$A$17,0)),"")</f>
        <v/>
      </c>
      <c r="AD197" t="e">
        <f>IF(AND(מלאי!D331&lt;&gt;"",OR(#REF!="הכל",מלאי!Z331=#REF!,מלאי!AA331=#REF!,מלאי!AB331=#REF!,מלאי!AC331=#REF!),OR(#REF!="הכל",מלאי!A331=#REF!),OR(#REF!="הכל",מלאי!B331=#REF!),OR(#REF!="הכל",מלאי!F331=#REF!,מלאי!G331=#REF!),OR(#REF!="הכל",מלאי!T331=#REF!),OR(#REF!="הכל",מלאי!Q331=#REF!),OR(#REF!="הכל",מלאי!J331=#REF!),OR(#REF!="הכל",מלאי!L331=#REF!),OR(#REF!="הכל",מלאי!O331=#REF!),OR(#REF!="הכל",מלאי!R331=#REF!),OR(#REF!="הכל",#REF!="",מלאי!W331=#REF!),OR(#REF!="הכל",#REF!="",ISNUMBER(SEARCH(#REF!,מלאי!C331)))),1,0)</f>
        <v>#REF!</v>
      </c>
      <c r="AE197" t="e">
        <f>IF(AND(מלאי!D331&lt;&gt;"",OR(#REF!="הכל",מלאי!Z331=#REF!,מלאי!AA331=#REF!,מלאי!AB331=#REF!,מלאי!AC331=#REF!),OR(#REF!="הכל",מלאי!A331=#REF!),OR(#REF!="הכל",מלאי!B331=#REF!),OR(#REF!="הכל",מלאי!F331=#REF!,מלאי!G331=#REF!),OR(#REF!="הכל",מלאי!T331=#REF!),OR(#REF!="הכל",מלאי!Q331=#REF!),OR(#REF!="הכל",מלאי!J331=#REF!),OR(#REF!="הכל",מלאי!L331=#REF!),OR(#REF!="הכל",מלאי!O331=#REF!),OR(#REF!="הכל",מלאי!R331=#REF!),OR(#REF!="הכל",#REF!="",מלאי!W331=#REF!),OR(#REF!="הכל",#REF!="",ISNUMBER(SEARCH(#REF!,מלאי!C331))),OR(#REF!="הכל",מלאי!#REF!=#REF!)),1,0)</f>
        <v>#REF!</v>
      </c>
      <c r="AF197" t="e">
        <f>IF(AD197=1,COUNTIF($AD$3:$AD197,1),"")</f>
        <v>#REF!</v>
      </c>
      <c r="AG197" t="e">
        <f>IF(AE197=1,COUNTIF($AE$3:$AE197,1),"")</f>
        <v>#REF!</v>
      </c>
    </row>
    <row r="198" spans="1:33" ht="15" customHeight="1" x14ac:dyDescent="0.35">
      <c r="A198" s="17" t="s">
        <v>144</v>
      </c>
      <c r="B198" s="17" t="s">
        <v>203</v>
      </c>
      <c r="C198" s="18" t="s">
        <v>484</v>
      </c>
      <c r="D198" s="17" t="s">
        <v>491</v>
      </c>
      <c r="E198" s="17">
        <f>IFERROR(INDEX(הגדרות!$I$2:$I$47,MATCH(B198,הגדרות!$H$2:$H$47,0)),"")</f>
        <v>0</v>
      </c>
      <c r="F198" s="18" t="s">
        <v>311</v>
      </c>
      <c r="G198" s="17"/>
      <c r="H198" s="17" t="s">
        <v>72</v>
      </c>
      <c r="I198" s="17"/>
      <c r="J198" s="17" t="s">
        <v>40</v>
      </c>
      <c r="K198" s="17"/>
      <c r="L198" s="17"/>
      <c r="M198" s="17"/>
      <c r="N198" s="17"/>
      <c r="O198" s="17"/>
      <c r="P198" s="17" t="s">
        <v>487</v>
      </c>
      <c r="Q198" s="17"/>
      <c r="R198" s="17"/>
      <c r="S198" s="17"/>
      <c r="T198" s="17" t="s">
        <v>41</v>
      </c>
      <c r="U198" s="17"/>
      <c r="V198" s="17"/>
      <c r="W198" s="17"/>
      <c r="X198" s="17"/>
      <c r="Y198" s="17"/>
      <c r="Z198" t="str">
        <f>IFERROR(INDEX(הגדרות!$B$2:$B$17,MATCH(H198,הגדרות!$A$2:$A$17,0)),"")</f>
        <v>מיוער</v>
      </c>
      <c r="AA198">
        <f>IFERROR(INDEX(הגדרות!$C$2:$C$17,MATCH(H198,הגדרות!$A$2:$A$17,0)),"")</f>
        <v>0</v>
      </c>
      <c r="AB198" t="str">
        <f>IFERROR(INDEX(הגדרות!$B$2:$B$17,MATCH(I198,הגדרות!$A$2:$A$17,0)),"")</f>
        <v/>
      </c>
      <c r="AC198" t="str">
        <f>IFERROR(INDEX(הגדרות!$C$2:$C$17,MATCH(I198,הגדרות!$A$2:$A$17,0)),"")</f>
        <v/>
      </c>
      <c r="AD198" t="e">
        <f>IF(AND(מלאי!D332&lt;&gt;"",OR(#REF!="הכל",מלאי!Z332=#REF!,מלאי!AA332=#REF!,מלאי!AB332=#REF!,מלאי!AC332=#REF!),OR(#REF!="הכל",מלאי!A332=#REF!),OR(#REF!="הכל",מלאי!B332=#REF!),OR(#REF!="הכל",מלאי!F332=#REF!,מלאי!G332=#REF!),OR(#REF!="הכל",מלאי!T332=#REF!),OR(#REF!="הכל",מלאי!Q332=#REF!),OR(#REF!="הכל",מלאי!J332=#REF!),OR(#REF!="הכל",מלאי!L332=#REF!),OR(#REF!="הכל",מלאי!O332=#REF!),OR(#REF!="הכל",מלאי!R332=#REF!),OR(#REF!="הכל",#REF!="",מלאי!W332=#REF!),OR(#REF!="הכל",#REF!="",ISNUMBER(SEARCH(#REF!,מלאי!C332)))),1,0)</f>
        <v>#REF!</v>
      </c>
      <c r="AE198" t="e">
        <f>IF(AND(מלאי!D332&lt;&gt;"",OR(#REF!="הכל",מלאי!Z332=#REF!,מלאי!AA332=#REF!,מלאי!AB332=#REF!,מלאי!AC332=#REF!),OR(#REF!="הכל",מלאי!A332=#REF!),OR(#REF!="הכל",מלאי!B332=#REF!),OR(#REF!="הכל",מלאי!F332=#REF!,מלאי!G332=#REF!),OR(#REF!="הכל",מלאי!T332=#REF!),OR(#REF!="הכל",מלאי!Q332=#REF!),OR(#REF!="הכל",מלאי!J332=#REF!),OR(#REF!="הכל",מלאי!L332=#REF!),OR(#REF!="הכל",מלאי!O332=#REF!),OR(#REF!="הכל",מלאי!R332=#REF!),OR(#REF!="הכל",#REF!="",מלאי!W332=#REF!),OR(#REF!="הכל",#REF!="",ISNUMBER(SEARCH(#REF!,מלאי!C332))),OR(#REF!="הכל",מלאי!#REF!=#REF!)),1,0)</f>
        <v>#REF!</v>
      </c>
      <c r="AF198" t="e">
        <f>IF(AD198=1,COUNTIF($AD$3:$AD198,1),"")</f>
        <v>#REF!</v>
      </c>
      <c r="AG198" t="e">
        <f>IF(AE198=1,COUNTIF($AE$3:$AE198,1),"")</f>
        <v>#REF!</v>
      </c>
    </row>
    <row r="199" spans="1:33" ht="15" customHeight="1" x14ac:dyDescent="0.35">
      <c r="A199" s="17" t="s">
        <v>144</v>
      </c>
      <c r="B199" s="17" t="s">
        <v>196</v>
      </c>
      <c r="C199" s="18" t="s">
        <v>327</v>
      </c>
      <c r="D199" s="17" t="s">
        <v>492</v>
      </c>
      <c r="E199" s="17" t="str">
        <f>IFERROR(INDEX(הגדרות!$I$2:$I$47,MATCH(B199,הגדרות!$H$2:$H$47,0)),"")</f>
        <v>8030-00</v>
      </c>
      <c r="F199" s="18" t="s">
        <v>311</v>
      </c>
      <c r="G199" s="17"/>
      <c r="H199" s="17" t="s">
        <v>72</v>
      </c>
      <c r="I199" s="17"/>
      <c r="J199" s="17" t="s">
        <v>40</v>
      </c>
      <c r="K199" s="17"/>
      <c r="L199" s="17"/>
      <c r="M199" s="17"/>
      <c r="N199" s="17"/>
      <c r="O199" s="17"/>
      <c r="P199" s="17"/>
      <c r="Q199" s="17"/>
      <c r="R199" s="17"/>
      <c r="S199" s="17"/>
      <c r="T199" s="17" t="s">
        <v>41</v>
      </c>
      <c r="U199" s="17"/>
      <c r="V199" s="17"/>
      <c r="W199" s="17"/>
      <c r="X199" s="17"/>
      <c r="Y199" s="17"/>
      <c r="Z199" t="str">
        <f>IFERROR(INDEX(הגדרות!$B$2:$B$17,MATCH(H199,הגדרות!$A$2:$A$17,0)),"")</f>
        <v>מיוער</v>
      </c>
      <c r="AA199">
        <f>IFERROR(INDEX(הגדרות!$C$2:$C$17,MATCH(H199,הגדרות!$A$2:$A$17,0)),"")</f>
        <v>0</v>
      </c>
      <c r="AB199" t="str">
        <f>IFERROR(INDEX(הגדרות!$B$2:$B$17,MATCH(I199,הגדרות!$A$2:$A$17,0)),"")</f>
        <v/>
      </c>
      <c r="AC199" t="str">
        <f>IFERROR(INDEX(הגדרות!$C$2:$C$17,MATCH(I199,הגדרות!$A$2:$A$17,0)),"")</f>
        <v/>
      </c>
      <c r="AD199" t="e">
        <f>IF(AND(מלאי!D316&lt;&gt;"",OR(#REF!="הכל",מלאי!Z316=#REF!,מלאי!AA316=#REF!,מלאי!AB316=#REF!,מלאי!AC316=#REF!),OR(#REF!="הכל",מלאי!A316=#REF!),OR(#REF!="הכל",מלאי!B316=#REF!),OR(#REF!="הכל",מלאי!F316=#REF!,מלאי!G316=#REF!),OR(#REF!="הכל",מלאי!T316=#REF!),OR(#REF!="הכל",מלאי!Q316=#REF!),OR(#REF!="הכל",מלאי!J316=#REF!),OR(#REF!="הכל",מלאי!L316=#REF!),OR(#REF!="הכל",מלאי!O316=#REF!),OR(#REF!="הכל",מלאי!R316=#REF!),OR(#REF!="הכל",#REF!="",מלאי!W316=#REF!),OR(#REF!="הכל",#REF!="",ISNUMBER(SEARCH(#REF!,מלאי!C316)))),1,0)</f>
        <v>#REF!</v>
      </c>
      <c r="AE199" t="e">
        <f>IF(AND(מלאי!D316&lt;&gt;"",OR(#REF!="הכל",מלאי!Z316=#REF!,מלאי!AA316=#REF!,מלאי!AB316=#REF!,מלאי!AC316=#REF!),OR(#REF!="הכל",מלאי!A316=#REF!),OR(#REF!="הכל",מלאי!B316=#REF!),OR(#REF!="הכל",מלאי!F316=#REF!,מלאי!G316=#REF!),OR(#REF!="הכל",מלאי!T316=#REF!),OR(#REF!="הכל",מלאי!Q316=#REF!),OR(#REF!="הכל",מלאי!J316=#REF!),OR(#REF!="הכל",מלאי!L316=#REF!),OR(#REF!="הכל",מלאי!O316=#REF!),OR(#REF!="הכל",מלאי!R316=#REF!),OR(#REF!="הכל",#REF!="",מלאי!W316=#REF!),OR(#REF!="הכל",#REF!="",ISNUMBER(SEARCH(#REF!,מלאי!C316))),OR(#REF!="הכל",מלאי!#REF!=#REF!)),1,0)</f>
        <v>#REF!</v>
      </c>
      <c r="AF199" t="e">
        <f>IF(AD199=1,COUNTIF($AD$3:$AD199,1),"")</f>
        <v>#REF!</v>
      </c>
      <c r="AG199" t="e">
        <f>IF(AE199=1,COUNTIF($AE$3:$AE199,1),"")</f>
        <v>#REF!</v>
      </c>
    </row>
    <row r="200" spans="1:33" ht="15" customHeight="1" x14ac:dyDescent="0.35">
      <c r="A200" s="17" t="s">
        <v>144</v>
      </c>
      <c r="B200" s="17" t="s">
        <v>196</v>
      </c>
      <c r="C200" s="18" t="s">
        <v>327</v>
      </c>
      <c r="D200" s="17" t="s">
        <v>493</v>
      </c>
      <c r="E200" s="17" t="str">
        <f>IFERROR(INDEX(הגדרות!$I$2:$I$47,MATCH(B200,הגדרות!$H$2:$H$47,0)),"")</f>
        <v>8030-00</v>
      </c>
      <c r="F200" s="18" t="s">
        <v>311</v>
      </c>
      <c r="G200" s="17"/>
      <c r="H200" s="17" t="s">
        <v>72</v>
      </c>
      <c r="I200" s="17"/>
      <c r="J200" s="17" t="s">
        <v>40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 t="s">
        <v>41</v>
      </c>
      <c r="U200" s="17"/>
      <c r="V200" s="17"/>
      <c r="W200" s="17"/>
      <c r="X200" s="17"/>
      <c r="Y200" s="17"/>
      <c r="Z200" t="str">
        <f>IFERROR(INDEX(הגדרות!$B$2:$B$17,MATCH(H200,הגדרות!$A$2:$A$17,0)),"")</f>
        <v>מיוער</v>
      </c>
      <c r="AA200">
        <f>IFERROR(INDEX(הגדרות!$C$2:$C$17,MATCH(H200,הגדרות!$A$2:$A$17,0)),"")</f>
        <v>0</v>
      </c>
      <c r="AB200" t="str">
        <f>IFERROR(INDEX(הגדרות!$B$2:$B$17,MATCH(I200,הגדרות!$A$2:$A$17,0)),"")</f>
        <v/>
      </c>
      <c r="AC200" t="str">
        <f>IFERROR(INDEX(הגדרות!$C$2:$C$17,MATCH(I200,הגדרות!$A$2:$A$17,0)),"")</f>
        <v/>
      </c>
      <c r="AD200" t="e">
        <f>IF(AND(מלאי!D317&lt;&gt;"",OR(#REF!="הכל",מלאי!Z317=#REF!,מלאי!AA317=#REF!,מלאי!AB317=#REF!,מלאי!AC317=#REF!),OR(#REF!="הכל",מלאי!A317=#REF!),OR(#REF!="הכל",מלאי!B317=#REF!),OR(#REF!="הכל",מלאי!F317=#REF!,מלאי!G317=#REF!),OR(#REF!="הכל",מלאי!T317=#REF!),OR(#REF!="הכל",מלאי!Q317=#REF!),OR(#REF!="הכל",מלאי!J317=#REF!),OR(#REF!="הכל",מלאי!L317=#REF!),OR(#REF!="הכל",מלאי!O317=#REF!),OR(#REF!="הכל",מלאי!R317=#REF!),OR(#REF!="הכל",#REF!="",מלאי!W317=#REF!),OR(#REF!="הכל",#REF!="",ISNUMBER(SEARCH(#REF!,מלאי!C317)))),1,0)</f>
        <v>#REF!</v>
      </c>
      <c r="AE200" t="e">
        <f>IF(AND(מלאי!D317&lt;&gt;"",OR(#REF!="הכל",מלאי!Z317=#REF!,מלאי!AA317=#REF!,מלאי!AB317=#REF!,מלאי!AC317=#REF!),OR(#REF!="הכל",מלאי!A317=#REF!),OR(#REF!="הכל",מלאי!B317=#REF!),OR(#REF!="הכל",מלאי!F317=#REF!,מלאי!G317=#REF!),OR(#REF!="הכל",מלאי!T317=#REF!),OR(#REF!="הכל",מלאי!Q317=#REF!),OR(#REF!="הכל",מלאי!J317=#REF!),OR(#REF!="הכל",מלאי!L317=#REF!),OR(#REF!="הכל",מלאי!O317=#REF!),OR(#REF!="הכל",מלאי!R317=#REF!),OR(#REF!="הכל",#REF!="",מלאי!W317=#REF!),OR(#REF!="הכל",#REF!="",ISNUMBER(SEARCH(#REF!,מלאי!C317))),OR(#REF!="הכל",מלאי!#REF!=#REF!)),1,0)</f>
        <v>#REF!</v>
      </c>
      <c r="AF200" t="e">
        <f>IF(AD200=1,COUNTIF($AD$3:$AD200,1),"")</f>
        <v>#REF!</v>
      </c>
      <c r="AG200" t="e">
        <f>IF(AE200=1,COUNTIF($AE$3:$AE200,1),"")</f>
        <v>#REF!</v>
      </c>
    </row>
    <row r="201" spans="1:33" ht="15" customHeight="1" x14ac:dyDescent="0.35">
      <c r="A201" s="17" t="s">
        <v>144</v>
      </c>
      <c r="B201" s="17" t="s">
        <v>196</v>
      </c>
      <c r="C201" s="18" t="s">
        <v>327</v>
      </c>
      <c r="D201" s="17" t="s">
        <v>493</v>
      </c>
      <c r="E201" s="17" t="str">
        <f>IFERROR(INDEX(הגדרות!$I$2:$I$47,MATCH(B201,הגדרות!$H$2:$H$47,0)),"")</f>
        <v>8030-00</v>
      </c>
      <c r="F201" s="18" t="s">
        <v>311</v>
      </c>
      <c r="G201" s="17"/>
      <c r="H201" s="17" t="s">
        <v>72</v>
      </c>
      <c r="I201" s="17"/>
      <c r="J201" s="17" t="s">
        <v>40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 t="s">
        <v>41</v>
      </c>
      <c r="U201" s="17"/>
      <c r="V201" s="17"/>
      <c r="W201" s="17"/>
      <c r="X201" s="17"/>
      <c r="Y201" s="17"/>
      <c r="Z201" t="str">
        <f>IFERROR(INDEX(הגדרות!$B$2:$B$17,MATCH(H201,הגדרות!$A$2:$A$17,0)),"")</f>
        <v>מיוער</v>
      </c>
      <c r="AA201">
        <f>IFERROR(INDEX(הגדרות!$C$2:$C$17,MATCH(H201,הגדרות!$A$2:$A$17,0)),"")</f>
        <v>0</v>
      </c>
      <c r="AB201" t="str">
        <f>IFERROR(INDEX(הגדרות!$B$2:$B$17,MATCH(I201,הגדרות!$A$2:$A$17,0)),"")</f>
        <v/>
      </c>
      <c r="AC201" t="str">
        <f>IFERROR(INDEX(הגדרות!$C$2:$C$17,MATCH(I201,הגדרות!$A$2:$A$17,0)),"")</f>
        <v/>
      </c>
      <c r="AD201" t="e">
        <f>IF(AND(מלאי!D318&lt;&gt;"",OR(#REF!="הכל",מלאי!Z318=#REF!,מלאי!AA318=#REF!,מלאי!AB318=#REF!,מלאי!AC318=#REF!),OR(#REF!="הכל",מלאי!A318=#REF!),OR(#REF!="הכל",מלאי!B318=#REF!),OR(#REF!="הכל",מלאי!F318=#REF!,מלאי!G318=#REF!),OR(#REF!="הכל",מלאי!T318=#REF!),OR(#REF!="הכל",מלאי!Q318=#REF!),OR(#REF!="הכל",מלאי!J318=#REF!),OR(#REF!="הכל",מלאי!L318=#REF!),OR(#REF!="הכל",מלאי!O318=#REF!),OR(#REF!="הכל",מלאי!R318=#REF!),OR(#REF!="הכל",#REF!="",מלאי!W318=#REF!),OR(#REF!="הכל",#REF!="",ISNUMBER(SEARCH(#REF!,מלאי!C318)))),1,0)</f>
        <v>#REF!</v>
      </c>
      <c r="AE201" t="e">
        <f>IF(AND(מלאי!D318&lt;&gt;"",OR(#REF!="הכל",מלאי!Z318=#REF!,מלאי!AA318=#REF!,מלאי!AB318=#REF!,מלאי!AC318=#REF!),OR(#REF!="הכל",מלאי!A318=#REF!),OR(#REF!="הכל",מלאי!B318=#REF!),OR(#REF!="הכל",מלאי!F318=#REF!,מלאי!G318=#REF!),OR(#REF!="הכל",מלאי!T318=#REF!),OR(#REF!="הכל",מלאי!Q318=#REF!),OR(#REF!="הכל",מלאי!J318=#REF!),OR(#REF!="הכל",מלאי!L318=#REF!),OR(#REF!="הכל",מלאי!O318=#REF!),OR(#REF!="הכל",מלאי!R318=#REF!),OR(#REF!="הכל",#REF!="",מלאי!W318=#REF!),OR(#REF!="הכל",#REF!="",ISNUMBER(SEARCH(#REF!,מלאי!C318))),OR(#REF!="הכל",מלאי!#REF!=#REF!)),1,0)</f>
        <v>#REF!</v>
      </c>
      <c r="AF201" t="e">
        <f>IF(AD201=1,COUNTIF($AD$3:$AD201,1),"")</f>
        <v>#REF!</v>
      </c>
      <c r="AG201" t="e">
        <f>IF(AE201=1,COUNTIF($AE$3:$AE201,1),"")</f>
        <v>#REF!</v>
      </c>
    </row>
    <row r="202" spans="1:33" ht="15" customHeight="1" x14ac:dyDescent="0.35">
      <c r="A202" s="17" t="s">
        <v>144</v>
      </c>
      <c r="B202" s="17" t="s">
        <v>196</v>
      </c>
      <c r="C202" s="18" t="s">
        <v>327</v>
      </c>
      <c r="D202" s="17" t="s">
        <v>494</v>
      </c>
      <c r="E202" s="17" t="str">
        <f>IFERROR(INDEX(הגדרות!$I$2:$I$47,MATCH(B202,הגדרות!$H$2:$H$47,0)),"")</f>
        <v>8030-00</v>
      </c>
      <c r="F202" s="18" t="s">
        <v>311</v>
      </c>
      <c r="G202" s="17"/>
      <c r="H202" s="17" t="s">
        <v>72</v>
      </c>
      <c r="I202" s="17"/>
      <c r="J202" s="17" t="s">
        <v>40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 t="s">
        <v>41</v>
      </c>
      <c r="U202" s="17"/>
      <c r="V202" s="17"/>
      <c r="W202" s="17"/>
      <c r="X202" s="17"/>
      <c r="Y202" s="17"/>
      <c r="Z202" t="str">
        <f>IFERROR(INDEX(הגדרות!$B$2:$B$17,MATCH(H202,הגדרות!$A$2:$A$17,0)),"")</f>
        <v>מיוער</v>
      </c>
      <c r="AA202">
        <f>IFERROR(INDEX(הגדרות!$C$2:$C$17,MATCH(H202,הגדרות!$A$2:$A$17,0)),"")</f>
        <v>0</v>
      </c>
      <c r="AB202" t="str">
        <f>IFERROR(INDEX(הגדרות!$B$2:$B$17,MATCH(I202,הגדרות!$A$2:$A$17,0)),"")</f>
        <v/>
      </c>
      <c r="AC202" t="str">
        <f>IFERROR(INDEX(הגדרות!$C$2:$C$17,MATCH(I202,הגדרות!$A$2:$A$17,0)),"")</f>
        <v/>
      </c>
      <c r="AD202" t="e">
        <f>IF(AND(מלאי!D319&lt;&gt;"",OR(#REF!="הכל",מלאי!Z319=#REF!,מלאי!AA319=#REF!,מלאי!AB319=#REF!,מלאי!AC319=#REF!),OR(#REF!="הכל",מלאי!A319=#REF!),OR(#REF!="הכל",מלאי!B319=#REF!),OR(#REF!="הכל",מלאי!F319=#REF!,מלאי!G319=#REF!),OR(#REF!="הכל",מלאי!T319=#REF!),OR(#REF!="הכל",מלאי!Q319=#REF!),OR(#REF!="הכל",מלאי!J319=#REF!),OR(#REF!="הכל",מלאי!L319=#REF!),OR(#REF!="הכל",מלאי!O319=#REF!),OR(#REF!="הכל",מלאי!R319=#REF!),OR(#REF!="הכל",#REF!="",מלאי!W319=#REF!),OR(#REF!="הכל",#REF!="",ISNUMBER(SEARCH(#REF!,מלאי!C319)))),1,0)</f>
        <v>#REF!</v>
      </c>
      <c r="AE202" t="e">
        <f>IF(AND(מלאי!D319&lt;&gt;"",OR(#REF!="הכל",מלאי!Z319=#REF!,מלאי!AA319=#REF!,מלאי!AB319=#REF!,מלאי!AC319=#REF!),OR(#REF!="הכל",מלאי!A319=#REF!),OR(#REF!="הכל",מלאי!B319=#REF!),OR(#REF!="הכל",מלאי!F319=#REF!,מלאי!G319=#REF!),OR(#REF!="הכל",מלאי!T319=#REF!),OR(#REF!="הכל",מלאי!Q319=#REF!),OR(#REF!="הכל",מלאי!J319=#REF!),OR(#REF!="הכל",מלאי!L319=#REF!),OR(#REF!="הכל",מלאי!O319=#REF!),OR(#REF!="הכל",מלאי!R319=#REF!),OR(#REF!="הכל",#REF!="",מלאי!W319=#REF!),OR(#REF!="הכל",#REF!="",ISNUMBER(SEARCH(#REF!,מלאי!C319))),OR(#REF!="הכל",מלאי!#REF!=#REF!)),1,0)</f>
        <v>#REF!</v>
      </c>
      <c r="AF202" t="e">
        <f>IF(AD202=1,COUNTIF($AD$3:$AD202,1),"")</f>
        <v>#REF!</v>
      </c>
      <c r="AG202" t="e">
        <f>IF(AE202=1,COUNTIF($AE$3:$AE202,1),"")</f>
        <v>#REF!</v>
      </c>
    </row>
    <row r="203" spans="1:33" ht="15" hidden="1" customHeight="1" x14ac:dyDescent="0.35">
      <c r="A203" s="4" t="s">
        <v>159</v>
      </c>
      <c r="B203" s="4" t="s">
        <v>222</v>
      </c>
      <c r="C203" s="4"/>
      <c r="D203" s="4" t="s">
        <v>495</v>
      </c>
      <c r="E203" s="4" t="str">
        <f>IFERROR(INDEX(הגדרות!$I$2:$I$47,MATCH(B203,הגדרות!$H$2:$H$47,0)),"")</f>
        <v>7009-01</v>
      </c>
      <c r="F203" s="4" t="s">
        <v>37</v>
      </c>
      <c r="G203" s="4"/>
      <c r="H203" s="4" t="s">
        <v>83</v>
      </c>
      <c r="I203" s="4" t="s">
        <v>72</v>
      </c>
      <c r="J203" s="4" t="s">
        <v>40</v>
      </c>
      <c r="K203" s="4" t="s">
        <v>40</v>
      </c>
      <c r="L203" s="4" t="s">
        <v>2</v>
      </c>
      <c r="M203" s="4" t="s">
        <v>2</v>
      </c>
      <c r="N203" s="4"/>
      <c r="O203" s="4"/>
      <c r="P203" s="4"/>
      <c r="Q203" s="4"/>
      <c r="R203" s="4"/>
      <c r="S203" s="4"/>
      <c r="T203" s="17" t="s">
        <v>41</v>
      </c>
      <c r="U203" s="4"/>
      <c r="V203" s="4"/>
      <c r="W203" s="4"/>
      <c r="X203" s="4"/>
      <c r="Y203" s="4"/>
      <c r="Z203" t="str">
        <f>IFERROR(INDEX(הגדרות!$B$2:$B$17,MATCH(H203,הגדרות!$A$2:$A$17,0)),"")</f>
        <v>מיוער</v>
      </c>
      <c r="AA203">
        <f>IFERROR(INDEX(הגדרות!$C$2:$C$17,MATCH(H203,הגדרות!$A$2:$A$17,0)),"")</f>
        <v>0</v>
      </c>
      <c r="AB203" t="str">
        <f>IFERROR(INDEX(הגדרות!$B$2:$B$17,MATCH(I203,הגדרות!$A$2:$A$17,0)),"")</f>
        <v>מיוער</v>
      </c>
      <c r="AC203">
        <f>IFERROR(INDEX(הגדרות!$C$2:$C$17,MATCH(I203,הגדרות!$A$2:$A$17,0)),"")</f>
        <v>0</v>
      </c>
      <c r="AD203" t="e">
        <f>IF(AND(מלאי!D203&lt;&gt;"",OR(#REF!="הכל",מלאי!Z203=#REF!,מלאי!AA203=#REF!,מלאי!AB203=#REF!,מלאי!AC203=#REF!),OR(#REF!="הכל",מלאי!A203=#REF!),OR(#REF!="הכל",מלאי!B203=#REF!),OR(#REF!="הכל",מלאי!F203=#REF!,מלאי!G203=#REF!),OR(#REF!="הכל",מלאי!T203=#REF!),OR(#REF!="הכל",מלאי!Q203=#REF!),OR(#REF!="הכל",מלאי!J203=#REF!),OR(#REF!="הכל",מלאי!L203=#REF!),OR(#REF!="הכל",מלאי!O203=#REF!),OR(#REF!="הכל",מלאי!R203=#REF!),OR(#REF!="הכל",#REF!="",מלאי!W203=#REF!),OR(#REF!="הכל",#REF!="",ISNUMBER(SEARCH(#REF!,מלאי!C203)))),1,0)</f>
        <v>#REF!</v>
      </c>
      <c r="AE203" t="e">
        <f>IF(AND(מלאי!D203&lt;&gt;"",OR(#REF!="הכל",מלאי!Z203=#REF!,מלאי!AA203=#REF!,מלאי!AB203=#REF!,מלאי!AC203=#REF!),OR(#REF!="הכל",מלאי!A203=#REF!),OR(#REF!="הכל",מלאי!B203=#REF!),OR(#REF!="הכל",מלאי!F203=#REF!,מלאי!G203=#REF!),OR(#REF!="הכל",מלאי!T203=#REF!),OR(#REF!="הכל",מלאי!Q203=#REF!),OR(#REF!="הכל",מלאי!J203=#REF!),OR(#REF!="הכל",מלאי!L203=#REF!),OR(#REF!="הכל",מלאי!O203=#REF!),OR(#REF!="הכל",מלאי!R203=#REF!),OR(#REF!="הכל",#REF!="",מלאי!W203=#REF!),OR(#REF!="הכל",#REF!="",ISNUMBER(SEARCH(#REF!,מלאי!C203))),OR(#REF!="הכל",מלאי!#REF!=#REF!)),1,0)</f>
        <v>#REF!</v>
      </c>
      <c r="AF203" t="e">
        <f>IF(AD203=1,COUNTIF($AD$3:$AD203,1),"")</f>
        <v>#REF!</v>
      </c>
      <c r="AG203" t="e">
        <f>IF(AE203=1,COUNTIF($AE$3:$AE203,1),"")</f>
        <v>#REF!</v>
      </c>
    </row>
    <row r="204" spans="1:33" ht="15" hidden="1" customHeight="1" x14ac:dyDescent="0.35">
      <c r="A204" s="18" t="s">
        <v>159</v>
      </c>
      <c r="B204" s="18" t="s">
        <v>222</v>
      </c>
      <c r="C204" s="18"/>
      <c r="D204" s="18" t="s">
        <v>496</v>
      </c>
      <c r="E204" s="18" t="str">
        <f>IFERROR(INDEX(הגדרות!$I$2:$I$47,MATCH(B204,הגדרות!$H$2:$H$47,0)),"")</f>
        <v>7009-01</v>
      </c>
      <c r="F204" s="18" t="s">
        <v>37</v>
      </c>
      <c r="G204" s="18"/>
      <c r="H204" s="18" t="s">
        <v>72</v>
      </c>
      <c r="I204" s="18"/>
      <c r="J204" s="18" t="s">
        <v>40</v>
      </c>
      <c r="K204" s="18"/>
      <c r="L204" s="18" t="s">
        <v>2</v>
      </c>
      <c r="M204" s="18" t="s">
        <v>2</v>
      </c>
      <c r="N204" s="18"/>
      <c r="O204" s="18"/>
      <c r="P204" s="18"/>
      <c r="Q204" s="18"/>
      <c r="R204" s="18"/>
      <c r="S204" s="18"/>
      <c r="T204" s="17" t="s">
        <v>41</v>
      </c>
      <c r="U204" s="18"/>
      <c r="V204" s="18"/>
      <c r="W204" s="18"/>
      <c r="X204" s="18"/>
      <c r="Y204" s="18"/>
      <c r="Z204" t="str">
        <f>IFERROR(INDEX(הגדרות!$B$2:$B$17,MATCH(H204,הגדרות!$A$2:$A$17,0)),"")</f>
        <v>מיוער</v>
      </c>
      <c r="AA204">
        <f>IFERROR(INDEX(הגדרות!$C$2:$C$17,MATCH(H204,הגדרות!$A$2:$A$17,0)),"")</f>
        <v>0</v>
      </c>
      <c r="AB204" t="str">
        <f>IFERROR(INDEX(הגדרות!$B$2:$B$17,MATCH(I204,הגדרות!$A$2:$A$17,0)),"")</f>
        <v/>
      </c>
      <c r="AC204" t="str">
        <f>IFERROR(INDEX(הגדרות!$C$2:$C$17,MATCH(I204,הגדרות!$A$2:$A$17,0)),"")</f>
        <v/>
      </c>
      <c r="AD204" t="e">
        <f>IF(AND(מלאי!D204&lt;&gt;"",OR(#REF!="הכל",מלאי!Z204=#REF!,מלאי!AA204=#REF!,מלאי!AB204=#REF!,מלאי!AC204=#REF!),OR(#REF!="הכל",מלאי!A204=#REF!),OR(#REF!="הכל",מלאי!B204=#REF!),OR(#REF!="הכל",מלאי!F204=#REF!,מלאי!G204=#REF!),OR(#REF!="הכל",מלאי!T204=#REF!),OR(#REF!="הכל",מלאי!Q204=#REF!),OR(#REF!="הכל",מלאי!J204=#REF!),OR(#REF!="הכל",מלאי!L204=#REF!),OR(#REF!="הכל",מלאי!O204=#REF!),OR(#REF!="הכל",מלאי!R204=#REF!),OR(#REF!="הכל",#REF!="",מלאי!W204=#REF!),OR(#REF!="הכל",#REF!="",ISNUMBER(SEARCH(#REF!,מלאי!C204)))),1,0)</f>
        <v>#REF!</v>
      </c>
      <c r="AE204" t="e">
        <f>IF(AND(מלאי!D204&lt;&gt;"",OR(#REF!="הכל",מלאי!Z204=#REF!,מלאי!AA204=#REF!,מלאי!AB204=#REF!,מלאי!AC204=#REF!),OR(#REF!="הכל",מלאי!A204=#REF!),OR(#REF!="הכל",מלאי!B204=#REF!),OR(#REF!="הכל",מלאי!F204=#REF!,מלאי!G204=#REF!),OR(#REF!="הכל",מלאי!T204=#REF!),OR(#REF!="הכל",מלאי!Q204=#REF!),OR(#REF!="הכל",מלאי!J204=#REF!),OR(#REF!="הכל",מלאי!L204=#REF!),OR(#REF!="הכל",מלאי!O204=#REF!),OR(#REF!="הכל",מלאי!R204=#REF!),OR(#REF!="הכל",#REF!="",מלאי!W204=#REF!),OR(#REF!="הכל",#REF!="",ISNUMBER(SEARCH(#REF!,מלאי!C204))),OR(#REF!="הכל",מלאי!#REF!=#REF!)),1,0)</f>
        <v>#REF!</v>
      </c>
      <c r="AF204" t="e">
        <f>IF(AD204=1,COUNTIF($AD$3:$AD204,1),"")</f>
        <v>#REF!</v>
      </c>
      <c r="AG204" t="e">
        <f>IF(AE204=1,COUNTIF($AE$3:$AE204,1),"")</f>
        <v>#REF!</v>
      </c>
    </row>
    <row r="205" spans="1:33" ht="15" hidden="1" customHeight="1" x14ac:dyDescent="0.35">
      <c r="A205" s="18" t="s">
        <v>159</v>
      </c>
      <c r="B205" s="18" t="s">
        <v>222</v>
      </c>
      <c r="C205" s="18"/>
      <c r="D205" s="18" t="s">
        <v>497</v>
      </c>
      <c r="E205" s="18" t="str">
        <f>IFERROR(INDEX(הגדרות!$I$2:$I$47,MATCH(B205,הגדרות!$H$2:$H$47,0)),"")</f>
        <v>7009-01</v>
      </c>
      <c r="F205" s="18" t="s">
        <v>37</v>
      </c>
      <c r="G205" s="18"/>
      <c r="H205" s="18" t="s">
        <v>72</v>
      </c>
      <c r="I205" s="18"/>
      <c r="J205" s="18" t="s">
        <v>40</v>
      </c>
      <c r="K205" s="18"/>
      <c r="L205" s="18" t="s">
        <v>2</v>
      </c>
      <c r="M205" s="18" t="s">
        <v>2</v>
      </c>
      <c r="N205" s="18"/>
      <c r="O205" s="18"/>
      <c r="P205" s="18"/>
      <c r="Q205" s="18"/>
      <c r="R205" s="18"/>
      <c r="S205" s="18"/>
      <c r="T205" s="17" t="s">
        <v>41</v>
      </c>
      <c r="U205" s="18"/>
      <c r="V205" s="18"/>
      <c r="W205" s="18"/>
      <c r="X205" s="18"/>
      <c r="Y205" s="18"/>
      <c r="Z205" t="str">
        <f>IFERROR(INDEX(הגדרות!$B$2:$B$17,MATCH(H205,הגדרות!$A$2:$A$17,0)),"")</f>
        <v>מיוער</v>
      </c>
      <c r="AA205">
        <f>IFERROR(INDEX(הגדרות!$C$2:$C$17,MATCH(H205,הגדרות!$A$2:$A$17,0)),"")</f>
        <v>0</v>
      </c>
      <c r="AB205" t="str">
        <f>IFERROR(INDEX(הגדרות!$B$2:$B$17,MATCH(I205,הגדרות!$A$2:$A$17,0)),"")</f>
        <v/>
      </c>
      <c r="AC205" t="str">
        <f>IFERROR(INDEX(הגדרות!$C$2:$C$17,MATCH(I205,הגדרות!$A$2:$A$17,0)),"")</f>
        <v/>
      </c>
      <c r="AD205" t="e">
        <f>IF(AND(מלאי!D205&lt;&gt;"",OR(#REF!="הכל",מלאי!Z205=#REF!,מלאי!AA205=#REF!,מלאי!AB205=#REF!,מלאי!AC205=#REF!),OR(#REF!="הכל",מלאי!A205=#REF!),OR(#REF!="הכל",מלאי!B205=#REF!),OR(#REF!="הכל",מלאי!F205=#REF!,מלאי!G205=#REF!),OR(#REF!="הכל",מלאי!T205=#REF!),OR(#REF!="הכל",מלאי!Q205=#REF!),OR(#REF!="הכל",מלאי!J205=#REF!),OR(#REF!="הכל",מלאי!L205=#REF!),OR(#REF!="הכל",מלאי!O205=#REF!),OR(#REF!="הכל",מלאי!R205=#REF!),OR(#REF!="הכל",#REF!="",מלאי!W205=#REF!),OR(#REF!="הכל",#REF!="",ISNUMBER(SEARCH(#REF!,מלאי!C205)))),1,0)</f>
        <v>#REF!</v>
      </c>
      <c r="AE205" t="e">
        <f>IF(AND(מלאי!D205&lt;&gt;"",OR(#REF!="הכל",מלאי!Z205=#REF!,מלאי!AA205=#REF!,מלאי!AB205=#REF!,מלאי!AC205=#REF!),OR(#REF!="הכל",מלאי!A205=#REF!),OR(#REF!="הכל",מלאי!B205=#REF!),OR(#REF!="הכל",מלאי!F205=#REF!,מלאי!G205=#REF!),OR(#REF!="הכל",מלאי!T205=#REF!),OR(#REF!="הכל",מלאי!Q205=#REF!),OR(#REF!="הכל",מלאי!J205=#REF!),OR(#REF!="הכל",מלאי!L205=#REF!),OR(#REF!="הכל",מלאי!O205=#REF!),OR(#REF!="הכל",מלאי!R205=#REF!),OR(#REF!="הכל",#REF!="",מלאי!W205=#REF!),OR(#REF!="הכל",#REF!="",ISNUMBER(SEARCH(#REF!,מלאי!C205))),OR(#REF!="הכל",מלאי!#REF!=#REF!)),1,0)</f>
        <v>#REF!</v>
      </c>
      <c r="AF205" t="e">
        <f>IF(AD205=1,COUNTIF($AD$3:$AD205,1),"")</f>
        <v>#REF!</v>
      </c>
      <c r="AG205" t="e">
        <f>IF(AE205=1,COUNTIF($AE$3:$AE205,1),"")</f>
        <v>#REF!</v>
      </c>
    </row>
    <row r="206" spans="1:33" ht="15" customHeight="1" x14ac:dyDescent="0.35">
      <c r="A206" s="17" t="s">
        <v>144</v>
      </c>
      <c r="B206" s="17" t="s">
        <v>192</v>
      </c>
      <c r="C206" s="17"/>
      <c r="D206" s="17" t="s">
        <v>498</v>
      </c>
      <c r="E206" s="17" t="str">
        <f>IFERROR(INDEX(הגדרות!$I$2:$I$47,MATCH(B206,הגדרות!$H$2:$H$47,0)),"")</f>
        <v>8006-00</v>
      </c>
      <c r="F206" s="17" t="s">
        <v>311</v>
      </c>
      <c r="G206" s="17"/>
      <c r="H206" s="17" t="s">
        <v>165</v>
      </c>
      <c r="I206" s="17"/>
      <c r="J206" s="17" t="s">
        <v>40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 t="s">
        <v>41</v>
      </c>
      <c r="U206" s="17"/>
      <c r="V206" s="17"/>
      <c r="W206" s="17"/>
      <c r="X206" s="17"/>
      <c r="Y206" s="17"/>
      <c r="Z206" t="str">
        <f>IFERROR(INDEX(הגדרות!$B$2:$B$17,MATCH(H206,הגדרות!$A$2:$A$17,0)),"")</f>
        <v>שלג</v>
      </c>
      <c r="AA206">
        <f>IFERROR(INDEX(הגדרות!$C$2:$C$17,MATCH(H206,הגדרות!$A$2:$A$17,0)),"")</f>
        <v>0</v>
      </c>
      <c r="AB206" t="str">
        <f>IFERROR(INDEX(הגדרות!$B$2:$B$17,MATCH(I206,הגדרות!$A$2:$A$17,0)),"")</f>
        <v/>
      </c>
      <c r="AC206" t="str">
        <f>IFERROR(INDEX(הגדרות!$C$2:$C$17,MATCH(I206,הגדרות!$A$2:$A$17,0)),"")</f>
        <v/>
      </c>
      <c r="AD206" t="e">
        <f>IF(AND(מלאי!D361&lt;&gt;"",OR(#REF!="הכל",מלאי!Z361=#REF!,מלאי!AA361=#REF!,מלאי!AB361=#REF!,מלאי!AC361=#REF!),OR(#REF!="הכל",מלאי!A361=#REF!),OR(#REF!="הכל",מלאי!B361=#REF!),OR(#REF!="הכל",מלאי!F361=#REF!,מלאי!G361=#REF!),OR(#REF!="הכל",מלאי!T361=#REF!),OR(#REF!="הכל",מלאי!Q361=#REF!),OR(#REF!="הכל",מלאי!J361=#REF!),OR(#REF!="הכל",מלאי!L361=#REF!),OR(#REF!="הכל",מלאי!O361=#REF!),OR(#REF!="הכל",מלאי!R361=#REF!),OR(#REF!="הכל",#REF!="",מלאי!W361=#REF!),OR(#REF!="הכל",#REF!="",ISNUMBER(SEARCH(#REF!,מלאי!C361)))),1,0)</f>
        <v>#REF!</v>
      </c>
      <c r="AE206" t="e">
        <f>IF(AND(מלאי!D361&lt;&gt;"",OR(#REF!="הכל",מלאי!Z361=#REF!,מלאי!AA361=#REF!,מלאי!AB361=#REF!,מלאי!AC361=#REF!),OR(#REF!="הכל",מלאי!A361=#REF!),OR(#REF!="הכל",מלאי!B361=#REF!),OR(#REF!="הכל",מלאי!F361=#REF!,מלאי!G361=#REF!),OR(#REF!="הכל",מלאי!T361=#REF!),OR(#REF!="הכל",מלאי!Q361=#REF!),OR(#REF!="הכל",מלאי!J361=#REF!),OR(#REF!="הכל",מלאי!L361=#REF!),OR(#REF!="הכל",מלאי!O361=#REF!),OR(#REF!="הכל",מלאי!R361=#REF!),OR(#REF!="הכל",#REF!="",מלאי!W361=#REF!),OR(#REF!="הכל",#REF!="",ISNUMBER(SEARCH(#REF!,מלאי!C361))),OR(#REF!="הכל",מלאי!#REF!=#REF!)),1,0)</f>
        <v>#REF!</v>
      </c>
      <c r="AF206" t="e">
        <f>IF(AD206=1,COUNTIF($AD$3:$AD206,1),"")</f>
        <v>#REF!</v>
      </c>
      <c r="AG206" t="e">
        <f>IF(AE206=1,COUNTIF($AE$3:$AE206,1),"")</f>
        <v>#REF!</v>
      </c>
    </row>
    <row r="207" spans="1:33" ht="15" hidden="1" customHeight="1" x14ac:dyDescent="0.35">
      <c r="A207" s="4" t="s">
        <v>34</v>
      </c>
      <c r="B207" s="4" t="s">
        <v>50</v>
      </c>
      <c r="C207" s="4" t="s">
        <v>512</v>
      </c>
      <c r="D207" s="8" t="s">
        <v>511</v>
      </c>
      <c r="E207" s="4" t="str">
        <f>IFERROR(INDEX(הגדרות!$I$2:$I$47,MATCH(B207,הגדרות!$H$2:$H$47,0)),"")</f>
        <v>7040-01</v>
      </c>
      <c r="F207" s="4" t="s">
        <v>45</v>
      </c>
      <c r="G207" s="4"/>
      <c r="H207" s="4" t="s">
        <v>46</v>
      </c>
      <c r="I207" s="4" t="s">
        <v>52</v>
      </c>
      <c r="J207" s="4" t="s">
        <v>2</v>
      </c>
      <c r="K207" s="4"/>
      <c r="L207" s="4"/>
      <c r="M207" s="4"/>
      <c r="N207" s="4"/>
      <c r="O207" s="4" t="s">
        <v>2</v>
      </c>
      <c r="P207" s="4" t="s">
        <v>513</v>
      </c>
      <c r="Q207" s="4" t="s">
        <v>40</v>
      </c>
      <c r="R207" s="4"/>
      <c r="S207" s="4"/>
      <c r="T207" s="17" t="s">
        <v>41</v>
      </c>
      <c r="U207" s="4"/>
      <c r="V207" s="4"/>
      <c r="W207" s="4"/>
      <c r="X207" s="4"/>
      <c r="Y207" s="4"/>
      <c r="Z207" t="str">
        <f>IFERROR(INDEX(הגדרות!$B$2:$B$17,MATCH(H207,הגדרות!$A$2:$A$17,0)),"")</f>
        <v>מיוער</v>
      </c>
      <c r="AA207">
        <f>IFERROR(INDEX(הגדרות!$C$2:$C$17,MATCH(H207,הגדרות!$A$2:$A$17,0)),"")</f>
        <v>0</v>
      </c>
      <c r="AB207" t="str">
        <f>IFERROR(INDEX(הגדרות!$B$2:$B$17,MATCH(I207,הגדרות!$A$2:$A$17,0)),"")</f>
        <v>מיוער</v>
      </c>
      <c r="AC207">
        <f>IFERROR(INDEX(הגדרות!$C$2:$C$17,MATCH(I207,הגדרות!$A$2:$A$17,0)),"")</f>
        <v>0</v>
      </c>
      <c r="AD207" t="e">
        <f>IF(AND(מלאי!D207&lt;&gt;"",OR(#REF!="הכל",מלאי!Z207=#REF!,מלאי!AA207=#REF!,מלאי!AB207=#REF!,מלאי!AC207=#REF!),OR(#REF!="הכל",מלאי!A207=#REF!),OR(#REF!="הכל",מלאי!B207=#REF!),OR(#REF!="הכל",מלאי!F207=#REF!,מלאי!G207=#REF!),OR(#REF!="הכל",מלאי!T207=#REF!),OR(#REF!="הכל",מלאי!Q207=#REF!),OR(#REF!="הכל",מלאי!J207=#REF!),OR(#REF!="הכל",מלאי!L207=#REF!),OR(#REF!="הכל",מלאי!O207=#REF!),OR(#REF!="הכל",מלאי!R207=#REF!),OR(#REF!="הכל",#REF!="",מלאי!W207=#REF!),OR(#REF!="הכל",#REF!="",ISNUMBER(SEARCH(#REF!,מלאי!C207)))),1,0)</f>
        <v>#REF!</v>
      </c>
      <c r="AE207" t="e">
        <f>IF(AND(מלאי!D207&lt;&gt;"",OR(#REF!="הכל",מלאי!Z207=#REF!,מלאי!AA207=#REF!,מלאי!AB207=#REF!,מלאי!AC207=#REF!),OR(#REF!="הכל",מלאי!A207=#REF!),OR(#REF!="הכל",מלאי!B207=#REF!),OR(#REF!="הכל",מלאי!F207=#REF!,מלאי!G207=#REF!),OR(#REF!="הכל",מלאי!T207=#REF!),OR(#REF!="הכל",מלאי!Q207=#REF!),OR(#REF!="הכל",מלאי!J207=#REF!),OR(#REF!="הכל",מלאי!L207=#REF!),OR(#REF!="הכל",מלאי!O207=#REF!),OR(#REF!="הכל",מלאי!R207=#REF!),OR(#REF!="הכל",#REF!="",מלאי!W207=#REF!),OR(#REF!="הכל",#REF!="",ISNUMBER(SEARCH(#REF!,מלאי!C207))),OR(#REF!="הכל",מלאי!#REF!=#REF!)),1,0)</f>
        <v>#REF!</v>
      </c>
      <c r="AF207" t="e">
        <f>IF(AD207=1,COUNTIF($AD$3:$AD207,1),"")</f>
        <v>#REF!</v>
      </c>
      <c r="AG207" t="e">
        <f>IF(AE207=1,COUNTIF($AE$3:$AE207,1),"")</f>
        <v>#REF!</v>
      </c>
    </row>
    <row r="208" spans="1:33" ht="15" hidden="1" customHeight="1" x14ac:dyDescent="0.35">
      <c r="A208" s="4" t="s">
        <v>34</v>
      </c>
      <c r="B208" s="4" t="s">
        <v>44</v>
      </c>
      <c r="C208" s="4" t="s">
        <v>36</v>
      </c>
      <c r="D208" s="18" t="s">
        <v>515</v>
      </c>
      <c r="E208" s="18"/>
      <c r="F208" s="4" t="s">
        <v>45</v>
      </c>
      <c r="G208" s="4"/>
      <c r="H208" s="4" t="s">
        <v>46</v>
      </c>
      <c r="I208" s="4" t="s">
        <v>49</v>
      </c>
      <c r="J208" s="4" t="s">
        <v>40</v>
      </c>
      <c r="K208" s="4" t="s">
        <v>40</v>
      </c>
      <c r="L208" s="4"/>
      <c r="M208" s="4"/>
      <c r="N208" s="4" t="s">
        <v>40</v>
      </c>
      <c r="O208" s="4" t="s">
        <v>40</v>
      </c>
      <c r="P208" s="4"/>
      <c r="Q208" s="4"/>
      <c r="R208" s="4"/>
      <c r="S208" s="4"/>
      <c r="T208" s="17" t="s">
        <v>41</v>
      </c>
      <c r="U208" s="4"/>
      <c r="V208" s="4"/>
      <c r="W208" s="4"/>
      <c r="X208" s="4"/>
      <c r="Y208" s="4"/>
    </row>
    <row r="209" spans="1:33" ht="15" hidden="1" customHeight="1" x14ac:dyDescent="0.35">
      <c r="A209" s="4" t="s">
        <v>34</v>
      </c>
      <c r="B209" s="4" t="s">
        <v>160</v>
      </c>
      <c r="C209" s="4" t="s">
        <v>516</v>
      </c>
      <c r="D209" s="4" t="s">
        <v>517</v>
      </c>
      <c r="E209" s="4">
        <f>IFERROR(INDEX(הגדרות!$I$2:$I$47,MATCH(B209,הגדרות!$H$2:$H$47,0)),"")</f>
        <v>0</v>
      </c>
      <c r="F209" s="4" t="s">
        <v>45</v>
      </c>
      <c r="G209" s="4" t="s">
        <v>77</v>
      </c>
      <c r="H209" s="4" t="s">
        <v>83</v>
      </c>
      <c r="I209" s="4" t="s">
        <v>72</v>
      </c>
      <c r="J209" s="4" t="s">
        <v>40</v>
      </c>
      <c r="K209" s="4" t="s">
        <v>40</v>
      </c>
      <c r="L209" s="4" t="s">
        <v>40</v>
      </c>
      <c r="M209" s="4" t="s">
        <v>40</v>
      </c>
      <c r="N209" s="4" t="s">
        <v>40</v>
      </c>
      <c r="O209" s="4" t="s">
        <v>40</v>
      </c>
      <c r="P209" s="4"/>
      <c r="Q209" s="4"/>
      <c r="R209" s="4"/>
      <c r="S209" s="4"/>
      <c r="T209" s="4" t="s">
        <v>41</v>
      </c>
      <c r="U209" s="4"/>
      <c r="V209" s="4"/>
      <c r="W209" s="4"/>
      <c r="X209" s="4"/>
      <c r="Y209" s="4"/>
      <c r="Z209" t="str">
        <f>IFERROR(INDEX(הגדרות!$B$2:$B$17,MATCH(H209,הגדרות!$A$2:$A$17,0)),"")</f>
        <v>מיוער</v>
      </c>
      <c r="AA209">
        <f>IFERROR(INDEX(הגדרות!$C$2:$C$17,MATCH(H209,הגדרות!$A$2:$A$17,0)),"")</f>
        <v>0</v>
      </c>
      <c r="AB209" t="str">
        <f>IFERROR(INDEX(הגדרות!$B$2:$B$17,MATCH(I209,הגדרות!$A$2:$A$17,0)),"")</f>
        <v>מיוער</v>
      </c>
      <c r="AC209">
        <f>IFERROR(INDEX(הגדרות!$C$2:$C$17,MATCH(I209,הגדרות!$A$2:$A$17,0)),"")</f>
        <v>0</v>
      </c>
      <c r="AD209" t="e">
        <f>IF(AND(מלאי!D209&lt;&gt;"",OR(#REF!="הכל",מלאי!Z209=#REF!,מלאי!AA209=#REF!,מלאי!AB209=#REF!,מלאי!AC209=#REF!),OR(#REF!="הכל",מלאי!A209=#REF!),OR(#REF!="הכל",מלאי!B209=#REF!),OR(#REF!="הכל",מלאי!F209=#REF!,מלאי!G209=#REF!),OR(#REF!="הכל",מלאי!T209=#REF!),OR(#REF!="הכל",מלאי!Q209=#REF!),OR(#REF!="הכל",מלאי!J209=#REF!),OR(#REF!="הכל",מלאי!L209=#REF!),OR(#REF!="הכל",מלאי!O209=#REF!),OR(#REF!="הכל",מלאי!R209=#REF!),OR(#REF!="הכל",#REF!="",מלאי!W209=#REF!),OR(#REF!="הכל",#REF!="",ISNUMBER(SEARCH(#REF!,מלאי!C209)))),1,0)</f>
        <v>#REF!</v>
      </c>
      <c r="AE209" t="e">
        <f>IF(AND(מלאי!D209&lt;&gt;"",OR(#REF!="הכל",מלאי!Z209=#REF!,מלאי!AA209=#REF!,מלאי!AB209=#REF!,מלאי!AC209=#REF!),OR(#REF!="הכל",מלאי!A209=#REF!),OR(#REF!="הכל",מלאי!B209=#REF!),OR(#REF!="הכל",מלאי!F209=#REF!,מלאי!G209=#REF!),OR(#REF!="הכל",מלאי!T209=#REF!),OR(#REF!="הכל",מלאי!Q209=#REF!),OR(#REF!="הכל",מלאי!J209=#REF!),OR(#REF!="הכל",מלאי!L209=#REF!),OR(#REF!="הכל",מלאי!O209=#REF!),OR(#REF!="הכל",מלאי!R209=#REF!),OR(#REF!="הכל",#REF!="",מלאי!W209=#REF!),OR(#REF!="הכל",#REF!="",ISNUMBER(SEARCH(#REF!,מלאי!C209))),OR(#REF!="הכל",מלאי!#REF!=#REF!)),1,0)</f>
        <v>#REF!</v>
      </c>
      <c r="AF209" t="e">
        <f>IF(AD209=1,COUNTIF($AD$3:$AD209,1),"")</f>
        <v>#REF!</v>
      </c>
      <c r="AG209" t="e">
        <f>IF(AE209=1,COUNTIF($AE$3:$AE209,1),"")</f>
        <v>#REF!</v>
      </c>
    </row>
    <row r="210" spans="1:33" ht="15" customHeight="1" x14ac:dyDescent="0.35">
      <c r="A210" s="17" t="s">
        <v>144</v>
      </c>
      <c r="B210" s="17" t="s">
        <v>196</v>
      </c>
      <c r="C210" s="18" t="s">
        <v>327</v>
      </c>
      <c r="D210" s="17" t="s">
        <v>518</v>
      </c>
      <c r="E210" s="17" t="str">
        <f>IFERROR(INDEX(הגדרות!$I$2:$I$47,MATCH(B210,הגדרות!$H$2:$H$47,0)),"")</f>
        <v>8030-00</v>
      </c>
      <c r="F210" s="18" t="s">
        <v>311</v>
      </c>
      <c r="G210" s="17"/>
      <c r="H210" s="17" t="s">
        <v>72</v>
      </c>
      <c r="I210" s="17"/>
      <c r="J210" s="17" t="s">
        <v>40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 t="s">
        <v>41</v>
      </c>
      <c r="U210" s="17"/>
      <c r="V210" s="17"/>
      <c r="W210" s="17"/>
      <c r="X210" s="17"/>
      <c r="Y210" s="17"/>
      <c r="Z210" t="str">
        <f>IFERROR(INDEX(הגדרות!$B$2:$B$17,MATCH(H210,הגדרות!$A$2:$A$17,0)),"")</f>
        <v>מיוער</v>
      </c>
      <c r="AA210">
        <f>IFERROR(INDEX(הגדרות!$C$2:$C$17,MATCH(H210,הגדרות!$A$2:$A$17,0)),"")</f>
        <v>0</v>
      </c>
      <c r="AB210" t="str">
        <f>IFERROR(INDEX(הגדרות!$B$2:$B$17,MATCH(I210,הגדרות!$A$2:$A$17,0)),"")</f>
        <v/>
      </c>
      <c r="AC210" t="str">
        <f>IFERROR(INDEX(הגדרות!$C$2:$C$17,MATCH(I210,הגדרות!$A$2:$A$17,0)),"")</f>
        <v/>
      </c>
      <c r="AD210" t="e">
        <f>IF(AND(מלאי!D327&lt;&gt;"",OR(#REF!="הכל",מלאי!Z327=#REF!,מלאי!AA327=#REF!,מלאי!AB327=#REF!,מלאי!AC327=#REF!),OR(#REF!="הכל",מלאי!A327=#REF!),OR(#REF!="הכל",מלאי!B327=#REF!),OR(#REF!="הכל",מלאי!F327=#REF!,מלאי!G327=#REF!),OR(#REF!="הכל",מלאי!T327=#REF!),OR(#REF!="הכל",מלאי!Q327=#REF!),OR(#REF!="הכל",מלאי!J327=#REF!),OR(#REF!="הכל",מלאי!L327=#REF!),OR(#REF!="הכל",מלאי!O327=#REF!),OR(#REF!="הכל",מלאי!R327=#REF!),OR(#REF!="הכל",#REF!="",מלאי!W327=#REF!),OR(#REF!="הכל",#REF!="",ISNUMBER(SEARCH(#REF!,מלאי!C327)))),1,0)</f>
        <v>#REF!</v>
      </c>
      <c r="AE210" t="e">
        <f>IF(AND(מלאי!D327&lt;&gt;"",OR(#REF!="הכל",מלאי!Z327=#REF!,מלאי!AA327=#REF!,מלאי!AB327=#REF!,מלאי!AC327=#REF!),OR(#REF!="הכל",מלאי!A327=#REF!),OR(#REF!="הכל",מלאי!B327=#REF!),OR(#REF!="הכל",מלאי!F327=#REF!,מלאי!G327=#REF!),OR(#REF!="הכל",מלאי!T327=#REF!),OR(#REF!="הכל",מלאי!Q327=#REF!),OR(#REF!="הכל",מלאי!J327=#REF!),OR(#REF!="הכל",מלאי!L327=#REF!),OR(#REF!="הכל",מלאי!O327=#REF!),OR(#REF!="הכל",מלאי!R327=#REF!),OR(#REF!="הכל",#REF!="",מלאי!W327=#REF!),OR(#REF!="הכל",#REF!="",ISNUMBER(SEARCH(#REF!,מלאי!C327))),OR(#REF!="הכל",מלאי!#REF!=#REF!)),1,0)</f>
        <v>#REF!</v>
      </c>
      <c r="AF210" t="e">
        <f>IF(AD210=1,COUNTIF($AD$3:$AD210,1),"")</f>
        <v>#REF!</v>
      </c>
      <c r="AG210" t="e">
        <f>IF(AE210=1,COUNTIF($AE$3:$AE210,1),"")</f>
        <v>#REF!</v>
      </c>
    </row>
    <row r="211" spans="1:33" ht="15" customHeight="1" x14ac:dyDescent="0.35">
      <c r="A211" s="4" t="s">
        <v>144</v>
      </c>
      <c r="B211" s="4" t="s">
        <v>202</v>
      </c>
      <c r="C211" s="4" t="s">
        <v>449</v>
      </c>
      <c r="D211" s="4" t="s">
        <v>519</v>
      </c>
      <c r="E211" s="4">
        <f>IFERROR(INDEX(הגדרות!$I$2:$I$47,MATCH(B211,הגדרות!$H$2:$H$47,0)),"")</f>
        <v>0</v>
      </c>
      <c r="F211" s="4" t="s">
        <v>313</v>
      </c>
      <c r="G211" s="4"/>
      <c r="H211" s="4" t="s">
        <v>72</v>
      </c>
      <c r="I211" s="4"/>
      <c r="J211" s="4" t="s">
        <v>40</v>
      </c>
      <c r="K211" s="4"/>
      <c r="L211" s="4"/>
      <c r="M211" s="4"/>
      <c r="N211" s="4"/>
      <c r="O211" s="4"/>
      <c r="P211" s="4"/>
      <c r="Q211" s="4"/>
      <c r="R211" s="4" t="s">
        <v>147</v>
      </c>
      <c r="S211" s="4"/>
      <c r="T211" s="17" t="s">
        <v>41</v>
      </c>
      <c r="U211" s="4"/>
      <c r="V211" s="4"/>
      <c r="W211" s="4"/>
      <c r="X211" s="4"/>
      <c r="Y211" s="4"/>
      <c r="Z211" t="str">
        <f>IFERROR(INDEX(הגדרות!$B$2:$B$17,MATCH(H211,הגדרות!$A$2:$A$17,0)),"")</f>
        <v>מיוער</v>
      </c>
      <c r="AA211">
        <f>IFERROR(INDEX(הגדרות!$C$2:$C$17,MATCH(H211,הגדרות!$A$2:$A$17,0)),"")</f>
        <v>0</v>
      </c>
      <c r="AB211" t="str">
        <f>IFERROR(INDEX(הגדרות!$B$2:$B$17,MATCH(I211,הגדרות!$A$2:$A$17,0)),"")</f>
        <v/>
      </c>
      <c r="AC211" t="str">
        <f>IFERROR(INDEX(הגדרות!$C$2:$C$17,MATCH(I211,הגדרות!$A$2:$A$17,0)),"")</f>
        <v/>
      </c>
      <c r="AD211" t="e">
        <f>IF(AND(מלאי!D211&lt;&gt;"",OR(#REF!="הכל",מלאי!Z211=#REF!,מלאי!AA211=#REF!,מלאי!AB211=#REF!,מלאי!AC211=#REF!),OR(#REF!="הכל",מלאי!A211=#REF!),OR(#REF!="הכל",מלאי!B211=#REF!),OR(#REF!="הכל",מלאי!F211=#REF!,מלאי!G211=#REF!),OR(#REF!="הכל",מלאי!T211=#REF!),OR(#REF!="הכל",מלאי!Q211=#REF!),OR(#REF!="הכל",מלאי!J211=#REF!),OR(#REF!="הכל",מלאי!L211=#REF!),OR(#REF!="הכל",מלאי!O211=#REF!),OR(#REF!="הכל",מלאי!R211=#REF!),OR(#REF!="הכל",#REF!="",מלאי!W211=#REF!),OR(#REF!="הכל",#REF!="",ISNUMBER(SEARCH(#REF!,מלאי!C211)))),1,0)</f>
        <v>#REF!</v>
      </c>
      <c r="AE211" t="e">
        <f>IF(AND(מלאי!D211&lt;&gt;"",OR(#REF!="הכל",מלאי!Z211=#REF!,מלאי!AA211=#REF!,מלאי!AB211=#REF!,מלאי!AC211=#REF!),OR(#REF!="הכל",מלאי!A211=#REF!),OR(#REF!="הכל",מלאי!B211=#REF!),OR(#REF!="הכל",מלאי!F211=#REF!,מלאי!G211=#REF!),OR(#REF!="הכל",מלאי!T211=#REF!),OR(#REF!="הכל",מלאי!Q211=#REF!),OR(#REF!="הכל",מלאי!J211=#REF!),OR(#REF!="הכל",מלאי!L211=#REF!),OR(#REF!="הכל",מלאי!O211=#REF!),OR(#REF!="הכל",מלאי!R211=#REF!),OR(#REF!="הכל",#REF!="",מלאי!W211=#REF!),OR(#REF!="הכל",#REF!="",ISNUMBER(SEARCH(#REF!,מלאי!C211))),OR(#REF!="הכל",מלאי!#REF!=#REF!)),1,0)</f>
        <v>#REF!</v>
      </c>
      <c r="AF211" t="e">
        <f>IF(AD211=1,COUNTIF($AD$3:$AD211,1),"")</f>
        <v>#REF!</v>
      </c>
      <c r="AG211" t="e">
        <f>IF(AE211=1,COUNTIF($AE$3:$AE211,1),"")</f>
        <v>#REF!</v>
      </c>
    </row>
    <row r="212" spans="1:33" ht="15" customHeight="1" x14ac:dyDescent="0.35">
      <c r="A212" s="4" t="s">
        <v>144</v>
      </c>
      <c r="B212" s="4" t="s">
        <v>202</v>
      </c>
      <c r="C212" s="4" t="s">
        <v>449</v>
      </c>
      <c r="D212" s="4" t="s">
        <v>520</v>
      </c>
      <c r="E212" s="4">
        <f>IFERROR(INDEX(הגדרות!$I$2:$I$47,MATCH(B212,הגדרות!$H$2:$H$47,0)),"")</f>
        <v>0</v>
      </c>
      <c r="F212" s="4" t="s">
        <v>313</v>
      </c>
      <c r="G212" s="4"/>
      <c r="H212" s="4" t="s">
        <v>72</v>
      </c>
      <c r="I212" s="4"/>
      <c r="J212" s="4" t="s">
        <v>40</v>
      </c>
      <c r="K212" s="4"/>
      <c r="L212" s="4"/>
      <c r="M212" s="4"/>
      <c r="N212" s="4"/>
      <c r="O212" s="4"/>
      <c r="P212" s="4"/>
      <c r="Q212" s="4"/>
      <c r="R212" s="4" t="s">
        <v>147</v>
      </c>
      <c r="S212" s="4"/>
      <c r="T212" s="17" t="s">
        <v>41</v>
      </c>
      <c r="U212" s="4"/>
      <c r="V212" s="4"/>
      <c r="W212" s="4"/>
      <c r="X212" s="4"/>
      <c r="Y212" s="4"/>
      <c r="Z212" t="str">
        <f>IFERROR(INDEX(הגדרות!$B$2:$B$17,MATCH(H212,הגדרות!$A$2:$A$17,0)),"")</f>
        <v>מיוער</v>
      </c>
      <c r="AA212">
        <f>IFERROR(INDEX(הגדרות!$C$2:$C$17,MATCH(H212,הגדרות!$A$2:$A$17,0)),"")</f>
        <v>0</v>
      </c>
      <c r="AB212" t="str">
        <f>IFERROR(INDEX(הגדרות!$B$2:$B$17,MATCH(I212,הגדרות!$A$2:$A$17,0)),"")</f>
        <v/>
      </c>
      <c r="AC212" t="str">
        <f>IFERROR(INDEX(הגדרות!$C$2:$C$17,MATCH(I212,הגדרות!$A$2:$A$17,0)),"")</f>
        <v/>
      </c>
      <c r="AD212" t="e">
        <f>IF(AND(מלאי!D212&lt;&gt;"",OR(#REF!="הכל",מלאי!Z212=#REF!,מלאי!AA212=#REF!,מלאי!AB212=#REF!,מלאי!AC212=#REF!),OR(#REF!="הכל",מלאי!A212=#REF!),OR(#REF!="הכל",מלאי!B212=#REF!),OR(#REF!="הכל",מלאי!F212=#REF!,מלאי!G212=#REF!),OR(#REF!="הכל",מלאי!T212=#REF!),OR(#REF!="הכל",מלאי!Q212=#REF!),OR(#REF!="הכל",מלאי!J212=#REF!),OR(#REF!="הכל",מלאי!L212=#REF!),OR(#REF!="הכל",מלאי!O212=#REF!),OR(#REF!="הכל",מלאי!R212=#REF!),OR(#REF!="הכל",#REF!="",מלאי!W212=#REF!),OR(#REF!="הכל",#REF!="",ISNUMBER(SEARCH(#REF!,מלאי!C212)))),1,0)</f>
        <v>#REF!</v>
      </c>
      <c r="AE212" t="e">
        <f>IF(AND(מלאי!D212&lt;&gt;"",OR(#REF!="הכל",מלאי!Z212=#REF!,מלאי!AA212=#REF!,מלאי!AB212=#REF!,מלאי!AC212=#REF!),OR(#REF!="הכל",מלאי!A212=#REF!),OR(#REF!="הכל",מלאי!B212=#REF!),OR(#REF!="הכל",מלאי!F212=#REF!,מלאי!G212=#REF!),OR(#REF!="הכל",מלאי!T212=#REF!),OR(#REF!="הכל",מלאי!Q212=#REF!),OR(#REF!="הכל",מלאי!J212=#REF!),OR(#REF!="הכל",מלאי!L212=#REF!),OR(#REF!="הכל",מלאי!O212=#REF!),OR(#REF!="הכל",מלאי!R212=#REF!),OR(#REF!="הכל",#REF!="",מלאי!W212=#REF!),OR(#REF!="הכל",#REF!="",ISNUMBER(SEARCH(#REF!,מלאי!C212))),OR(#REF!="הכל",מלאי!#REF!=#REF!)),1,0)</f>
        <v>#REF!</v>
      </c>
      <c r="AF212" t="e">
        <f>IF(AD212=1,COUNTIF($AD$3:$AD212,1),"")</f>
        <v>#REF!</v>
      </c>
      <c r="AG212" t="e">
        <f>IF(AE212=1,COUNTIF($AE$3:$AE212,1),"")</f>
        <v>#REF!</v>
      </c>
    </row>
    <row r="213" spans="1:33" ht="15" customHeight="1" x14ac:dyDescent="0.35">
      <c r="A213" s="4" t="s">
        <v>144</v>
      </c>
      <c r="B213" s="4" t="s">
        <v>203</v>
      </c>
      <c r="C213" s="4" t="s">
        <v>323</v>
      </c>
      <c r="D213" s="4" t="s">
        <v>521</v>
      </c>
      <c r="E213" s="4">
        <f>IFERROR(INDEX(הגדרות!$I$2:$I$47,MATCH(B213,הגדרות!$H$2:$H$47,0)),"")</f>
        <v>0</v>
      </c>
      <c r="F213" s="4" t="s">
        <v>311</v>
      </c>
      <c r="G213" s="4"/>
      <c r="H213" s="4" t="s">
        <v>72</v>
      </c>
      <c r="I213" s="4"/>
      <c r="J213" s="4" t="s">
        <v>40</v>
      </c>
      <c r="K213" s="4"/>
      <c r="L213" s="4"/>
      <c r="M213" s="4"/>
      <c r="N213" s="4"/>
      <c r="O213" s="4"/>
      <c r="P213" s="4"/>
      <c r="Q213" s="4"/>
      <c r="R213" s="4" t="s">
        <v>151</v>
      </c>
      <c r="S213" s="4"/>
      <c r="T213" s="17" t="s">
        <v>41</v>
      </c>
      <c r="U213" s="4"/>
      <c r="V213" s="4"/>
      <c r="W213" s="4"/>
      <c r="X213" s="4"/>
      <c r="Y213" s="4"/>
      <c r="Z213" t="str">
        <f>IFERROR(INDEX(הגדרות!$B$2:$B$17,MATCH(H213,הגדרות!$A$2:$A$17,0)),"")</f>
        <v>מיוער</v>
      </c>
      <c r="AA213">
        <f>IFERROR(INDEX(הגדרות!$C$2:$C$17,MATCH(H213,הגדרות!$A$2:$A$17,0)),"")</f>
        <v>0</v>
      </c>
      <c r="AB213" t="str">
        <f>IFERROR(INDEX(הגדרות!$B$2:$B$17,MATCH(I213,הגדרות!$A$2:$A$17,0)),"")</f>
        <v/>
      </c>
      <c r="AC213" t="str">
        <f>IFERROR(INDEX(הגדרות!$C$2:$C$17,MATCH(I213,הגדרות!$A$2:$A$17,0)),"")</f>
        <v/>
      </c>
      <c r="AD213" t="e">
        <f>IF(AND(מלאי!D213&lt;&gt;"",OR(#REF!="הכל",מלאי!Z213=#REF!,מלאי!AA213=#REF!,מלאי!AB213=#REF!,מלאי!AC213=#REF!),OR(#REF!="הכל",מלאי!A213=#REF!),OR(#REF!="הכל",מלאי!B213=#REF!),OR(#REF!="הכל",מלאי!F213=#REF!,מלאי!G213=#REF!),OR(#REF!="הכל",מלאי!T213=#REF!),OR(#REF!="הכל",מלאי!Q213=#REF!),OR(#REF!="הכל",מלאי!J213=#REF!),OR(#REF!="הכל",מלאי!L213=#REF!),OR(#REF!="הכל",מלאי!O213=#REF!),OR(#REF!="הכל",מלאי!R213=#REF!),OR(#REF!="הכל",#REF!="",מלאי!W213=#REF!),OR(#REF!="הכל",#REF!="",ISNUMBER(SEARCH(#REF!,מלאי!C213)))),1,0)</f>
        <v>#REF!</v>
      </c>
      <c r="AE213" t="e">
        <f>IF(AND(מלאי!D213&lt;&gt;"",OR(#REF!="הכל",מלאי!Z213=#REF!,מלאי!AA213=#REF!,מלאי!AB213=#REF!,מלאי!AC213=#REF!),OR(#REF!="הכל",מלאי!A213=#REF!),OR(#REF!="הכל",מלאי!B213=#REF!),OR(#REF!="הכל",מלאי!F213=#REF!,מלאי!G213=#REF!),OR(#REF!="הכל",מלאי!T213=#REF!),OR(#REF!="הכל",מלאי!Q213=#REF!),OR(#REF!="הכל",מלאי!J213=#REF!),OR(#REF!="הכל",מלאי!L213=#REF!),OR(#REF!="הכל",מלאי!O213=#REF!),OR(#REF!="הכל",מלאי!R213=#REF!),OR(#REF!="הכל",#REF!="",מלאי!W213=#REF!),OR(#REF!="הכל",#REF!="",ISNUMBER(SEARCH(#REF!,מלאי!C213))),OR(#REF!="הכל",מלאי!#REF!=#REF!)),1,0)</f>
        <v>#REF!</v>
      </c>
      <c r="AF213" t="e">
        <f>IF(AD213=1,COUNTIF($AD$3:$AD213,1),"")</f>
        <v>#REF!</v>
      </c>
      <c r="AG213" t="e">
        <f>IF(AE213=1,COUNTIF($AE$3:$AE213,1),"")</f>
        <v>#REF!</v>
      </c>
    </row>
    <row r="214" spans="1:33" ht="15" customHeight="1" x14ac:dyDescent="0.35">
      <c r="A214" s="4" t="s">
        <v>144</v>
      </c>
      <c r="B214" s="4" t="s">
        <v>202</v>
      </c>
      <c r="C214" s="4" t="s">
        <v>449</v>
      </c>
      <c r="D214" s="4" t="s">
        <v>522</v>
      </c>
      <c r="E214" s="4">
        <f>IFERROR(INDEX(הגדרות!$I$2:$I$47,MATCH(B214,הגדרות!$H$2:$H$47,0)),"")</f>
        <v>0</v>
      </c>
      <c r="F214" s="4" t="s">
        <v>313</v>
      </c>
      <c r="G214" s="4"/>
      <c r="H214" s="4" t="s">
        <v>72</v>
      </c>
      <c r="I214" s="4"/>
      <c r="J214" s="4" t="s">
        <v>40</v>
      </c>
      <c r="K214" s="4"/>
      <c r="L214" s="4"/>
      <c r="M214" s="4"/>
      <c r="N214" s="4"/>
      <c r="O214" s="4"/>
      <c r="P214" s="4"/>
      <c r="Q214" s="4"/>
      <c r="R214" s="4" t="s">
        <v>147</v>
      </c>
      <c r="S214" s="4"/>
      <c r="T214" s="17" t="s">
        <v>41</v>
      </c>
      <c r="U214" s="4"/>
      <c r="V214" s="4"/>
      <c r="W214" s="4"/>
      <c r="X214" s="4"/>
      <c r="Y214" s="4"/>
      <c r="Z214" t="str">
        <f>IFERROR(INDEX(הגדרות!$B$2:$B$17,MATCH(H214,הגדרות!$A$2:$A$17,0)),"")</f>
        <v>מיוער</v>
      </c>
      <c r="AA214">
        <f>IFERROR(INDEX(הגדרות!$C$2:$C$17,MATCH(H214,הגדרות!$A$2:$A$17,0)),"")</f>
        <v>0</v>
      </c>
      <c r="AB214" t="str">
        <f>IFERROR(INDEX(הגדרות!$B$2:$B$17,MATCH(I214,הגדרות!$A$2:$A$17,0)),"")</f>
        <v/>
      </c>
      <c r="AC214" t="str">
        <f>IFERROR(INDEX(הגדרות!$C$2:$C$17,MATCH(I214,הגדרות!$A$2:$A$17,0)),"")</f>
        <v/>
      </c>
      <c r="AD214" t="e">
        <f>IF(AND(מלאי!D214&lt;&gt;"",OR(#REF!="הכל",מלאי!Z214=#REF!,מלאי!AA214=#REF!,מלאי!AB214=#REF!,מלאי!AC214=#REF!),OR(#REF!="הכל",מלאי!A214=#REF!),OR(#REF!="הכל",מלאי!B214=#REF!),OR(#REF!="הכל",מלאי!F214=#REF!,מלאי!G214=#REF!),OR(#REF!="הכל",מלאי!T214=#REF!),OR(#REF!="הכל",מלאי!Q214=#REF!),OR(#REF!="הכל",מלאי!J214=#REF!),OR(#REF!="הכל",מלאי!L214=#REF!),OR(#REF!="הכל",מלאי!O214=#REF!),OR(#REF!="הכל",מלאי!R214=#REF!),OR(#REF!="הכל",#REF!="",מלאי!W214=#REF!),OR(#REF!="הכל",#REF!="",ISNUMBER(SEARCH(#REF!,מלאי!C214)))),1,0)</f>
        <v>#REF!</v>
      </c>
      <c r="AE214" t="e">
        <f>IF(AND(מלאי!D214&lt;&gt;"",OR(#REF!="הכל",מלאי!Z214=#REF!,מלאי!AA214=#REF!,מלאי!AB214=#REF!,מלאי!AC214=#REF!),OR(#REF!="הכל",מלאי!A214=#REF!),OR(#REF!="הכל",מלאי!B214=#REF!),OR(#REF!="הכל",מלאי!F214=#REF!,מלאי!G214=#REF!),OR(#REF!="הכל",מלאי!T214=#REF!),OR(#REF!="הכל",מלאי!Q214=#REF!),OR(#REF!="הכל",מלאי!J214=#REF!),OR(#REF!="הכל",מלאי!L214=#REF!),OR(#REF!="הכל",מלאי!O214=#REF!),OR(#REF!="הכל",מלאי!R214=#REF!),OR(#REF!="הכל",#REF!="",מלאי!W214=#REF!),OR(#REF!="הכל",#REF!="",ISNUMBER(SEARCH(#REF!,מלאי!C214))),OR(#REF!="הכל",מלאי!#REF!=#REF!)),1,0)</f>
        <v>#REF!</v>
      </c>
      <c r="AF214" t="e">
        <f>IF(AD214=1,COUNTIF($AD$3:$AD214,1),"")</f>
        <v>#REF!</v>
      </c>
      <c r="AG214" t="e">
        <f>IF(AE214=1,COUNTIF($AE$3:$AE214,1),"")</f>
        <v>#REF!</v>
      </c>
    </row>
    <row r="215" spans="1:33" ht="15" customHeight="1" x14ac:dyDescent="0.35">
      <c r="A215" s="4" t="s">
        <v>144</v>
      </c>
      <c r="B215" s="4" t="s">
        <v>202</v>
      </c>
      <c r="C215" s="4" t="s">
        <v>528</v>
      </c>
      <c r="D215" s="4" t="s">
        <v>523</v>
      </c>
      <c r="E215" s="4">
        <f>IFERROR(INDEX(הגדרות!$I$2:$I$47,MATCH(B215,הגדרות!$H$2:$H$47,0)),"")</f>
        <v>0</v>
      </c>
      <c r="F215" s="4" t="s">
        <v>168</v>
      </c>
      <c r="G215" s="4"/>
      <c r="H215" s="4" t="s">
        <v>72</v>
      </c>
      <c r="I215" s="4"/>
      <c r="J215" s="4" t="s">
        <v>40</v>
      </c>
      <c r="K215" s="4"/>
      <c r="L215" s="4"/>
      <c r="M215" s="4"/>
      <c r="N215" s="4"/>
      <c r="O215" s="4"/>
      <c r="P215" s="4" t="s">
        <v>524</v>
      </c>
      <c r="Q215" s="4" t="s">
        <v>40</v>
      </c>
      <c r="R215" s="4" t="s">
        <v>147</v>
      </c>
      <c r="S215" s="4"/>
      <c r="T215" s="17" t="s">
        <v>41</v>
      </c>
      <c r="U215" s="4"/>
      <c r="V215" s="4"/>
      <c r="W215" s="4"/>
      <c r="X215" s="4"/>
      <c r="Y215" s="4"/>
      <c r="Z215" t="str">
        <f>IFERROR(INDEX(הגדרות!$B$2:$B$17,MATCH(H215,הגדרות!$A$2:$A$17,0)),"")</f>
        <v>מיוער</v>
      </c>
      <c r="AA215">
        <f>IFERROR(INDEX(הגדרות!$C$2:$C$17,MATCH(H215,הגדרות!$A$2:$A$17,0)),"")</f>
        <v>0</v>
      </c>
      <c r="AB215" t="str">
        <f>IFERROR(INDEX(הגדרות!$B$2:$B$17,MATCH(I215,הגדרות!$A$2:$A$17,0)),"")</f>
        <v/>
      </c>
      <c r="AC215" t="str">
        <f>IFERROR(INDEX(הגדרות!$C$2:$C$17,MATCH(I215,הגדרות!$A$2:$A$17,0)),"")</f>
        <v/>
      </c>
      <c r="AD215" t="e">
        <f>IF(AND(מלאי!D215&lt;&gt;"",OR(#REF!="הכל",מלאי!Z215=#REF!,מלאי!AA215=#REF!,מלאי!AB215=#REF!,מלאי!AC215=#REF!),OR(#REF!="הכל",מלאי!A215=#REF!),OR(#REF!="הכל",מלאי!B215=#REF!),OR(#REF!="הכל",מלאי!F215=#REF!,מלאי!G215=#REF!),OR(#REF!="הכל",מלאי!T215=#REF!),OR(#REF!="הכל",מלאי!Q215=#REF!),OR(#REF!="הכל",מלאי!J215=#REF!),OR(#REF!="הכל",מלאי!L215=#REF!),OR(#REF!="הכל",מלאי!O215=#REF!),OR(#REF!="הכל",מלאי!R215=#REF!),OR(#REF!="הכל",#REF!="",מלאי!W215=#REF!),OR(#REF!="הכל",#REF!="",ISNUMBER(SEARCH(#REF!,מלאי!C215)))),1,0)</f>
        <v>#REF!</v>
      </c>
      <c r="AE215" t="e">
        <f>IF(AND(מלאי!D215&lt;&gt;"",OR(#REF!="הכל",מלאי!Z215=#REF!,מלאי!AA215=#REF!,מלאי!AB215=#REF!,מלאי!AC215=#REF!),OR(#REF!="הכל",מלאי!A215=#REF!),OR(#REF!="הכל",מלאי!B215=#REF!),OR(#REF!="הכל",מלאי!F215=#REF!,מלאי!G215=#REF!),OR(#REF!="הכל",מלאי!T215=#REF!),OR(#REF!="הכל",מלאי!Q215=#REF!),OR(#REF!="הכל",מלאי!J215=#REF!),OR(#REF!="הכל",מלאי!L215=#REF!),OR(#REF!="הכל",מלאי!O215=#REF!),OR(#REF!="הכל",מלאי!R215=#REF!),OR(#REF!="הכל",#REF!="",מלאי!W215=#REF!),OR(#REF!="הכל",#REF!="",ISNUMBER(SEARCH(#REF!,מלאי!C215))),OR(#REF!="הכל",מלאי!#REF!=#REF!)),1,0)</f>
        <v>#REF!</v>
      </c>
      <c r="AF215" t="e">
        <f>IF(AD215=1,COUNTIF($AD$3:$AD215,1),"")</f>
        <v>#REF!</v>
      </c>
      <c r="AG215" t="e">
        <f>IF(AE215=1,COUNTIF($AE$3:$AE215,1),"")</f>
        <v>#REF!</v>
      </c>
    </row>
    <row r="216" spans="1:33" ht="15" customHeight="1" x14ac:dyDescent="0.35">
      <c r="A216" s="4" t="s">
        <v>144</v>
      </c>
      <c r="B216" s="4" t="s">
        <v>202</v>
      </c>
      <c r="C216" s="4" t="s">
        <v>484</v>
      </c>
      <c r="D216" s="4" t="s">
        <v>525</v>
      </c>
      <c r="E216" s="4">
        <f>IFERROR(INDEX(הגדרות!$I$2:$I$47,MATCH(B216,הגדרות!$H$2:$H$47,0)),"")</f>
        <v>0</v>
      </c>
      <c r="F216" s="4" t="s">
        <v>313</v>
      </c>
      <c r="G216" s="4"/>
      <c r="H216" s="4" t="s">
        <v>38</v>
      </c>
      <c r="I216" s="4"/>
      <c r="J216" s="4" t="s">
        <v>40</v>
      </c>
      <c r="K216" s="4"/>
      <c r="L216" s="4"/>
      <c r="M216" s="4"/>
      <c r="N216" s="4"/>
      <c r="O216" s="4" t="s">
        <v>2</v>
      </c>
      <c r="P216" s="4" t="s">
        <v>526</v>
      </c>
      <c r="Q216" s="4" t="s">
        <v>40</v>
      </c>
      <c r="R216" s="4" t="s">
        <v>151</v>
      </c>
      <c r="S216" s="4"/>
      <c r="T216" s="17" t="s">
        <v>41</v>
      </c>
      <c r="U216" s="4"/>
      <c r="V216" s="4"/>
      <c r="W216" s="4"/>
      <c r="X216" s="4"/>
      <c r="Y216" s="4"/>
      <c r="Z216" t="str">
        <f>IFERROR(INDEX(הגדרות!$B$2:$B$17,MATCH(H216,הגדרות!$A$2:$A$17,0)),"")</f>
        <v>מיוער</v>
      </c>
      <c r="AA216">
        <f>IFERROR(INDEX(הגדרות!$C$2:$C$17,MATCH(H216,הגדרות!$A$2:$A$17,0)),"")</f>
        <v>0</v>
      </c>
      <c r="AB216" t="str">
        <f>IFERROR(INDEX(הגדרות!$B$2:$B$17,MATCH(I216,הגדרות!$A$2:$A$17,0)),"")</f>
        <v/>
      </c>
      <c r="AC216" t="str">
        <f>IFERROR(INDEX(הגדרות!$C$2:$C$17,MATCH(I216,הגדרות!$A$2:$A$17,0)),"")</f>
        <v/>
      </c>
      <c r="AD216" t="e">
        <f>IF(AND(מלאי!D216&lt;&gt;"",OR(#REF!="הכל",מלאי!Z216=#REF!,מלאי!AA216=#REF!,מלאי!AB216=#REF!,מלאי!AC216=#REF!),OR(#REF!="הכל",מלאי!A216=#REF!),OR(#REF!="הכל",מלאי!B216=#REF!),OR(#REF!="הכל",מלאי!F216=#REF!,מלאי!G216=#REF!),OR(#REF!="הכל",מלאי!T216=#REF!),OR(#REF!="הכל",מלאי!Q216=#REF!),OR(#REF!="הכל",מלאי!J216=#REF!),OR(#REF!="הכל",מלאי!L216=#REF!),OR(#REF!="הכל",מלאי!O216=#REF!),OR(#REF!="הכל",מלאי!R216=#REF!),OR(#REF!="הכל",#REF!="",מלאי!W216=#REF!),OR(#REF!="הכל",#REF!="",ISNUMBER(SEARCH(#REF!,מלאי!C216)))),1,0)</f>
        <v>#REF!</v>
      </c>
      <c r="AE216" t="e">
        <f>IF(AND(מלאי!D216&lt;&gt;"",OR(#REF!="הכל",מלאי!Z216=#REF!,מלאי!AA216=#REF!,מלאי!AB216=#REF!,מלאי!AC216=#REF!),OR(#REF!="הכל",מלאי!A216=#REF!),OR(#REF!="הכל",מלאי!B216=#REF!),OR(#REF!="הכל",מלאי!F216=#REF!,מלאי!G216=#REF!),OR(#REF!="הכל",מלאי!T216=#REF!),OR(#REF!="הכל",מלאי!Q216=#REF!),OR(#REF!="הכל",מלאי!J216=#REF!),OR(#REF!="הכל",מלאי!L216=#REF!),OR(#REF!="הכל",מלאי!O216=#REF!),OR(#REF!="הכל",מלאי!R216=#REF!),OR(#REF!="הכל",#REF!="",מלאי!W216=#REF!),OR(#REF!="הכל",#REF!="",ISNUMBER(SEARCH(#REF!,מלאי!C216))),OR(#REF!="הכל",מלאי!#REF!=#REF!)),1,0)</f>
        <v>#REF!</v>
      </c>
      <c r="AF216" t="e">
        <f>IF(AD216=1,COUNTIF($AD$3:$AD216,1),"")</f>
        <v>#REF!</v>
      </c>
      <c r="AG216" t="e">
        <f>IF(AE216=1,COUNTIF($AE$3:$AE216,1),"")</f>
        <v>#REF!</v>
      </c>
    </row>
    <row r="217" spans="1:33" ht="15" customHeight="1" x14ac:dyDescent="0.35">
      <c r="A217" s="4" t="s">
        <v>144</v>
      </c>
      <c r="B217" s="4" t="s">
        <v>203</v>
      </c>
      <c r="C217" s="4" t="s">
        <v>527</v>
      </c>
      <c r="D217" s="4" t="s">
        <v>523</v>
      </c>
      <c r="E217" s="4">
        <f>IFERROR(INDEX(הגדרות!$I$2:$I$47,MATCH(B217,הגדרות!$H$2:$H$47,0)),"")</f>
        <v>0</v>
      </c>
      <c r="F217" s="4" t="s">
        <v>168</v>
      </c>
      <c r="G217" s="4"/>
      <c r="H217" s="4" t="s">
        <v>72</v>
      </c>
      <c r="I217" s="4"/>
      <c r="J217" s="4" t="s">
        <v>40</v>
      </c>
      <c r="K217" s="4"/>
      <c r="L217" s="4"/>
      <c r="M217" s="4"/>
      <c r="N217" s="4"/>
      <c r="O217" s="4"/>
      <c r="P217" s="4" t="s">
        <v>524</v>
      </c>
      <c r="Q217" s="4" t="s">
        <v>40</v>
      </c>
      <c r="R217" s="4"/>
      <c r="S217" s="4"/>
      <c r="T217" s="17" t="s">
        <v>41</v>
      </c>
      <c r="U217" s="4" t="s">
        <v>529</v>
      </c>
      <c r="V217" s="4"/>
      <c r="W217" s="4"/>
      <c r="X217" s="4"/>
      <c r="Y217" s="4"/>
      <c r="Z217" t="str">
        <f>IFERROR(INDEX(הגדרות!$B$2:$B$17,MATCH(H217,הגדרות!$A$2:$A$17,0)),"")</f>
        <v>מיוער</v>
      </c>
      <c r="AA217">
        <f>IFERROR(INDEX(הגדרות!$C$2:$C$17,MATCH(H217,הגדרות!$A$2:$A$17,0)),"")</f>
        <v>0</v>
      </c>
      <c r="AB217" t="str">
        <f>IFERROR(INDEX(הגדרות!$B$2:$B$17,MATCH(I217,הגדרות!$A$2:$A$17,0)),"")</f>
        <v/>
      </c>
      <c r="AC217" t="str">
        <f>IFERROR(INDEX(הגדרות!$C$2:$C$17,MATCH(I217,הגדרות!$A$2:$A$17,0)),"")</f>
        <v/>
      </c>
      <c r="AD217" t="e">
        <f>IF(AND(מלאי!D217&lt;&gt;"",OR(#REF!="הכל",מלאי!Z217=#REF!,מלאי!AA217=#REF!,מלאי!AB217=#REF!,מלאי!AC217=#REF!),OR(#REF!="הכל",מלאי!A217=#REF!),OR(#REF!="הכל",מלאי!B217=#REF!),OR(#REF!="הכל",מלאי!F217=#REF!,מלאי!G217=#REF!),OR(#REF!="הכל",מלאי!T217=#REF!),OR(#REF!="הכל",מלאי!Q217=#REF!),OR(#REF!="הכל",מלאי!J217=#REF!),OR(#REF!="הכל",מלאי!L217=#REF!),OR(#REF!="הכל",מלאי!O217=#REF!),OR(#REF!="הכל",מלאי!R217=#REF!),OR(#REF!="הכל",#REF!="",מלאי!W217=#REF!),OR(#REF!="הכל",#REF!="",ISNUMBER(SEARCH(#REF!,מלאי!C217)))),1,0)</f>
        <v>#REF!</v>
      </c>
      <c r="AE217" t="e">
        <f>IF(AND(מלאי!D217&lt;&gt;"",OR(#REF!="הכל",מלאי!Z217=#REF!,מלאי!AA217=#REF!,מלאי!AB217=#REF!,מלאי!AC217=#REF!),OR(#REF!="הכל",מלאי!A217=#REF!),OR(#REF!="הכל",מלאי!B217=#REF!),OR(#REF!="הכל",מלאי!F217=#REF!,מלאי!G217=#REF!),OR(#REF!="הכל",מלאי!T217=#REF!),OR(#REF!="הכל",מלאי!Q217=#REF!),OR(#REF!="הכל",מלאי!J217=#REF!),OR(#REF!="הכל",מלאי!L217=#REF!),OR(#REF!="הכל",מלאי!O217=#REF!),OR(#REF!="הכל",מלאי!R217=#REF!),OR(#REF!="הכל",#REF!="",מלאי!W217=#REF!),OR(#REF!="הכל",#REF!="",ISNUMBER(SEARCH(#REF!,מלאי!C217))),OR(#REF!="הכל",מלאי!#REF!=#REF!)),1,0)</f>
        <v>#REF!</v>
      </c>
      <c r="AF217" t="e">
        <f>IF(AD217=1,COUNTIF($AD$3:$AD217,1),"")</f>
        <v>#REF!</v>
      </c>
      <c r="AG217" t="e">
        <f>IF(AE217=1,COUNTIF($AE$3:$AE217,1),"")</f>
        <v>#REF!</v>
      </c>
    </row>
    <row r="218" spans="1:33" ht="15" customHeight="1" x14ac:dyDescent="0.35">
      <c r="A218" s="4" t="s">
        <v>144</v>
      </c>
      <c r="B218" s="4" t="s">
        <v>202</v>
      </c>
      <c r="C218" s="4" t="s">
        <v>527</v>
      </c>
      <c r="D218" s="4" t="s">
        <v>523</v>
      </c>
      <c r="E218" s="4">
        <f>IFERROR(INDEX(הגדרות!$I$2:$I$47,MATCH(B218,הגדרות!$H$2:$H$47,0)),"")</f>
        <v>0</v>
      </c>
      <c r="F218" s="4" t="s">
        <v>168</v>
      </c>
      <c r="G218" s="4"/>
      <c r="H218" s="4" t="s">
        <v>72</v>
      </c>
      <c r="I218" s="4"/>
      <c r="J218" s="4" t="s">
        <v>40</v>
      </c>
      <c r="K218" s="4"/>
      <c r="L218" s="4"/>
      <c r="M218" s="4"/>
      <c r="N218" s="4"/>
      <c r="O218" s="4"/>
      <c r="P218" s="4" t="s">
        <v>531</v>
      </c>
      <c r="Q218" s="4" t="s">
        <v>40</v>
      </c>
      <c r="R218" s="4"/>
      <c r="S218" s="4"/>
      <c r="T218" s="17" t="s">
        <v>41</v>
      </c>
      <c r="U218" s="4" t="s">
        <v>529</v>
      </c>
      <c r="V218" s="4"/>
      <c r="W218" s="4"/>
      <c r="X218" s="4"/>
      <c r="Y218" s="4"/>
      <c r="Z218" t="str">
        <f>IFERROR(INDEX(הגדרות!$B$2:$B$17,MATCH(H218,הגדרות!$A$2:$A$17,0)),"")</f>
        <v>מיוער</v>
      </c>
      <c r="AA218">
        <f>IFERROR(INDEX(הגדרות!$C$2:$C$17,MATCH(H218,הגדרות!$A$2:$A$17,0)),"")</f>
        <v>0</v>
      </c>
      <c r="AB218" t="str">
        <f>IFERROR(INDEX(הגדרות!$B$2:$B$17,MATCH(I218,הגדרות!$A$2:$A$17,0)),"")</f>
        <v/>
      </c>
      <c r="AC218" t="str">
        <f>IFERROR(INDEX(הגדרות!$C$2:$C$17,MATCH(I218,הגדרות!$A$2:$A$17,0)),"")</f>
        <v/>
      </c>
      <c r="AD218" t="e">
        <f>IF(AND(מלאי!D218&lt;&gt;"",OR(#REF!="הכל",מלאי!Z218=#REF!,מלאי!AA218=#REF!,מלאי!AB218=#REF!,מלאי!AC218=#REF!),OR(#REF!="הכל",מלאי!A218=#REF!),OR(#REF!="הכל",מלאי!B218=#REF!),OR(#REF!="הכל",מלאי!F218=#REF!,מלאי!G218=#REF!),OR(#REF!="הכל",מלאי!T218=#REF!),OR(#REF!="הכל",מלאי!Q218=#REF!),OR(#REF!="הכל",מלאי!J218=#REF!),OR(#REF!="הכל",מלאי!L218=#REF!),OR(#REF!="הכל",מלאי!O218=#REF!),OR(#REF!="הכל",מלאי!R218=#REF!),OR(#REF!="הכל",#REF!="",מלאי!W218=#REF!),OR(#REF!="הכל",#REF!="",ISNUMBER(SEARCH(#REF!,מלאי!C218)))),1,0)</f>
        <v>#REF!</v>
      </c>
      <c r="AE218" t="e">
        <f>IF(AND(מלאי!D218&lt;&gt;"",OR(#REF!="הכל",מלאי!Z218=#REF!,מלאי!AA218=#REF!,מלאי!AB218=#REF!,מלאי!AC218=#REF!),OR(#REF!="הכל",מלאי!A218=#REF!),OR(#REF!="הכל",מלאי!B218=#REF!),OR(#REF!="הכל",מלאי!F218=#REF!,מלאי!G218=#REF!),OR(#REF!="הכל",מלאי!T218=#REF!),OR(#REF!="הכל",מלאי!Q218=#REF!),OR(#REF!="הכל",מלאי!J218=#REF!),OR(#REF!="הכל",מלאי!L218=#REF!),OR(#REF!="הכל",מלאי!O218=#REF!),OR(#REF!="הכל",מלאי!R218=#REF!),OR(#REF!="הכל",#REF!="",מלאי!W218=#REF!),OR(#REF!="הכל",#REF!="",ISNUMBER(SEARCH(#REF!,מלאי!C218))),OR(#REF!="הכל",מלאי!#REF!=#REF!)),1,0)</f>
        <v>#REF!</v>
      </c>
      <c r="AF218" t="e">
        <f>IF(AD218=1,COUNTIF($AD$3:$AD218,1),"")</f>
        <v>#REF!</v>
      </c>
      <c r="AG218" t="e">
        <f>IF(AE218=1,COUNTIF($AE$3:$AE218,1),"")</f>
        <v>#REF!</v>
      </c>
    </row>
    <row r="219" spans="1:33" ht="15" customHeight="1" x14ac:dyDescent="0.35">
      <c r="A219" s="4" t="s">
        <v>144</v>
      </c>
      <c r="B219" s="4" t="s">
        <v>200</v>
      </c>
      <c r="C219" s="4"/>
      <c r="D219" s="4" t="s">
        <v>530</v>
      </c>
      <c r="E219" s="4" t="str">
        <f>IFERROR(INDEX(הגדרות!$I$2:$I$47,MATCH(B219,הגדרות!$H$2:$H$47,0)),"")</f>
        <v>7017-00</v>
      </c>
      <c r="F219" s="4" t="s">
        <v>45</v>
      </c>
      <c r="G219" s="4"/>
      <c r="H219" s="4" t="s">
        <v>72</v>
      </c>
      <c r="I219" s="4"/>
      <c r="J219" s="5" t="s">
        <v>40</v>
      </c>
      <c r="K219" s="4"/>
      <c r="L219" s="4"/>
      <c r="M219" s="4"/>
      <c r="N219" s="4"/>
      <c r="O219" s="4"/>
      <c r="P219" s="4"/>
      <c r="Q219" s="4"/>
      <c r="R219" s="4"/>
      <c r="S219" s="4"/>
      <c r="T219" s="17" t="s">
        <v>41</v>
      </c>
      <c r="U219" s="4"/>
      <c r="V219" s="4"/>
      <c r="W219" s="4"/>
      <c r="X219" s="4"/>
      <c r="Y219" s="4"/>
      <c r="Z219" t="str">
        <f>IFERROR(INDEX(הגדרות!$B$2:$B$17,MATCH(H219,הגדרות!$A$2:$A$17,0)),"")</f>
        <v>מיוער</v>
      </c>
      <c r="AA219">
        <f>IFERROR(INDEX(הגדרות!$C$2:$C$17,MATCH(H219,הגדרות!$A$2:$A$17,0)),"")</f>
        <v>0</v>
      </c>
      <c r="AB219" t="str">
        <f>IFERROR(INDEX(הגדרות!$B$2:$B$17,MATCH(I219,הגדרות!$A$2:$A$17,0)),"")</f>
        <v/>
      </c>
      <c r="AC219" t="str">
        <f>IFERROR(INDEX(הגדרות!$C$2:$C$17,MATCH(I219,הגדרות!$A$2:$A$17,0)),"")</f>
        <v/>
      </c>
      <c r="AD219" t="e">
        <f>IF(AND(מלאי!D219&lt;&gt;"",OR(#REF!="הכל",מלאי!Z219=#REF!,מלאי!AA219=#REF!,מלאי!AB219=#REF!,מלאי!AC219=#REF!),OR(#REF!="הכל",מלאי!A219=#REF!),OR(#REF!="הכל",מלאי!C219=#REF!),OR(#REF!="הכל",מלאי!F219=#REF!,מלאי!G219=#REF!),OR(#REF!="הכל",מלאי!T219=#REF!),OR(#REF!="הכל",מלאי!Q219=#REF!),OR(#REF!="הכל",מלאי!#REF!=#REF!),OR(#REF!="הכל",מלאי!L219=#REF!),OR(#REF!="הכל",מלאי!O219=#REF!),OR(#REF!="הכל",מלאי!R219=#REF!),OR(#REF!="הכל",#REF!="",מלאי!W219=#REF!),OR(#REF!="הכל",#REF!="",ISNUMBER(SEARCH(#REF!,מלאי!#REF!)))),1,0)</f>
        <v>#REF!</v>
      </c>
      <c r="AE219" t="e">
        <f>IF(AND(מלאי!D219&lt;&gt;"",OR(#REF!="הכל",מלאי!Z219=#REF!,מלאי!AA219=#REF!,מלאי!AB219=#REF!,מלאי!AC219=#REF!),OR(#REF!="הכל",מלאי!A219=#REF!),OR(#REF!="הכל",מלאי!C219=#REF!),OR(#REF!="הכל",מלאי!F219=#REF!,מלאי!G219=#REF!),OR(#REF!="הכל",מלאי!T219=#REF!),OR(#REF!="הכל",מלאי!Q219=#REF!),OR(#REF!="הכל",מלאי!#REF!=#REF!),OR(#REF!="הכל",מלאי!L219=#REF!),OR(#REF!="הכל",מלאי!O219=#REF!),OR(#REF!="הכל",מלאי!R219=#REF!),OR(#REF!="הכל",#REF!="",מלאי!W219=#REF!),OR(#REF!="הכל",#REF!="",ISNUMBER(SEARCH(#REF!,מלאי!#REF!))),OR(#REF!="הכל",מלאי!#REF!=#REF!)),1,0)</f>
        <v>#REF!</v>
      </c>
      <c r="AF219" t="e">
        <f>IF(AD219=1,COUNTIF($AD$3:$AD219,1),"")</f>
        <v>#REF!</v>
      </c>
      <c r="AG219" t="e">
        <f>IF(AE219=1,COUNTIF($AE$3:$AE219,1),"")</f>
        <v>#REF!</v>
      </c>
    </row>
    <row r="220" spans="1:33" ht="15" customHeight="1" x14ac:dyDescent="0.35">
      <c r="A220" s="17" t="s">
        <v>144</v>
      </c>
      <c r="B220" s="17" t="s">
        <v>196</v>
      </c>
      <c r="C220" s="18" t="s">
        <v>327</v>
      </c>
      <c r="D220" s="17" t="s">
        <v>532</v>
      </c>
      <c r="E220" s="17" t="str">
        <f>IFERROR(INDEX(הגדרות!$I$2:$I$47,MATCH(B220,הגדרות!$H$2:$H$47,0)),"")</f>
        <v>8030-00</v>
      </c>
      <c r="F220" s="18" t="s">
        <v>311</v>
      </c>
      <c r="G220" s="17"/>
      <c r="H220" s="17" t="s">
        <v>72</v>
      </c>
      <c r="I220" s="17"/>
      <c r="J220" s="17" t="s">
        <v>40</v>
      </c>
      <c r="K220" s="17"/>
      <c r="L220" s="17"/>
      <c r="M220" s="17"/>
      <c r="N220" s="17"/>
      <c r="O220" s="17"/>
      <c r="P220" s="17"/>
      <c r="Q220" s="17"/>
      <c r="R220" s="17"/>
      <c r="S220" s="17"/>
      <c r="T220" s="17" t="s">
        <v>41</v>
      </c>
      <c r="U220" s="17"/>
      <c r="V220" s="17"/>
      <c r="W220" s="17"/>
      <c r="X220" s="17"/>
      <c r="Y220" s="17"/>
      <c r="Z220" t="str">
        <f>IFERROR(INDEX(הגדרות!$B$2:$B$17,MATCH(H220,הגדרות!$A$2:$A$17,0)),"")</f>
        <v>מיוער</v>
      </c>
      <c r="AA220">
        <f>IFERROR(INDEX(הגדרות!$C$2:$C$17,MATCH(H220,הגדרות!$A$2:$A$17,0)),"")</f>
        <v>0</v>
      </c>
      <c r="AB220" t="str">
        <f>IFERROR(INDEX(הגדרות!$B$2:$B$17,MATCH(I220,הגדרות!$A$2:$A$17,0)),"")</f>
        <v/>
      </c>
      <c r="AC220" t="str">
        <f>IFERROR(INDEX(הגדרות!$C$2:$C$17,MATCH(I220,הגדרות!$A$2:$A$17,0)),"")</f>
        <v/>
      </c>
      <c r="AD220" t="e">
        <f>IF(AND(מלאי!D337&lt;&gt;"",OR(#REF!="הכל",מלאי!Z337=#REF!,מלאי!AA337=#REF!,מלאי!AB337=#REF!,מלאי!AC337=#REF!),OR(#REF!="הכל",מלאי!A337=#REF!),OR(#REF!="הכל",מלאי!B337=#REF!),OR(#REF!="הכל",מלאי!F337=#REF!,מלאי!G337=#REF!),OR(#REF!="הכל",מלאי!T337=#REF!),OR(#REF!="הכל",מלאי!Q337=#REF!),OR(#REF!="הכל",מלאי!J337=#REF!),OR(#REF!="הכל",מלאי!L337=#REF!),OR(#REF!="הכל",מלאי!O337=#REF!),OR(#REF!="הכל",מלאי!R337=#REF!),OR(#REF!="הכל",#REF!="",מלאי!W337=#REF!),OR(#REF!="הכל",#REF!="",ISNUMBER(SEARCH(#REF!,מלאי!C337)))),1,0)</f>
        <v>#REF!</v>
      </c>
      <c r="AE220" t="e">
        <f>IF(AND(מלאי!D337&lt;&gt;"",OR(#REF!="הכל",מלאי!Z337=#REF!,מלאי!AA337=#REF!,מלאי!AB337=#REF!,מלאי!AC337=#REF!),OR(#REF!="הכל",מלאי!A337=#REF!),OR(#REF!="הכל",מלאי!B337=#REF!),OR(#REF!="הכל",מלאי!F337=#REF!,מלאי!G337=#REF!),OR(#REF!="הכל",מלאי!T337=#REF!),OR(#REF!="הכל",מלאי!Q337=#REF!),OR(#REF!="הכל",מלאי!J337=#REF!),OR(#REF!="הכל",מלאי!L337=#REF!),OR(#REF!="הכל",מלאי!O337=#REF!),OR(#REF!="הכל",מלאי!R337=#REF!),OR(#REF!="הכל",#REF!="",מלאי!W337=#REF!),OR(#REF!="הכל",#REF!="",ISNUMBER(SEARCH(#REF!,מלאי!C337))),OR(#REF!="הכל",מלאי!#REF!=#REF!)),1,0)</f>
        <v>#REF!</v>
      </c>
      <c r="AF220" t="e">
        <f>IF(AD220=1,COUNTIF($AD$3:$AD220,1),"")</f>
        <v>#REF!</v>
      </c>
      <c r="AG220" t="e">
        <f>IF(AE220=1,COUNTIF($AE$3:$AE220,1),"")</f>
        <v>#REF!</v>
      </c>
    </row>
    <row r="221" spans="1:33" ht="15" hidden="1" customHeight="1" x14ac:dyDescent="0.35">
      <c r="A221" s="4"/>
      <c r="B221" s="4"/>
      <c r="C221" s="4"/>
      <c r="D221" s="4"/>
      <c r="E221" s="4" t="str">
        <f>IFERROR(INDEX(הגדרות!$I$2:$I$47,MATCH(B221,הגדרות!$H$2:$H$47,0)),"")</f>
        <v/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t="str">
        <f>IFERROR(INDEX(הגדרות!$B$2:$B$17,MATCH(H221,הגדרות!$A$2:$A$17,0)),"")</f>
        <v/>
      </c>
      <c r="AA221" t="str">
        <f>IFERROR(INDEX(הגדרות!$C$2:$C$17,MATCH(H221,הגדרות!$A$2:$A$17,0)),"")</f>
        <v/>
      </c>
      <c r="AB221" t="str">
        <f>IFERROR(INDEX(הגדרות!$B$2:$B$17,MATCH(I221,הגדרות!$A$2:$A$17,0)),"")</f>
        <v/>
      </c>
      <c r="AC221" t="str">
        <f>IFERROR(INDEX(הגדרות!$C$2:$C$17,MATCH(I221,הגדרות!$A$2:$A$17,0)),"")</f>
        <v/>
      </c>
      <c r="AD221" t="e">
        <f>IF(AND(מלאי!D221&lt;&gt;"",OR(#REF!="הכל",מלאי!Z221=#REF!,מלאי!AA221=#REF!,מלאי!AB221=#REF!,מלאי!AC221=#REF!),OR(#REF!="הכל",מלאי!A221=#REF!),OR(#REF!="הכל",מלאי!B221=#REF!),OR(#REF!="הכל",מלאי!F221=#REF!,מלאי!G221=#REF!),OR(#REF!="הכל",מלאי!T221=#REF!),OR(#REF!="הכל",מלאי!Q221=#REF!),OR(#REF!="הכל",מלאי!J221=#REF!),OR(#REF!="הכל",מלאי!L221=#REF!),OR(#REF!="הכל",מלאי!O221=#REF!),OR(#REF!="הכל",מלאי!R221=#REF!),OR(#REF!="הכל",#REF!="",מלאי!W221=#REF!),OR(#REF!="הכל",#REF!="",ISNUMBER(SEARCH(#REF!,מלאי!C221)))),1,0)</f>
        <v>#REF!</v>
      </c>
      <c r="AE221" t="e">
        <f>IF(AND(מלאי!D221&lt;&gt;"",OR(#REF!="הכל",מלאי!Z221=#REF!,מלאי!AA221=#REF!,מלאי!AB221=#REF!,מלאי!AC221=#REF!),OR(#REF!="הכל",מלאי!A221=#REF!),OR(#REF!="הכל",מלאי!B221=#REF!),OR(#REF!="הכל",מלאי!F221=#REF!,מלאי!G221=#REF!),OR(#REF!="הכל",מלאי!T221=#REF!),OR(#REF!="הכל",מלאי!Q221=#REF!),OR(#REF!="הכל",מלאי!J221=#REF!),OR(#REF!="הכל",מלאי!L221=#REF!),OR(#REF!="הכל",מלאי!O221=#REF!),OR(#REF!="הכל",מלאי!R221=#REF!),OR(#REF!="הכל",#REF!="",מלאי!W221=#REF!),OR(#REF!="הכל",#REF!="",ISNUMBER(SEARCH(#REF!,מלאי!C221))),OR(#REF!="הכל",מלאי!#REF!=#REF!)),1,0)</f>
        <v>#REF!</v>
      </c>
      <c r="AF221" t="e">
        <f>IF(AD221=1,COUNTIF($AD$3:$AD221,1),"")</f>
        <v>#REF!</v>
      </c>
      <c r="AG221" t="e">
        <f>IF(AE221=1,COUNTIF($AE$3:$AE221,1),"")</f>
        <v>#REF!</v>
      </c>
    </row>
    <row r="222" spans="1:33" ht="15" hidden="1" customHeight="1" x14ac:dyDescent="0.35">
      <c r="A222" s="5"/>
      <c r="B222" s="5"/>
      <c r="C222" s="5"/>
      <c r="D222" s="5"/>
      <c r="E222" s="5" t="str">
        <f>IFERROR(INDEX(הגדרות!$I$2:$I$47,MATCH(B222,הגדרות!$H$2:$H$47,0)),"")</f>
        <v/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t="str">
        <f>IFERROR(INDEX(הגדרות!$B$2:$B$17,MATCH(H222,הגדרות!$A$2:$A$17,0)),"")</f>
        <v/>
      </c>
      <c r="AA222" t="str">
        <f>IFERROR(INDEX(הגדרות!$C$2:$C$17,MATCH(H222,הגדרות!$A$2:$A$17,0)),"")</f>
        <v/>
      </c>
      <c r="AB222" t="str">
        <f>IFERROR(INDEX(הגדרות!$B$2:$B$17,MATCH(I222,הגדרות!$A$2:$A$17,0)),"")</f>
        <v/>
      </c>
      <c r="AC222" t="str">
        <f>IFERROR(INDEX(הגדרות!$C$2:$C$17,MATCH(I222,הגדרות!$A$2:$A$17,0)),"")</f>
        <v/>
      </c>
      <c r="AD222" t="e">
        <f>IF(AND(מלאי!D222&lt;&gt;"",OR(#REF!="הכל",מלאי!Z222=#REF!,מלאי!AA222=#REF!,מלאי!AB222=#REF!,מלאי!AC222=#REF!),OR(#REF!="הכל",מלאי!A222=#REF!),OR(#REF!="הכל",מלאי!B222=#REF!),OR(#REF!="הכל",מלאי!F222=#REF!,מלאי!G222=#REF!),OR(#REF!="הכל",מלאי!T222=#REF!),OR(#REF!="הכל",מלאי!Q222=#REF!),OR(#REF!="הכל",מלאי!J222=#REF!),OR(#REF!="הכל",מלאי!L222=#REF!),OR(#REF!="הכל",מלאי!O222=#REF!),OR(#REF!="הכל",מלאי!R222=#REF!),OR(#REF!="הכל",#REF!="",מלאי!W222=#REF!),OR(#REF!="הכל",#REF!="",ISNUMBER(SEARCH(#REF!,מלאי!C222)))),1,0)</f>
        <v>#REF!</v>
      </c>
      <c r="AE222" t="e">
        <f>IF(AND(מלאי!D222&lt;&gt;"",OR(#REF!="הכל",מלאי!Z222=#REF!,מלאי!AA222=#REF!,מלאי!AB222=#REF!,מלאי!AC222=#REF!),OR(#REF!="הכל",מלאי!A222=#REF!),OR(#REF!="הכל",מלאי!B222=#REF!),OR(#REF!="הכל",מלאי!F222=#REF!,מלאי!G222=#REF!),OR(#REF!="הכל",מלאי!T222=#REF!),OR(#REF!="הכל",מלאי!Q222=#REF!),OR(#REF!="הכל",מלאי!J222=#REF!),OR(#REF!="הכל",מלאי!L222=#REF!),OR(#REF!="הכל",מלאי!O222=#REF!),OR(#REF!="הכל",מלאי!R222=#REF!),OR(#REF!="הכל",#REF!="",מלאי!W222=#REF!),OR(#REF!="הכל",#REF!="",ISNUMBER(SEARCH(#REF!,מלאי!C222))),OR(#REF!="הכל",מלאי!#REF!=#REF!)),1,0)</f>
        <v>#REF!</v>
      </c>
      <c r="AF222" t="e">
        <f>IF(AD222=1,COUNTIF($AD$3:$AD222,1),"")</f>
        <v>#REF!</v>
      </c>
      <c r="AG222" t="e">
        <f>IF(AE222=1,COUNTIF($AE$3:$AE222,1),"")</f>
        <v>#REF!</v>
      </c>
    </row>
    <row r="223" spans="1:33" ht="15" hidden="1" customHeight="1" x14ac:dyDescent="0.35">
      <c r="A223" s="4"/>
      <c r="B223" s="4"/>
      <c r="C223" s="4"/>
      <c r="D223" s="4"/>
      <c r="E223" s="4" t="str">
        <f>IFERROR(INDEX(הגדרות!$I$2:$I$47,MATCH(B223,הגדרות!$H$2:$H$47,0)),"")</f>
        <v/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t="str">
        <f>IFERROR(INDEX(הגדרות!$B$2:$B$17,MATCH(H223,הגדרות!$A$2:$A$17,0)),"")</f>
        <v/>
      </c>
      <c r="AA223" t="str">
        <f>IFERROR(INDEX(הגדרות!$C$2:$C$17,MATCH(H223,הגדרות!$A$2:$A$17,0)),"")</f>
        <v/>
      </c>
      <c r="AB223" t="str">
        <f>IFERROR(INDEX(הגדרות!$B$2:$B$17,MATCH(I223,הגדרות!$A$2:$A$17,0)),"")</f>
        <v/>
      </c>
      <c r="AC223" t="str">
        <f>IFERROR(INDEX(הגדרות!$C$2:$C$17,MATCH(I223,הגדרות!$A$2:$A$17,0)),"")</f>
        <v/>
      </c>
      <c r="AD223" t="e">
        <f>IF(AND(מלאי!D223&lt;&gt;"",OR(#REF!="הכל",מלאי!Z223=#REF!,מלאי!AA223=#REF!,מלאי!AB223=#REF!,מלאי!AC223=#REF!),OR(#REF!="הכל",מלאי!A223=#REF!),OR(#REF!="הכל",מלאי!B223=#REF!),OR(#REF!="הכל",מלאי!F223=#REF!,מלאי!G223=#REF!),OR(#REF!="הכל",מלאי!T223=#REF!),OR(#REF!="הכל",מלאי!Q223=#REF!),OR(#REF!="הכל",מלאי!J223=#REF!),OR(#REF!="הכל",מלאי!L223=#REF!),OR(#REF!="הכל",מלאי!O223=#REF!),OR(#REF!="הכל",מלאי!R223=#REF!),OR(#REF!="הכל",#REF!="",מלאי!W223=#REF!),OR(#REF!="הכל",#REF!="",ISNUMBER(SEARCH(#REF!,מלאי!C223)))),1,0)</f>
        <v>#REF!</v>
      </c>
      <c r="AE223" t="e">
        <f>IF(AND(מלאי!D223&lt;&gt;"",OR(#REF!="הכל",מלאי!Z223=#REF!,מלאי!AA223=#REF!,מלאי!AB223=#REF!,מלאי!AC223=#REF!),OR(#REF!="הכל",מלאי!A223=#REF!),OR(#REF!="הכל",מלאי!B223=#REF!),OR(#REF!="הכל",מלאי!F223=#REF!,מלאי!G223=#REF!),OR(#REF!="הכל",מלאי!T223=#REF!),OR(#REF!="הכל",מלאי!Q223=#REF!),OR(#REF!="הכל",מלאי!J223=#REF!),OR(#REF!="הכל",מלאי!L223=#REF!),OR(#REF!="הכל",מלאי!O223=#REF!),OR(#REF!="הכל",מלאי!R223=#REF!),OR(#REF!="הכל",#REF!="",מלאי!W223=#REF!),OR(#REF!="הכל",#REF!="",ISNUMBER(SEARCH(#REF!,מלאי!C223))),OR(#REF!="הכל",מלאי!#REF!=#REF!)),1,0)</f>
        <v>#REF!</v>
      </c>
      <c r="AF223" t="e">
        <f>IF(AD223=1,COUNTIF($AD$3:$AD223,1),"")</f>
        <v>#REF!</v>
      </c>
      <c r="AG223" t="e">
        <f>IF(AE223=1,COUNTIF($AE$3:$AE223,1),"")</f>
        <v>#REF!</v>
      </c>
    </row>
    <row r="224" spans="1:33" ht="15" hidden="1" customHeight="1" x14ac:dyDescent="0.35">
      <c r="A224" s="5"/>
      <c r="B224" s="5"/>
      <c r="C224" s="5"/>
      <c r="D224" s="5"/>
      <c r="E224" s="5" t="str">
        <f>IFERROR(INDEX(הגדרות!$I$2:$I$47,MATCH(B224,הגדרות!$H$2:$H$47,0)),"")</f>
        <v/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t="str">
        <f>IFERROR(INDEX(הגדרות!$B$2:$B$17,MATCH(H224,הגדרות!$A$2:$A$17,0)),"")</f>
        <v/>
      </c>
      <c r="AA224" t="str">
        <f>IFERROR(INDEX(הגדרות!$C$2:$C$17,MATCH(H224,הגדרות!$A$2:$A$17,0)),"")</f>
        <v/>
      </c>
      <c r="AB224" t="str">
        <f>IFERROR(INDEX(הגדרות!$B$2:$B$17,MATCH(I224,הגדרות!$A$2:$A$17,0)),"")</f>
        <v/>
      </c>
      <c r="AC224" t="str">
        <f>IFERROR(INDEX(הגדרות!$C$2:$C$17,MATCH(I224,הגדרות!$A$2:$A$17,0)),"")</f>
        <v/>
      </c>
      <c r="AD224" t="e">
        <f>IF(AND(מלאי!D224&lt;&gt;"",OR(#REF!="הכל",מלאי!Z224=#REF!,מלאי!AA224=#REF!,מלאי!AB224=#REF!,מלאי!AC224=#REF!),OR(#REF!="הכל",מלאי!A224=#REF!),OR(#REF!="הכל",מלאי!B224=#REF!),OR(#REF!="הכל",מלאי!F224=#REF!,מלאי!G224=#REF!),OR(#REF!="הכל",מלאי!T224=#REF!),OR(#REF!="הכל",מלאי!Q224=#REF!),OR(#REF!="הכל",מלאי!J224=#REF!),OR(#REF!="הכל",מלאי!L224=#REF!),OR(#REF!="הכל",מלאי!O224=#REF!),OR(#REF!="הכל",מלאי!R224=#REF!),OR(#REF!="הכל",#REF!="",מלאי!W224=#REF!),OR(#REF!="הכל",#REF!="",ISNUMBER(SEARCH(#REF!,מלאי!C224)))),1,0)</f>
        <v>#REF!</v>
      </c>
      <c r="AE224" t="e">
        <f>IF(AND(מלאי!D224&lt;&gt;"",OR(#REF!="הכל",מלאי!Z224=#REF!,מלאי!AA224=#REF!,מלאי!AB224=#REF!,מלאי!AC224=#REF!),OR(#REF!="הכל",מלאי!A224=#REF!),OR(#REF!="הכל",מלאי!B224=#REF!),OR(#REF!="הכל",מלאי!F224=#REF!,מלאי!G224=#REF!),OR(#REF!="הכל",מלאי!T224=#REF!),OR(#REF!="הכל",מלאי!Q224=#REF!),OR(#REF!="הכל",מלאי!J224=#REF!),OR(#REF!="הכל",מלאי!L224=#REF!),OR(#REF!="הכל",מלאי!O224=#REF!),OR(#REF!="הכל",מלאי!R224=#REF!),OR(#REF!="הכל",#REF!="",מלאי!W224=#REF!),OR(#REF!="הכל",#REF!="",ISNUMBER(SEARCH(#REF!,מלאי!C224))),OR(#REF!="הכל",מלאי!#REF!=#REF!)),1,0)</f>
        <v>#REF!</v>
      </c>
      <c r="AF224" t="e">
        <f>IF(AD224=1,COUNTIF($AD$3:$AD224,1),"")</f>
        <v>#REF!</v>
      </c>
      <c r="AG224" t="e">
        <f>IF(AE224=1,COUNTIF($AE$3:$AE224,1),"")</f>
        <v>#REF!</v>
      </c>
    </row>
    <row r="225" spans="1:33" ht="15" hidden="1" customHeight="1" x14ac:dyDescent="0.35">
      <c r="A225" s="4"/>
      <c r="B225" s="4"/>
      <c r="C225" s="4"/>
      <c r="D225" s="4"/>
      <c r="E225" s="4" t="str">
        <f>IFERROR(INDEX(הגדרות!$I$2:$I$47,MATCH(B225,הגדרות!$H$2:$H$47,0)),"")</f>
        <v/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t="str">
        <f>IFERROR(INDEX(הגדרות!$B$2:$B$17,MATCH(H225,הגדרות!$A$2:$A$17,0)),"")</f>
        <v/>
      </c>
      <c r="AA225" t="str">
        <f>IFERROR(INDEX(הגדרות!$C$2:$C$17,MATCH(H225,הגדרות!$A$2:$A$17,0)),"")</f>
        <v/>
      </c>
      <c r="AB225" t="str">
        <f>IFERROR(INDEX(הגדרות!$B$2:$B$17,MATCH(I225,הגדרות!$A$2:$A$17,0)),"")</f>
        <v/>
      </c>
      <c r="AC225" t="str">
        <f>IFERROR(INDEX(הגדרות!$C$2:$C$17,MATCH(I225,הגדרות!$A$2:$A$17,0)),"")</f>
        <v/>
      </c>
      <c r="AD225" t="e">
        <f>IF(AND(מלאי!D225&lt;&gt;"",OR(#REF!="הכל",מלאי!Z225=#REF!,מלאי!AA225=#REF!,מלאי!AB225=#REF!,מלאי!AC225=#REF!),OR(#REF!="הכל",מלאי!A225=#REF!),OR(#REF!="הכל",מלאי!B225=#REF!),OR(#REF!="הכל",מלאי!F225=#REF!,מלאי!G225=#REF!),OR(#REF!="הכל",מלאי!T225=#REF!),OR(#REF!="הכל",מלאי!Q225=#REF!),OR(#REF!="הכל",מלאי!J225=#REF!),OR(#REF!="הכל",מלאי!L225=#REF!),OR(#REF!="הכל",מלאי!O225=#REF!),OR(#REF!="הכל",מלאי!R225=#REF!),OR(#REF!="הכל",#REF!="",מלאי!W225=#REF!),OR(#REF!="הכל",#REF!="",ISNUMBER(SEARCH(#REF!,מלאי!C225)))),1,0)</f>
        <v>#REF!</v>
      </c>
      <c r="AE225" t="e">
        <f>IF(AND(מלאי!D225&lt;&gt;"",OR(#REF!="הכל",מלאי!Z225=#REF!,מלאי!AA225=#REF!,מלאי!AB225=#REF!,מלאי!AC225=#REF!),OR(#REF!="הכל",מלאי!A225=#REF!),OR(#REF!="הכל",מלאי!B225=#REF!),OR(#REF!="הכל",מלאי!F225=#REF!,מלאי!G225=#REF!),OR(#REF!="הכל",מלאי!T225=#REF!),OR(#REF!="הכל",מלאי!Q225=#REF!),OR(#REF!="הכל",מלאי!J225=#REF!),OR(#REF!="הכל",מלאי!L225=#REF!),OR(#REF!="הכל",מלאי!O225=#REF!),OR(#REF!="הכל",מלאי!R225=#REF!),OR(#REF!="הכל",#REF!="",מלאי!W225=#REF!),OR(#REF!="הכל",#REF!="",ISNUMBER(SEARCH(#REF!,מלאי!C225))),OR(#REF!="הכל",מלאי!#REF!=#REF!)),1,0)</f>
        <v>#REF!</v>
      </c>
      <c r="AF225" t="e">
        <f>IF(AD225=1,COUNTIF($AD$3:$AD225,1),"")</f>
        <v>#REF!</v>
      </c>
      <c r="AG225" t="e">
        <f>IF(AE225=1,COUNTIF($AE$3:$AE225,1),"")</f>
        <v>#REF!</v>
      </c>
    </row>
    <row r="226" spans="1:33" ht="15" hidden="1" customHeight="1" x14ac:dyDescent="0.35">
      <c r="A226" s="5"/>
      <c r="B226" s="5"/>
      <c r="C226" s="5"/>
      <c r="D226" s="5"/>
      <c r="E226" s="5" t="str">
        <f>IFERROR(INDEX(הגדרות!$I$2:$I$47,MATCH(B226,הגדרות!$H$2:$H$47,0)),"")</f>
        <v/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t="str">
        <f>IFERROR(INDEX(הגדרות!$B$2:$B$17,MATCH(H226,הגדרות!$A$2:$A$17,0)),"")</f>
        <v/>
      </c>
      <c r="AA226" t="str">
        <f>IFERROR(INDEX(הגדרות!$C$2:$C$17,MATCH(H226,הגדרות!$A$2:$A$17,0)),"")</f>
        <v/>
      </c>
      <c r="AB226" t="str">
        <f>IFERROR(INDEX(הגדרות!$B$2:$B$17,MATCH(I226,הגדרות!$A$2:$A$17,0)),"")</f>
        <v/>
      </c>
      <c r="AC226" t="str">
        <f>IFERROR(INDEX(הגדרות!$C$2:$C$17,MATCH(I226,הגדרות!$A$2:$A$17,0)),"")</f>
        <v/>
      </c>
      <c r="AD226" t="e">
        <f>IF(AND(מלאי!D226&lt;&gt;"",OR(#REF!="הכל",מלאי!Z226=#REF!,מלאי!AA226=#REF!,מלאי!AB226=#REF!,מלאי!AC226=#REF!),OR(#REF!="הכל",מלאי!A226=#REF!),OR(#REF!="הכל",מלאי!B226=#REF!),OR(#REF!="הכל",מלאי!F226=#REF!,מלאי!G226=#REF!),OR(#REF!="הכל",מלאי!T226=#REF!),OR(#REF!="הכל",מלאי!Q226=#REF!),OR(#REF!="הכל",מלאי!J226=#REF!),OR(#REF!="הכל",מלאי!L226=#REF!),OR(#REF!="הכל",מלאי!O226=#REF!),OR(#REF!="הכל",מלאי!R226=#REF!),OR(#REF!="הכל",#REF!="",מלאי!W226=#REF!),OR(#REF!="הכל",#REF!="",ISNUMBER(SEARCH(#REF!,מלאי!C226)))),1,0)</f>
        <v>#REF!</v>
      </c>
      <c r="AE226" t="e">
        <f>IF(AND(מלאי!D226&lt;&gt;"",OR(#REF!="הכל",מלאי!Z226=#REF!,מלאי!AA226=#REF!,מלאי!AB226=#REF!,מלאי!AC226=#REF!),OR(#REF!="הכל",מלאי!A226=#REF!),OR(#REF!="הכל",מלאי!B226=#REF!),OR(#REF!="הכל",מלאי!F226=#REF!,מלאי!G226=#REF!),OR(#REF!="הכל",מלאי!T226=#REF!),OR(#REF!="הכל",מלאי!Q226=#REF!),OR(#REF!="הכל",מלאי!J226=#REF!),OR(#REF!="הכל",מלאי!L226=#REF!),OR(#REF!="הכל",מלאי!O226=#REF!),OR(#REF!="הכל",מלאי!R226=#REF!),OR(#REF!="הכל",#REF!="",מלאי!W226=#REF!),OR(#REF!="הכל",#REF!="",ISNUMBER(SEARCH(#REF!,מלאי!C226))),OR(#REF!="הכל",מלאי!#REF!=#REF!)),1,0)</f>
        <v>#REF!</v>
      </c>
      <c r="AF226" t="e">
        <f>IF(AD226=1,COUNTIF($AD$3:$AD226,1),"")</f>
        <v>#REF!</v>
      </c>
      <c r="AG226" t="e">
        <f>IF(AE226=1,COUNTIF($AE$3:$AE226,1),"")</f>
        <v>#REF!</v>
      </c>
    </row>
    <row r="227" spans="1:33" ht="15" hidden="1" customHeight="1" x14ac:dyDescent="0.35">
      <c r="A227" s="4"/>
      <c r="B227" s="4"/>
      <c r="C227" s="4"/>
      <c r="D227" s="4"/>
      <c r="E227" s="4" t="str">
        <f>IFERROR(INDEX(הגדרות!$I$2:$I$47,MATCH(B227,הגדרות!$H$2:$H$47,0)),"")</f>
        <v/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t="str">
        <f>IFERROR(INDEX(הגדרות!$B$2:$B$17,MATCH(H227,הגדרות!$A$2:$A$17,0)),"")</f>
        <v/>
      </c>
      <c r="AA227" t="str">
        <f>IFERROR(INDEX(הגדרות!$C$2:$C$17,MATCH(H227,הגדרות!$A$2:$A$17,0)),"")</f>
        <v/>
      </c>
      <c r="AB227" t="str">
        <f>IFERROR(INDEX(הגדרות!$B$2:$B$17,MATCH(I227,הגדרות!$A$2:$A$17,0)),"")</f>
        <v/>
      </c>
      <c r="AC227" t="str">
        <f>IFERROR(INDEX(הגדרות!$C$2:$C$17,MATCH(I227,הגדרות!$A$2:$A$17,0)),"")</f>
        <v/>
      </c>
      <c r="AD227" t="e">
        <f>IF(AND(מלאי!D227&lt;&gt;"",OR(#REF!="הכל",מלאי!Z227=#REF!,מלאי!AA227=#REF!,מלאי!AB227=#REF!,מלאי!AC227=#REF!),OR(#REF!="הכל",מלאי!A227=#REF!),OR(#REF!="הכל",מלאי!B227=#REF!),OR(#REF!="הכל",מלאי!F227=#REF!,מלאי!G227=#REF!),OR(#REF!="הכל",מלאי!T227=#REF!),OR(#REF!="הכל",מלאי!Q227=#REF!),OR(#REF!="הכל",מלאי!J227=#REF!),OR(#REF!="הכל",מלאי!L227=#REF!),OR(#REF!="הכל",מלאי!O227=#REF!),OR(#REF!="הכל",מלאי!R227=#REF!),OR(#REF!="הכל",#REF!="",מלאי!W227=#REF!),OR(#REF!="הכל",#REF!="",ISNUMBER(SEARCH(#REF!,מלאי!C227)))),1,0)</f>
        <v>#REF!</v>
      </c>
      <c r="AE227" t="e">
        <f>IF(AND(מלאי!D227&lt;&gt;"",OR(#REF!="הכל",מלאי!Z227=#REF!,מלאי!AA227=#REF!,מלאי!AB227=#REF!,מלאי!AC227=#REF!),OR(#REF!="הכל",מלאי!A227=#REF!),OR(#REF!="הכל",מלאי!B227=#REF!),OR(#REF!="הכל",מלאי!F227=#REF!,מלאי!G227=#REF!),OR(#REF!="הכל",מלאי!T227=#REF!),OR(#REF!="הכל",מלאי!Q227=#REF!),OR(#REF!="הכל",מלאי!J227=#REF!),OR(#REF!="הכל",מלאי!L227=#REF!),OR(#REF!="הכל",מלאי!O227=#REF!),OR(#REF!="הכל",מלאי!R227=#REF!),OR(#REF!="הכל",#REF!="",מלאי!W227=#REF!),OR(#REF!="הכל",#REF!="",ISNUMBER(SEARCH(#REF!,מלאי!C227))),OR(#REF!="הכל",מלאי!#REF!=#REF!)),1,0)</f>
        <v>#REF!</v>
      </c>
      <c r="AF227" t="e">
        <f>IF(AD227=1,COUNTIF($AD$3:$AD227,1),"")</f>
        <v>#REF!</v>
      </c>
      <c r="AG227" t="e">
        <f>IF(AE227=1,COUNTIF($AE$3:$AE227,1),"")</f>
        <v>#REF!</v>
      </c>
    </row>
    <row r="228" spans="1:33" ht="15" hidden="1" customHeight="1" x14ac:dyDescent="0.35">
      <c r="A228" s="5"/>
      <c r="B228" s="5"/>
      <c r="C228" s="5"/>
      <c r="D228" s="5"/>
      <c r="E228" s="5" t="str">
        <f>IFERROR(INDEX(הגדרות!$I$2:$I$47,MATCH(B228,הגדרות!$H$2:$H$47,0)),"")</f>
        <v/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t="str">
        <f>IFERROR(INDEX(הגדרות!$B$2:$B$17,MATCH(H228,הגדרות!$A$2:$A$17,0)),"")</f>
        <v/>
      </c>
      <c r="AA228" t="str">
        <f>IFERROR(INDEX(הגדרות!$C$2:$C$17,MATCH(H228,הגדרות!$A$2:$A$17,0)),"")</f>
        <v/>
      </c>
      <c r="AB228" t="str">
        <f>IFERROR(INDEX(הגדרות!$B$2:$B$17,MATCH(I228,הגדרות!$A$2:$A$17,0)),"")</f>
        <v/>
      </c>
      <c r="AC228" t="str">
        <f>IFERROR(INDEX(הגדרות!$C$2:$C$17,MATCH(I228,הגדרות!$A$2:$A$17,0)),"")</f>
        <v/>
      </c>
      <c r="AD228" t="e">
        <f>IF(AND(מלאי!D228&lt;&gt;"",OR(#REF!="הכל",מלאי!Z228=#REF!,מלאי!AA228=#REF!,מלאי!AB228=#REF!,מלאי!AC228=#REF!),OR(#REF!="הכל",מלאי!A228=#REF!),OR(#REF!="הכל",מלאי!B228=#REF!),OR(#REF!="הכל",מלאי!F228=#REF!,מלאי!G228=#REF!),OR(#REF!="הכל",מלאי!T228=#REF!),OR(#REF!="הכל",מלאי!Q228=#REF!),OR(#REF!="הכל",מלאי!J228=#REF!),OR(#REF!="הכל",מלאי!L228=#REF!),OR(#REF!="הכל",מלאי!O228=#REF!),OR(#REF!="הכל",מלאי!R228=#REF!),OR(#REF!="הכל",#REF!="",מלאי!W228=#REF!),OR(#REF!="הכל",#REF!="",ISNUMBER(SEARCH(#REF!,מלאי!C228)))),1,0)</f>
        <v>#REF!</v>
      </c>
      <c r="AE228" t="e">
        <f>IF(AND(מלאי!D228&lt;&gt;"",OR(#REF!="הכל",מלאי!Z228=#REF!,מלאי!AA228=#REF!,מלאי!AB228=#REF!,מלאי!AC228=#REF!),OR(#REF!="הכל",מלאי!A228=#REF!),OR(#REF!="הכל",מלאי!B228=#REF!),OR(#REF!="הכל",מלאי!F228=#REF!,מלאי!G228=#REF!),OR(#REF!="הכל",מלאי!T228=#REF!),OR(#REF!="הכל",מלאי!Q228=#REF!),OR(#REF!="הכל",מלאי!J228=#REF!),OR(#REF!="הכל",מלאי!L228=#REF!),OR(#REF!="הכל",מלאי!O228=#REF!),OR(#REF!="הכל",מלאי!R228=#REF!),OR(#REF!="הכל",#REF!="",מלאי!W228=#REF!),OR(#REF!="הכל",#REF!="",ISNUMBER(SEARCH(#REF!,מלאי!C228))),OR(#REF!="הכל",מלאי!#REF!=#REF!)),1,0)</f>
        <v>#REF!</v>
      </c>
      <c r="AF228" t="e">
        <f>IF(AD228=1,COUNTIF($AD$3:$AD228,1),"")</f>
        <v>#REF!</v>
      </c>
      <c r="AG228" t="e">
        <f>IF(AE228=1,COUNTIF($AE$3:$AE228,1),"")</f>
        <v>#REF!</v>
      </c>
    </row>
    <row r="229" spans="1:33" ht="15" hidden="1" customHeight="1" x14ac:dyDescent="0.35">
      <c r="A229" s="4"/>
      <c r="B229" s="4"/>
      <c r="C229" s="4"/>
      <c r="D229" s="4"/>
      <c r="E229" s="4" t="str">
        <f>IFERROR(INDEX(הגדרות!$I$2:$I$47,MATCH(B229,הגדרות!$H$2:$H$47,0)),"")</f>
        <v/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t="str">
        <f>IFERROR(INDEX(הגדרות!$B$2:$B$17,MATCH(H229,הגדרות!$A$2:$A$17,0)),"")</f>
        <v/>
      </c>
      <c r="AA229" t="str">
        <f>IFERROR(INDEX(הגדרות!$C$2:$C$17,MATCH(H229,הגדרות!$A$2:$A$17,0)),"")</f>
        <v/>
      </c>
      <c r="AB229" t="str">
        <f>IFERROR(INDEX(הגדרות!$B$2:$B$17,MATCH(I229,הגדרות!$A$2:$A$17,0)),"")</f>
        <v/>
      </c>
      <c r="AC229" t="str">
        <f>IFERROR(INDEX(הגדרות!$C$2:$C$17,MATCH(I229,הגדרות!$A$2:$A$17,0)),"")</f>
        <v/>
      </c>
      <c r="AD229" t="e">
        <f>IF(AND(מלאי!D229&lt;&gt;"",OR(#REF!="הכל",מלאי!Z229=#REF!,מלאי!AA229=#REF!,מלאי!AB229=#REF!,מלאי!AC229=#REF!),OR(#REF!="הכל",מלאי!A229=#REF!),OR(#REF!="הכל",מלאי!B229=#REF!),OR(#REF!="הכל",מלאי!F229=#REF!,מלאי!G229=#REF!),OR(#REF!="הכל",מלאי!T229=#REF!),OR(#REF!="הכל",מלאי!Q229=#REF!),OR(#REF!="הכל",מלאי!J229=#REF!),OR(#REF!="הכל",מלאי!L229=#REF!),OR(#REF!="הכל",מלאי!O229=#REF!),OR(#REF!="הכל",מלאי!R229=#REF!),OR(#REF!="הכל",#REF!="",מלאי!W229=#REF!),OR(#REF!="הכל",#REF!="",ISNUMBER(SEARCH(#REF!,מלאי!C229)))),1,0)</f>
        <v>#REF!</v>
      </c>
      <c r="AE229" t="e">
        <f>IF(AND(מלאי!D229&lt;&gt;"",OR(#REF!="הכל",מלאי!Z229=#REF!,מלאי!AA229=#REF!,מלאי!AB229=#REF!,מלאי!AC229=#REF!),OR(#REF!="הכל",מלאי!A229=#REF!),OR(#REF!="הכל",מלאי!B229=#REF!),OR(#REF!="הכל",מלאי!F229=#REF!,מלאי!G229=#REF!),OR(#REF!="הכל",מלאי!T229=#REF!),OR(#REF!="הכל",מלאי!Q229=#REF!),OR(#REF!="הכל",מלאי!J229=#REF!),OR(#REF!="הכל",מלאי!L229=#REF!),OR(#REF!="הכל",מלאי!O229=#REF!),OR(#REF!="הכל",מלאי!R229=#REF!),OR(#REF!="הכל",#REF!="",מלאי!W229=#REF!),OR(#REF!="הכל",#REF!="",ISNUMBER(SEARCH(#REF!,מלאי!C229))),OR(#REF!="הכל",מלאי!#REF!=#REF!)),1,0)</f>
        <v>#REF!</v>
      </c>
      <c r="AF229" t="e">
        <f>IF(AD229=1,COUNTIF($AD$3:$AD229,1),"")</f>
        <v>#REF!</v>
      </c>
      <c r="AG229" t="e">
        <f>IF(AE229=1,COUNTIF($AE$3:$AE229,1),"")</f>
        <v>#REF!</v>
      </c>
    </row>
    <row r="230" spans="1:33" ht="15" hidden="1" customHeight="1" x14ac:dyDescent="0.35">
      <c r="A230" s="5"/>
      <c r="B230" s="5"/>
      <c r="C230" s="5"/>
      <c r="D230" s="5"/>
      <c r="E230" s="5" t="str">
        <f>IFERROR(INDEX(הגדרות!$I$2:$I$47,MATCH(B230,הגדרות!$H$2:$H$47,0)),"")</f>
        <v/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t="str">
        <f>IFERROR(INDEX(הגדרות!$B$2:$B$17,MATCH(H230,הגדרות!$A$2:$A$17,0)),"")</f>
        <v/>
      </c>
      <c r="AA230" t="str">
        <f>IFERROR(INDEX(הגדרות!$C$2:$C$17,MATCH(H230,הגדרות!$A$2:$A$17,0)),"")</f>
        <v/>
      </c>
      <c r="AB230" t="str">
        <f>IFERROR(INDEX(הגדרות!$B$2:$B$17,MATCH(I230,הגדרות!$A$2:$A$17,0)),"")</f>
        <v/>
      </c>
      <c r="AC230" t="str">
        <f>IFERROR(INDEX(הגדרות!$C$2:$C$17,MATCH(I230,הגדרות!$A$2:$A$17,0)),"")</f>
        <v/>
      </c>
      <c r="AD230" t="e">
        <f>IF(AND(מלאי!D230&lt;&gt;"",OR(#REF!="הכל",מלאי!Z230=#REF!,מלאי!AA230=#REF!,מלאי!AB230=#REF!,מלאי!AC230=#REF!),OR(#REF!="הכל",מלאי!A230=#REF!),OR(#REF!="הכל",מלאי!B230=#REF!),OR(#REF!="הכל",מלאי!F230=#REF!,מלאי!G230=#REF!),OR(#REF!="הכל",מלאי!T230=#REF!),OR(#REF!="הכל",מלאי!Q230=#REF!),OR(#REF!="הכל",מלאי!J230=#REF!),OR(#REF!="הכל",מלאי!L230=#REF!),OR(#REF!="הכל",מלאי!O230=#REF!),OR(#REF!="הכל",מלאי!R230=#REF!),OR(#REF!="הכל",#REF!="",מלאי!W230=#REF!),OR(#REF!="הכל",#REF!="",ISNUMBER(SEARCH(#REF!,מלאי!C230)))),1,0)</f>
        <v>#REF!</v>
      </c>
      <c r="AE230" t="e">
        <f>IF(AND(מלאי!D230&lt;&gt;"",OR(#REF!="הכל",מלאי!Z230=#REF!,מלאי!AA230=#REF!,מלאי!AB230=#REF!,מלאי!AC230=#REF!),OR(#REF!="הכל",מלאי!A230=#REF!),OR(#REF!="הכל",מלאי!B230=#REF!),OR(#REF!="הכל",מלאי!F230=#REF!,מלאי!G230=#REF!),OR(#REF!="הכל",מלאי!T230=#REF!),OR(#REF!="הכל",מלאי!Q230=#REF!),OR(#REF!="הכל",מלאי!J230=#REF!),OR(#REF!="הכל",מלאי!L230=#REF!),OR(#REF!="הכל",מלאי!O230=#REF!),OR(#REF!="הכל",מלאי!R230=#REF!),OR(#REF!="הכל",#REF!="",מלאי!W230=#REF!),OR(#REF!="הכל",#REF!="",ISNUMBER(SEARCH(#REF!,מלאי!C230))),OR(#REF!="הכל",מלאי!#REF!=#REF!)),1,0)</f>
        <v>#REF!</v>
      </c>
      <c r="AF230" t="e">
        <f>IF(AD230=1,COUNTIF($AD$3:$AD230,1),"")</f>
        <v>#REF!</v>
      </c>
      <c r="AG230" t="e">
        <f>IF(AE230=1,COUNTIF($AE$3:$AE230,1),"")</f>
        <v>#REF!</v>
      </c>
    </row>
    <row r="231" spans="1:33" ht="15" hidden="1" customHeight="1" x14ac:dyDescent="0.35">
      <c r="A231" s="4"/>
      <c r="B231" s="4"/>
      <c r="C231" s="4"/>
      <c r="D231" s="4"/>
      <c r="E231" s="4" t="str">
        <f>IFERROR(INDEX(הגדרות!$I$2:$I$47,MATCH(B231,הגדרות!$H$2:$H$47,0)),"")</f>
        <v/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t="str">
        <f>IFERROR(INDEX(הגדרות!$B$2:$B$17,MATCH(H231,הגדרות!$A$2:$A$17,0)),"")</f>
        <v/>
      </c>
      <c r="AA231" t="str">
        <f>IFERROR(INDEX(הגדרות!$C$2:$C$17,MATCH(H231,הגדרות!$A$2:$A$17,0)),"")</f>
        <v/>
      </c>
      <c r="AB231" t="str">
        <f>IFERROR(INDEX(הגדרות!$B$2:$B$17,MATCH(I231,הגדרות!$A$2:$A$17,0)),"")</f>
        <v/>
      </c>
      <c r="AC231" t="str">
        <f>IFERROR(INDEX(הגדרות!$C$2:$C$17,MATCH(I231,הגדרות!$A$2:$A$17,0)),"")</f>
        <v/>
      </c>
      <c r="AD231" t="e">
        <f>IF(AND(מלאי!D231&lt;&gt;"",OR(#REF!="הכל",מלאי!Z231=#REF!,מלאי!AA231=#REF!,מלאי!AB231=#REF!,מלאי!AC231=#REF!),OR(#REF!="הכל",מלאי!A231=#REF!),OR(#REF!="הכל",מלאי!B231=#REF!),OR(#REF!="הכל",מלאי!F231=#REF!,מלאי!G231=#REF!),OR(#REF!="הכל",מלאי!T231=#REF!),OR(#REF!="הכל",מלאי!Q231=#REF!),OR(#REF!="הכל",מלאי!J231=#REF!),OR(#REF!="הכל",מלאי!L231=#REF!),OR(#REF!="הכל",מלאי!O231=#REF!),OR(#REF!="הכל",מלאי!R231=#REF!),OR(#REF!="הכל",#REF!="",מלאי!W231=#REF!),OR(#REF!="הכל",#REF!="",ISNUMBER(SEARCH(#REF!,מלאי!C231)))),1,0)</f>
        <v>#REF!</v>
      </c>
      <c r="AE231" t="e">
        <f>IF(AND(מלאי!D231&lt;&gt;"",OR(#REF!="הכל",מלאי!Z231=#REF!,מלאי!AA231=#REF!,מלאי!AB231=#REF!,מלאי!AC231=#REF!),OR(#REF!="הכל",מלאי!A231=#REF!),OR(#REF!="הכל",מלאי!B231=#REF!),OR(#REF!="הכל",מלאי!F231=#REF!,מלאי!G231=#REF!),OR(#REF!="הכל",מלאי!T231=#REF!),OR(#REF!="הכל",מלאי!Q231=#REF!),OR(#REF!="הכל",מלאי!J231=#REF!),OR(#REF!="הכל",מלאי!L231=#REF!),OR(#REF!="הכל",מלאי!O231=#REF!),OR(#REF!="הכל",מלאי!R231=#REF!),OR(#REF!="הכל",#REF!="",מלאי!W231=#REF!),OR(#REF!="הכל",#REF!="",ISNUMBER(SEARCH(#REF!,מלאי!C231))),OR(#REF!="הכל",מלאי!#REF!=#REF!)),1,0)</f>
        <v>#REF!</v>
      </c>
      <c r="AF231" t="e">
        <f>IF(AD231=1,COUNTIF($AD$3:$AD231,1),"")</f>
        <v>#REF!</v>
      </c>
      <c r="AG231" t="e">
        <f>IF(AE231=1,COUNTIF($AE$3:$AE231,1),"")</f>
        <v>#REF!</v>
      </c>
    </row>
    <row r="232" spans="1:33" ht="15" hidden="1" customHeight="1" x14ac:dyDescent="0.35">
      <c r="A232" s="5"/>
      <c r="B232" s="5"/>
      <c r="C232" s="5"/>
      <c r="D232" s="5"/>
      <c r="E232" s="5" t="str">
        <f>IFERROR(INDEX(הגדרות!$I$2:$I$47,MATCH(B232,הגדרות!$H$2:$H$47,0)),"")</f>
        <v/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t="str">
        <f>IFERROR(INDEX(הגדרות!$B$2:$B$17,MATCH(H232,הגדרות!$A$2:$A$17,0)),"")</f>
        <v/>
      </c>
      <c r="AA232" t="str">
        <f>IFERROR(INDEX(הגדרות!$C$2:$C$17,MATCH(H232,הגדרות!$A$2:$A$17,0)),"")</f>
        <v/>
      </c>
      <c r="AB232" t="str">
        <f>IFERROR(INDEX(הגדרות!$B$2:$B$17,MATCH(I232,הגדרות!$A$2:$A$17,0)),"")</f>
        <v/>
      </c>
      <c r="AC232" t="str">
        <f>IFERROR(INDEX(הגדרות!$C$2:$C$17,MATCH(I232,הגדרות!$A$2:$A$17,0)),"")</f>
        <v/>
      </c>
      <c r="AD232" t="e">
        <f>IF(AND(מלאי!D232&lt;&gt;"",OR(#REF!="הכל",מלאי!Z232=#REF!,מלאי!AA232=#REF!,מלאי!AB232=#REF!,מלאי!AC232=#REF!),OR(#REF!="הכל",מלאי!A232=#REF!),OR(#REF!="הכל",מלאי!B232=#REF!),OR(#REF!="הכל",מלאי!F232=#REF!,מלאי!G232=#REF!),OR(#REF!="הכל",מלאי!T232=#REF!),OR(#REF!="הכל",מלאי!Q232=#REF!),OR(#REF!="הכל",מלאי!J232=#REF!),OR(#REF!="הכל",מלאי!L232=#REF!),OR(#REF!="הכל",מלאי!O232=#REF!),OR(#REF!="הכל",מלאי!R232=#REF!),OR(#REF!="הכל",#REF!="",מלאי!W232=#REF!),OR(#REF!="הכל",#REF!="",ISNUMBER(SEARCH(#REF!,מלאי!C232)))),1,0)</f>
        <v>#REF!</v>
      </c>
      <c r="AE232" t="e">
        <f>IF(AND(מלאי!D232&lt;&gt;"",OR(#REF!="הכל",מלאי!Z232=#REF!,מלאי!AA232=#REF!,מלאי!AB232=#REF!,מלאי!AC232=#REF!),OR(#REF!="הכל",מלאי!A232=#REF!),OR(#REF!="הכל",מלאי!B232=#REF!),OR(#REF!="הכל",מלאי!F232=#REF!,מלאי!G232=#REF!),OR(#REF!="הכל",מלאי!T232=#REF!),OR(#REF!="הכל",מלאי!Q232=#REF!),OR(#REF!="הכל",מלאי!J232=#REF!),OR(#REF!="הכל",מלאי!L232=#REF!),OR(#REF!="הכל",מלאי!O232=#REF!),OR(#REF!="הכל",מלאי!R232=#REF!),OR(#REF!="הכל",#REF!="",מלאי!W232=#REF!),OR(#REF!="הכל",#REF!="",ISNUMBER(SEARCH(#REF!,מלאי!C232))),OR(#REF!="הכל",מלאי!#REF!=#REF!)),1,0)</f>
        <v>#REF!</v>
      </c>
      <c r="AF232" t="e">
        <f>IF(AD232=1,COUNTIF($AD$3:$AD232,1),"")</f>
        <v>#REF!</v>
      </c>
      <c r="AG232" t="e">
        <f>IF(AE232=1,COUNTIF($AE$3:$AE232,1),"")</f>
        <v>#REF!</v>
      </c>
    </row>
    <row r="233" spans="1:33" ht="15" hidden="1" customHeight="1" x14ac:dyDescent="0.35">
      <c r="A233" s="4"/>
      <c r="B233" s="4"/>
      <c r="C233" s="4"/>
      <c r="D233" s="4"/>
      <c r="E233" s="4" t="str">
        <f>IFERROR(INDEX(הגדרות!$I$2:$I$47,MATCH(B233,הגדרות!$H$2:$H$47,0)),"")</f>
        <v/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t="str">
        <f>IFERROR(INDEX(הגדרות!$B$2:$B$17,MATCH(H233,הגדרות!$A$2:$A$17,0)),"")</f>
        <v/>
      </c>
      <c r="AA233" t="str">
        <f>IFERROR(INDEX(הגדרות!$C$2:$C$17,MATCH(H233,הגדרות!$A$2:$A$17,0)),"")</f>
        <v/>
      </c>
      <c r="AB233" t="str">
        <f>IFERROR(INDEX(הגדרות!$B$2:$B$17,MATCH(I233,הגדרות!$A$2:$A$17,0)),"")</f>
        <v/>
      </c>
      <c r="AC233" t="str">
        <f>IFERROR(INDEX(הגדרות!$C$2:$C$17,MATCH(I233,הגדרות!$A$2:$A$17,0)),"")</f>
        <v/>
      </c>
      <c r="AD233" t="e">
        <f>IF(AND(מלאי!D233&lt;&gt;"",OR(#REF!="הכל",מלאי!Z233=#REF!,מלאי!AA233=#REF!,מלאי!AB233=#REF!,מלאי!AC233=#REF!),OR(#REF!="הכל",מלאי!A233=#REF!),OR(#REF!="הכל",מלאי!B233=#REF!),OR(#REF!="הכל",מלאי!F233=#REF!,מלאי!G233=#REF!),OR(#REF!="הכל",מלאי!T233=#REF!),OR(#REF!="הכל",מלאי!Q233=#REF!),OR(#REF!="הכל",מלאי!J233=#REF!),OR(#REF!="הכל",מלאי!L233=#REF!),OR(#REF!="הכל",מלאי!O233=#REF!),OR(#REF!="הכל",מלאי!R233=#REF!),OR(#REF!="הכל",#REF!="",מלאי!W233=#REF!),OR(#REF!="הכל",#REF!="",ISNUMBER(SEARCH(#REF!,מלאי!C233)))),1,0)</f>
        <v>#REF!</v>
      </c>
      <c r="AE233" t="e">
        <f>IF(AND(מלאי!D233&lt;&gt;"",OR(#REF!="הכל",מלאי!Z233=#REF!,מלאי!AA233=#REF!,מלאי!AB233=#REF!,מלאי!AC233=#REF!),OR(#REF!="הכל",מלאי!A233=#REF!),OR(#REF!="הכל",מלאי!B233=#REF!),OR(#REF!="הכל",מלאי!F233=#REF!,מלאי!G233=#REF!),OR(#REF!="הכל",מלאי!T233=#REF!),OR(#REF!="הכל",מלאי!Q233=#REF!),OR(#REF!="הכל",מלאי!J233=#REF!),OR(#REF!="הכל",מלאי!L233=#REF!),OR(#REF!="הכל",מלאי!O233=#REF!),OR(#REF!="הכל",מלאי!R233=#REF!),OR(#REF!="הכל",#REF!="",מלאי!W233=#REF!),OR(#REF!="הכל",#REF!="",ISNUMBER(SEARCH(#REF!,מלאי!C233))),OR(#REF!="הכל",מלאי!#REF!=#REF!)),1,0)</f>
        <v>#REF!</v>
      </c>
      <c r="AF233" t="e">
        <f>IF(AD233=1,COUNTIF($AD$3:$AD233,1),"")</f>
        <v>#REF!</v>
      </c>
      <c r="AG233" t="e">
        <f>IF(AE233=1,COUNTIF($AE$3:$AE233,1),"")</f>
        <v>#REF!</v>
      </c>
    </row>
    <row r="234" spans="1:33" ht="15" hidden="1" customHeight="1" x14ac:dyDescent="0.35">
      <c r="A234" s="5"/>
      <c r="B234" s="5"/>
      <c r="C234" s="5"/>
      <c r="D234" s="5"/>
      <c r="E234" s="5" t="str">
        <f>IFERROR(INDEX(הגדרות!$I$2:$I$47,MATCH(B234,הגדרות!$H$2:$H$47,0)),"")</f>
        <v/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t="str">
        <f>IFERROR(INDEX(הגדרות!$B$2:$B$17,MATCH(H234,הגדרות!$A$2:$A$17,0)),"")</f>
        <v/>
      </c>
      <c r="AA234" t="str">
        <f>IFERROR(INDEX(הגדרות!$C$2:$C$17,MATCH(H234,הגדרות!$A$2:$A$17,0)),"")</f>
        <v/>
      </c>
      <c r="AB234" t="str">
        <f>IFERROR(INDEX(הגדרות!$B$2:$B$17,MATCH(I234,הגדרות!$A$2:$A$17,0)),"")</f>
        <v/>
      </c>
      <c r="AC234" t="str">
        <f>IFERROR(INDEX(הגדרות!$C$2:$C$17,MATCH(I234,הגדרות!$A$2:$A$17,0)),"")</f>
        <v/>
      </c>
      <c r="AD234" t="e">
        <f>IF(AND(מלאי!D234&lt;&gt;"",OR(#REF!="הכל",מלאי!Z234=#REF!,מלאי!AA234=#REF!,מלאי!AB234=#REF!,מלאי!AC234=#REF!),OR(#REF!="הכל",מלאי!A234=#REF!),OR(#REF!="הכל",מלאי!B234=#REF!),OR(#REF!="הכל",מלאי!F234=#REF!,מלאי!G234=#REF!),OR(#REF!="הכל",מלאי!T234=#REF!),OR(#REF!="הכל",מלאי!Q234=#REF!),OR(#REF!="הכל",מלאי!J234=#REF!),OR(#REF!="הכל",מלאי!L234=#REF!),OR(#REF!="הכל",מלאי!O234=#REF!),OR(#REF!="הכל",מלאי!R234=#REF!),OR(#REF!="הכל",#REF!="",מלאי!W234=#REF!),OR(#REF!="הכל",#REF!="",ISNUMBER(SEARCH(#REF!,מלאי!C234)))),1,0)</f>
        <v>#REF!</v>
      </c>
      <c r="AE234" t="e">
        <f>IF(AND(מלאי!D234&lt;&gt;"",OR(#REF!="הכל",מלאי!Z234=#REF!,מלאי!AA234=#REF!,מלאי!AB234=#REF!,מלאי!AC234=#REF!),OR(#REF!="הכל",מלאי!A234=#REF!),OR(#REF!="הכל",מלאי!B234=#REF!),OR(#REF!="הכל",מלאי!F234=#REF!,מלאי!G234=#REF!),OR(#REF!="הכל",מלאי!T234=#REF!),OR(#REF!="הכל",מלאי!Q234=#REF!),OR(#REF!="הכל",מלאי!J234=#REF!),OR(#REF!="הכל",מלאי!L234=#REF!),OR(#REF!="הכל",מלאי!O234=#REF!),OR(#REF!="הכל",מלאי!R234=#REF!),OR(#REF!="הכל",#REF!="",מלאי!W234=#REF!),OR(#REF!="הכל",#REF!="",ISNUMBER(SEARCH(#REF!,מלאי!C234))),OR(#REF!="הכל",מלאי!#REF!=#REF!)),1,0)</f>
        <v>#REF!</v>
      </c>
      <c r="AF234" t="e">
        <f>IF(AD234=1,COUNTIF($AD$3:$AD234,1),"")</f>
        <v>#REF!</v>
      </c>
      <c r="AG234" t="e">
        <f>IF(AE234=1,COUNTIF($AE$3:$AE234,1),"")</f>
        <v>#REF!</v>
      </c>
    </row>
    <row r="235" spans="1:33" ht="15" hidden="1" customHeight="1" x14ac:dyDescent="0.35">
      <c r="A235" s="4"/>
      <c r="B235" s="4"/>
      <c r="C235" s="4"/>
      <c r="D235" s="4"/>
      <c r="E235" s="4" t="str">
        <f>IFERROR(INDEX(הגדרות!$I$2:$I$47,MATCH(B235,הגדרות!$H$2:$H$47,0)),"")</f>
        <v/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t="str">
        <f>IFERROR(INDEX(הגדרות!$B$2:$B$17,MATCH(H235,הגדרות!$A$2:$A$17,0)),"")</f>
        <v/>
      </c>
      <c r="AA235" t="str">
        <f>IFERROR(INDEX(הגדרות!$C$2:$C$17,MATCH(H235,הגדרות!$A$2:$A$17,0)),"")</f>
        <v/>
      </c>
      <c r="AB235" t="str">
        <f>IFERROR(INDEX(הגדרות!$B$2:$B$17,MATCH(I235,הגדרות!$A$2:$A$17,0)),"")</f>
        <v/>
      </c>
      <c r="AC235" t="str">
        <f>IFERROR(INDEX(הגדרות!$C$2:$C$17,MATCH(I235,הגדרות!$A$2:$A$17,0)),"")</f>
        <v/>
      </c>
      <c r="AD235" t="e">
        <f>IF(AND(מלאי!D235&lt;&gt;"",OR(#REF!="הכל",מלאי!Z235=#REF!,מלאי!AA235=#REF!,מלאי!AB235=#REF!,מלאי!AC235=#REF!),OR(#REF!="הכל",מלאי!A235=#REF!),OR(#REF!="הכל",מלאי!B235=#REF!),OR(#REF!="הכל",מלאי!F235=#REF!,מלאי!G235=#REF!),OR(#REF!="הכל",מלאי!T235=#REF!),OR(#REF!="הכל",מלאי!Q235=#REF!),OR(#REF!="הכל",מלאי!J235=#REF!),OR(#REF!="הכל",מלאי!L235=#REF!),OR(#REF!="הכל",מלאי!O235=#REF!),OR(#REF!="הכל",מלאי!R235=#REF!),OR(#REF!="הכל",#REF!="",מלאי!W235=#REF!),OR(#REF!="הכל",#REF!="",ISNUMBER(SEARCH(#REF!,מלאי!C235)))),1,0)</f>
        <v>#REF!</v>
      </c>
      <c r="AE235" t="e">
        <f>IF(AND(מלאי!D235&lt;&gt;"",OR(#REF!="הכל",מלאי!Z235=#REF!,מלאי!AA235=#REF!,מלאי!AB235=#REF!,מלאי!AC235=#REF!),OR(#REF!="הכל",מלאי!A235=#REF!),OR(#REF!="הכל",מלאי!B235=#REF!),OR(#REF!="הכל",מלאי!F235=#REF!,מלאי!G235=#REF!),OR(#REF!="הכל",מלאי!T235=#REF!),OR(#REF!="הכל",מלאי!Q235=#REF!),OR(#REF!="הכל",מלאי!J235=#REF!),OR(#REF!="הכל",מלאי!L235=#REF!),OR(#REF!="הכל",מלאי!O235=#REF!),OR(#REF!="הכל",מלאי!R235=#REF!),OR(#REF!="הכל",#REF!="",מלאי!W235=#REF!),OR(#REF!="הכל",#REF!="",ISNUMBER(SEARCH(#REF!,מלאי!C235))),OR(#REF!="הכל",מלאי!#REF!=#REF!)),1,0)</f>
        <v>#REF!</v>
      </c>
      <c r="AF235" t="e">
        <f>IF(AD235=1,COUNTIF($AD$3:$AD235,1),"")</f>
        <v>#REF!</v>
      </c>
      <c r="AG235" t="e">
        <f>IF(AE235=1,COUNTIF($AE$3:$AE235,1),"")</f>
        <v>#REF!</v>
      </c>
    </row>
    <row r="236" spans="1:33" ht="15" hidden="1" customHeight="1" x14ac:dyDescent="0.35">
      <c r="A236" s="5"/>
      <c r="B236" s="5"/>
      <c r="C236" s="5"/>
      <c r="D236" s="5"/>
      <c r="E236" s="5" t="str">
        <f>IFERROR(INDEX(הגדרות!$I$2:$I$47,MATCH(B236,הגדרות!$H$2:$H$47,0)),"")</f>
        <v/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t="str">
        <f>IFERROR(INDEX(הגדרות!$B$2:$B$17,MATCH(H236,הגדרות!$A$2:$A$17,0)),"")</f>
        <v/>
      </c>
      <c r="AA236" t="str">
        <f>IFERROR(INDEX(הגדרות!$C$2:$C$17,MATCH(H236,הגדרות!$A$2:$A$17,0)),"")</f>
        <v/>
      </c>
      <c r="AB236" t="str">
        <f>IFERROR(INDEX(הגדרות!$B$2:$B$17,MATCH(I236,הגדרות!$A$2:$A$17,0)),"")</f>
        <v/>
      </c>
      <c r="AC236" t="str">
        <f>IFERROR(INDEX(הגדרות!$C$2:$C$17,MATCH(I236,הגדרות!$A$2:$A$17,0)),"")</f>
        <v/>
      </c>
      <c r="AD236" t="e">
        <f>IF(AND(מלאי!D236&lt;&gt;"",OR(#REF!="הכל",מלאי!Z236=#REF!,מלאי!AA236=#REF!,מלאי!AB236=#REF!,מלאי!AC236=#REF!),OR(#REF!="הכל",מלאי!A236=#REF!),OR(#REF!="הכל",מלאי!B236=#REF!),OR(#REF!="הכל",מלאי!F236=#REF!,מלאי!G236=#REF!),OR(#REF!="הכל",מלאי!T236=#REF!),OR(#REF!="הכל",מלאי!Q236=#REF!),OR(#REF!="הכל",מלאי!J236=#REF!),OR(#REF!="הכל",מלאי!L236=#REF!),OR(#REF!="הכל",מלאי!O236=#REF!),OR(#REF!="הכל",מלאי!R236=#REF!),OR(#REF!="הכל",#REF!="",מלאי!W236=#REF!),OR(#REF!="הכל",#REF!="",ISNUMBER(SEARCH(#REF!,מלאי!C236)))),1,0)</f>
        <v>#REF!</v>
      </c>
      <c r="AE236" t="e">
        <f>IF(AND(מלאי!D236&lt;&gt;"",OR(#REF!="הכל",מלאי!Z236=#REF!,מלאי!AA236=#REF!,מלאי!AB236=#REF!,מלאי!AC236=#REF!),OR(#REF!="הכל",מלאי!A236=#REF!),OR(#REF!="הכל",מלאי!B236=#REF!),OR(#REF!="הכל",מלאי!F236=#REF!,מלאי!G236=#REF!),OR(#REF!="הכל",מלאי!T236=#REF!),OR(#REF!="הכל",מלאי!Q236=#REF!),OR(#REF!="הכל",מלאי!J236=#REF!),OR(#REF!="הכל",מלאי!L236=#REF!),OR(#REF!="הכל",מלאי!O236=#REF!),OR(#REF!="הכל",מלאי!R236=#REF!),OR(#REF!="הכל",#REF!="",מלאי!W236=#REF!),OR(#REF!="הכל",#REF!="",ISNUMBER(SEARCH(#REF!,מלאי!C236))),OR(#REF!="הכל",מלאי!#REF!=#REF!)),1,0)</f>
        <v>#REF!</v>
      </c>
      <c r="AF236" t="e">
        <f>IF(AD236=1,COUNTIF($AD$3:$AD236,1),"")</f>
        <v>#REF!</v>
      </c>
      <c r="AG236" t="e">
        <f>IF(AE236=1,COUNTIF($AE$3:$AE236,1),"")</f>
        <v>#REF!</v>
      </c>
    </row>
    <row r="237" spans="1:33" ht="15" hidden="1" customHeight="1" x14ac:dyDescent="0.35">
      <c r="A237" s="4"/>
      <c r="B237" s="4"/>
      <c r="C237" s="4"/>
      <c r="D237" s="4"/>
      <c r="E237" s="4" t="str">
        <f>IFERROR(INDEX(הגדרות!$I$2:$I$47,MATCH(B237,הגדרות!$H$2:$H$47,0)),"")</f>
        <v/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t="str">
        <f>IFERROR(INDEX(הגדרות!$B$2:$B$17,MATCH(H237,הגדרות!$A$2:$A$17,0)),"")</f>
        <v/>
      </c>
      <c r="AA237" t="str">
        <f>IFERROR(INDEX(הגדרות!$C$2:$C$17,MATCH(H237,הגדרות!$A$2:$A$17,0)),"")</f>
        <v/>
      </c>
      <c r="AB237" t="str">
        <f>IFERROR(INDEX(הגדרות!$B$2:$B$17,MATCH(I237,הגדרות!$A$2:$A$17,0)),"")</f>
        <v/>
      </c>
      <c r="AC237" t="str">
        <f>IFERROR(INDEX(הגדרות!$C$2:$C$17,MATCH(I237,הגדרות!$A$2:$A$17,0)),"")</f>
        <v/>
      </c>
      <c r="AD237" t="e">
        <f>IF(AND(מלאי!D237&lt;&gt;"",OR(#REF!="הכל",מלאי!Z237=#REF!,מלאי!AA237=#REF!,מלאי!AB237=#REF!,מלאי!AC237=#REF!),OR(#REF!="הכל",מלאי!A237=#REF!),OR(#REF!="הכל",מלאי!B237=#REF!),OR(#REF!="הכל",מלאי!F237=#REF!,מלאי!G237=#REF!),OR(#REF!="הכל",מלאי!T237=#REF!),OR(#REF!="הכל",מלאי!Q237=#REF!),OR(#REF!="הכל",מלאי!J237=#REF!),OR(#REF!="הכל",מלאי!L237=#REF!),OR(#REF!="הכל",מלאי!O237=#REF!),OR(#REF!="הכל",מלאי!R237=#REF!),OR(#REF!="הכל",#REF!="",מלאי!W237=#REF!),OR(#REF!="הכל",#REF!="",ISNUMBER(SEARCH(#REF!,מלאי!C237)))),1,0)</f>
        <v>#REF!</v>
      </c>
      <c r="AE237" t="e">
        <f>IF(AND(מלאי!D237&lt;&gt;"",OR(#REF!="הכל",מלאי!Z237=#REF!,מלאי!AA237=#REF!,מלאי!AB237=#REF!,מלאי!AC237=#REF!),OR(#REF!="הכל",מלאי!A237=#REF!),OR(#REF!="הכל",מלאי!B237=#REF!),OR(#REF!="הכל",מלאי!F237=#REF!,מלאי!G237=#REF!),OR(#REF!="הכל",מלאי!T237=#REF!),OR(#REF!="הכל",מלאי!Q237=#REF!),OR(#REF!="הכל",מלאי!J237=#REF!),OR(#REF!="הכל",מלאי!L237=#REF!),OR(#REF!="הכל",מלאי!O237=#REF!),OR(#REF!="הכל",מלאי!R237=#REF!),OR(#REF!="הכל",#REF!="",מלאי!W237=#REF!),OR(#REF!="הכל",#REF!="",ISNUMBER(SEARCH(#REF!,מלאי!C237))),OR(#REF!="הכל",מלאי!#REF!=#REF!)),1,0)</f>
        <v>#REF!</v>
      </c>
      <c r="AF237" t="e">
        <f>IF(AD237=1,COUNTIF($AD$3:$AD237,1),"")</f>
        <v>#REF!</v>
      </c>
      <c r="AG237" t="e">
        <f>IF(AE237=1,COUNTIF($AE$3:$AE237,1),"")</f>
        <v>#REF!</v>
      </c>
    </row>
    <row r="238" spans="1:33" ht="15" hidden="1" customHeight="1" x14ac:dyDescent="0.35">
      <c r="A238" s="5"/>
      <c r="B238" s="5"/>
      <c r="C238" s="5"/>
      <c r="D238" s="5"/>
      <c r="E238" s="5" t="str">
        <f>IFERROR(INDEX(הגדרות!$I$2:$I$47,MATCH(B238,הגדרות!$H$2:$H$47,0)),"")</f>
        <v/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t="str">
        <f>IFERROR(INDEX(הגדרות!$B$2:$B$17,MATCH(H238,הגדרות!$A$2:$A$17,0)),"")</f>
        <v/>
      </c>
      <c r="AA238" t="str">
        <f>IFERROR(INDEX(הגדרות!$C$2:$C$17,MATCH(H238,הגדרות!$A$2:$A$17,0)),"")</f>
        <v/>
      </c>
      <c r="AB238" t="str">
        <f>IFERROR(INDEX(הגדרות!$B$2:$B$17,MATCH(I238,הגדרות!$A$2:$A$17,0)),"")</f>
        <v/>
      </c>
      <c r="AC238" t="str">
        <f>IFERROR(INDEX(הגדרות!$C$2:$C$17,MATCH(I238,הגדרות!$A$2:$A$17,0)),"")</f>
        <v/>
      </c>
      <c r="AD238" t="e">
        <f>IF(AND(מלאי!D238&lt;&gt;"",OR(#REF!="הכל",מלאי!Z238=#REF!,מלאי!AA238=#REF!,מלאי!AB238=#REF!,מלאי!AC238=#REF!),OR(#REF!="הכל",מלאי!A238=#REF!),OR(#REF!="הכל",מלאי!B238=#REF!),OR(#REF!="הכל",מלאי!F238=#REF!,מלאי!G238=#REF!),OR(#REF!="הכל",מלאי!T238=#REF!),OR(#REF!="הכל",מלאי!Q238=#REF!),OR(#REF!="הכל",מלאי!J238=#REF!),OR(#REF!="הכל",מלאי!L238=#REF!),OR(#REF!="הכל",מלאי!O238=#REF!),OR(#REF!="הכל",מלאי!R238=#REF!),OR(#REF!="הכל",#REF!="",מלאי!W238=#REF!),OR(#REF!="הכל",#REF!="",ISNUMBER(SEARCH(#REF!,מלאי!C238)))),1,0)</f>
        <v>#REF!</v>
      </c>
      <c r="AE238" t="e">
        <f>IF(AND(מלאי!D238&lt;&gt;"",OR(#REF!="הכל",מלאי!Z238=#REF!,מלאי!AA238=#REF!,מלאי!AB238=#REF!,מלאי!AC238=#REF!),OR(#REF!="הכל",מלאי!A238=#REF!),OR(#REF!="הכל",מלאי!B238=#REF!),OR(#REF!="הכל",מלאי!F238=#REF!,מלאי!G238=#REF!),OR(#REF!="הכל",מלאי!T238=#REF!),OR(#REF!="הכל",מלאי!Q238=#REF!),OR(#REF!="הכל",מלאי!J238=#REF!),OR(#REF!="הכל",מלאי!L238=#REF!),OR(#REF!="הכל",מלאי!O238=#REF!),OR(#REF!="הכל",מלאי!R238=#REF!),OR(#REF!="הכל",#REF!="",מלאי!W238=#REF!),OR(#REF!="הכל",#REF!="",ISNUMBER(SEARCH(#REF!,מלאי!C238))),OR(#REF!="הכל",מלאי!#REF!=#REF!)),1,0)</f>
        <v>#REF!</v>
      </c>
      <c r="AF238" t="e">
        <f>IF(AD238=1,COUNTIF($AD$3:$AD238,1),"")</f>
        <v>#REF!</v>
      </c>
      <c r="AG238" t="e">
        <f>IF(AE238=1,COUNTIF($AE$3:$AE238,1),"")</f>
        <v>#REF!</v>
      </c>
    </row>
    <row r="239" spans="1:33" ht="15" hidden="1" customHeight="1" x14ac:dyDescent="0.35">
      <c r="A239" s="4"/>
      <c r="B239" s="4"/>
      <c r="C239" s="4"/>
      <c r="D239" s="4"/>
      <c r="E239" s="4" t="str">
        <f>IFERROR(INDEX(הגדרות!$I$2:$I$47,MATCH(B239,הגדרות!$H$2:$H$47,0)),"")</f>
        <v/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t="str">
        <f>IFERROR(INDEX(הגדרות!$B$2:$B$17,MATCH(H239,הגדרות!$A$2:$A$17,0)),"")</f>
        <v/>
      </c>
      <c r="AA239" t="str">
        <f>IFERROR(INDEX(הגדרות!$C$2:$C$17,MATCH(H239,הגדרות!$A$2:$A$17,0)),"")</f>
        <v/>
      </c>
      <c r="AB239" t="str">
        <f>IFERROR(INDEX(הגדרות!$B$2:$B$17,MATCH(I239,הגדרות!$A$2:$A$17,0)),"")</f>
        <v/>
      </c>
      <c r="AC239" t="str">
        <f>IFERROR(INDEX(הגדרות!$C$2:$C$17,MATCH(I239,הגדרות!$A$2:$A$17,0)),"")</f>
        <v/>
      </c>
      <c r="AD239" t="e">
        <f>IF(AND(מלאי!D239&lt;&gt;"",OR(#REF!="הכל",מלאי!Z239=#REF!,מלאי!AA239=#REF!,מלאי!AB239=#REF!,מלאי!AC239=#REF!),OR(#REF!="הכל",מלאי!A239=#REF!),OR(#REF!="הכל",מלאי!B239=#REF!),OR(#REF!="הכל",מלאי!F239=#REF!,מלאי!G239=#REF!),OR(#REF!="הכל",מלאי!T239=#REF!),OR(#REF!="הכל",מלאי!Q239=#REF!),OR(#REF!="הכל",מלאי!J239=#REF!),OR(#REF!="הכל",מלאי!L239=#REF!),OR(#REF!="הכל",מלאי!O239=#REF!),OR(#REF!="הכל",מלאי!R239=#REF!),OR(#REF!="הכל",#REF!="",מלאי!W239=#REF!),OR(#REF!="הכל",#REF!="",ISNUMBER(SEARCH(#REF!,מלאי!C239)))),1,0)</f>
        <v>#REF!</v>
      </c>
      <c r="AE239" t="e">
        <f>IF(AND(מלאי!D239&lt;&gt;"",OR(#REF!="הכל",מלאי!Z239=#REF!,מלאי!AA239=#REF!,מלאי!AB239=#REF!,מלאי!AC239=#REF!),OR(#REF!="הכל",מלאי!A239=#REF!),OR(#REF!="הכל",מלאי!B239=#REF!),OR(#REF!="הכל",מלאי!F239=#REF!,מלאי!G239=#REF!),OR(#REF!="הכל",מלאי!T239=#REF!),OR(#REF!="הכל",מלאי!Q239=#REF!),OR(#REF!="הכל",מלאי!J239=#REF!),OR(#REF!="הכל",מלאי!L239=#REF!),OR(#REF!="הכל",מלאי!O239=#REF!),OR(#REF!="הכל",מלאי!R239=#REF!),OR(#REF!="הכל",#REF!="",מלאי!W239=#REF!),OR(#REF!="הכל",#REF!="",ISNUMBER(SEARCH(#REF!,מלאי!C239))),OR(#REF!="הכל",מלאי!#REF!=#REF!)),1,0)</f>
        <v>#REF!</v>
      </c>
      <c r="AF239" t="e">
        <f>IF(AD239=1,COUNTIF($AD$3:$AD239,1),"")</f>
        <v>#REF!</v>
      </c>
      <c r="AG239" t="e">
        <f>IF(AE239=1,COUNTIF($AE$3:$AE239,1),"")</f>
        <v>#REF!</v>
      </c>
    </row>
    <row r="240" spans="1:33" ht="15" hidden="1" customHeight="1" x14ac:dyDescent="0.35">
      <c r="A240" s="5"/>
      <c r="B240" s="5"/>
      <c r="C240" s="5"/>
      <c r="D240" s="5"/>
      <c r="E240" s="5" t="str">
        <f>IFERROR(INDEX(הגדרות!$I$2:$I$47,MATCH(B240,הגדרות!$H$2:$H$47,0)),"")</f>
        <v/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t="str">
        <f>IFERROR(INDEX(הגדרות!$B$2:$B$17,MATCH(H240,הגדרות!$A$2:$A$17,0)),"")</f>
        <v/>
      </c>
      <c r="AA240" t="str">
        <f>IFERROR(INDEX(הגדרות!$C$2:$C$17,MATCH(H240,הגדרות!$A$2:$A$17,0)),"")</f>
        <v/>
      </c>
      <c r="AB240" t="str">
        <f>IFERROR(INDEX(הגדרות!$B$2:$B$17,MATCH(I240,הגדרות!$A$2:$A$17,0)),"")</f>
        <v/>
      </c>
      <c r="AC240" t="str">
        <f>IFERROR(INDEX(הגדרות!$C$2:$C$17,MATCH(I240,הגדרות!$A$2:$A$17,0)),"")</f>
        <v/>
      </c>
      <c r="AD240" t="e">
        <f>IF(AND(מלאי!D240&lt;&gt;"",OR(#REF!="הכל",מלאי!Z240=#REF!,מלאי!AA240=#REF!,מלאי!AB240=#REF!,מלאי!AC240=#REF!),OR(#REF!="הכל",מלאי!A240=#REF!),OR(#REF!="הכל",מלאי!B240=#REF!),OR(#REF!="הכל",מלאי!F240=#REF!,מלאי!G240=#REF!),OR(#REF!="הכל",מלאי!T240=#REF!),OR(#REF!="הכל",מלאי!Q240=#REF!),OR(#REF!="הכל",מלאי!J240=#REF!),OR(#REF!="הכל",מלאי!L240=#REF!),OR(#REF!="הכל",מלאי!O240=#REF!),OR(#REF!="הכל",מלאי!R240=#REF!),OR(#REF!="הכל",#REF!="",מלאי!W240=#REF!),OR(#REF!="הכל",#REF!="",ISNUMBER(SEARCH(#REF!,מלאי!C240)))),1,0)</f>
        <v>#REF!</v>
      </c>
      <c r="AE240" t="e">
        <f>IF(AND(מלאי!D240&lt;&gt;"",OR(#REF!="הכל",מלאי!Z240=#REF!,מלאי!AA240=#REF!,מלאי!AB240=#REF!,מלאי!AC240=#REF!),OR(#REF!="הכל",מלאי!A240=#REF!),OR(#REF!="הכל",מלאי!B240=#REF!),OR(#REF!="הכל",מלאי!F240=#REF!,מלאי!G240=#REF!),OR(#REF!="הכל",מלאי!T240=#REF!),OR(#REF!="הכל",מלאי!Q240=#REF!),OR(#REF!="הכל",מלאי!J240=#REF!),OR(#REF!="הכל",מלאי!L240=#REF!),OR(#REF!="הכל",מלאי!O240=#REF!),OR(#REF!="הכל",מלאי!R240=#REF!),OR(#REF!="הכל",#REF!="",מלאי!W240=#REF!),OR(#REF!="הכל",#REF!="",ISNUMBER(SEARCH(#REF!,מלאי!C240))),OR(#REF!="הכל",מלאי!#REF!=#REF!)),1,0)</f>
        <v>#REF!</v>
      </c>
      <c r="AF240" t="e">
        <f>IF(AD240=1,COUNTIF($AD$3:$AD240,1),"")</f>
        <v>#REF!</v>
      </c>
      <c r="AG240" t="e">
        <f>IF(AE240=1,COUNTIF($AE$3:$AE240,1),"")</f>
        <v>#REF!</v>
      </c>
    </row>
    <row r="241" spans="1:33" ht="15" hidden="1" customHeight="1" x14ac:dyDescent="0.35">
      <c r="A241" s="4"/>
      <c r="B241" s="4"/>
      <c r="C241" s="4"/>
      <c r="D241" s="4"/>
      <c r="E241" s="4" t="str">
        <f>IFERROR(INDEX(הגדרות!$I$2:$I$47,MATCH(B241,הגדרות!$H$2:$H$47,0)),"")</f>
        <v/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t="str">
        <f>IFERROR(INDEX(הגדרות!$B$2:$B$17,MATCH(H241,הגדרות!$A$2:$A$17,0)),"")</f>
        <v/>
      </c>
      <c r="AA241" t="str">
        <f>IFERROR(INDEX(הגדרות!$C$2:$C$17,MATCH(H241,הגדרות!$A$2:$A$17,0)),"")</f>
        <v/>
      </c>
      <c r="AB241" t="str">
        <f>IFERROR(INDEX(הגדרות!$B$2:$B$17,MATCH(I241,הגדרות!$A$2:$A$17,0)),"")</f>
        <v/>
      </c>
      <c r="AC241" t="str">
        <f>IFERROR(INDEX(הגדרות!$C$2:$C$17,MATCH(I241,הגדרות!$A$2:$A$17,0)),"")</f>
        <v/>
      </c>
      <c r="AD241" t="e">
        <f>IF(AND(מלאי!D241&lt;&gt;"",OR(#REF!="הכל",מלאי!Z241=#REF!,מלאי!AA241=#REF!,מלאי!AB241=#REF!,מלאי!AC241=#REF!),OR(#REF!="הכל",מלאי!A241=#REF!),OR(#REF!="הכל",מלאי!B241=#REF!),OR(#REF!="הכל",מלאי!F241=#REF!,מלאי!G241=#REF!),OR(#REF!="הכל",מלאי!T241=#REF!),OR(#REF!="הכל",מלאי!Q241=#REF!),OR(#REF!="הכל",מלאי!J241=#REF!),OR(#REF!="הכל",מלאי!L241=#REF!),OR(#REF!="הכל",מלאי!O241=#REF!),OR(#REF!="הכל",מלאי!R241=#REF!),OR(#REF!="הכל",#REF!="",מלאי!W241=#REF!),OR(#REF!="הכל",#REF!="",ISNUMBER(SEARCH(#REF!,מלאי!C241)))),1,0)</f>
        <v>#REF!</v>
      </c>
      <c r="AE241" t="e">
        <f>IF(AND(מלאי!D241&lt;&gt;"",OR(#REF!="הכל",מלאי!Z241=#REF!,מלאי!AA241=#REF!,מלאי!AB241=#REF!,מלאי!AC241=#REF!),OR(#REF!="הכל",מלאי!A241=#REF!),OR(#REF!="הכל",מלאי!B241=#REF!),OR(#REF!="הכל",מלאי!F241=#REF!,מלאי!G241=#REF!),OR(#REF!="הכל",מלאי!T241=#REF!),OR(#REF!="הכל",מלאי!Q241=#REF!),OR(#REF!="הכל",מלאי!J241=#REF!),OR(#REF!="הכל",מלאי!L241=#REF!),OR(#REF!="הכל",מלאי!O241=#REF!),OR(#REF!="הכל",מלאי!R241=#REF!),OR(#REF!="הכל",#REF!="",מלאי!W241=#REF!),OR(#REF!="הכל",#REF!="",ISNUMBER(SEARCH(#REF!,מלאי!C241))),OR(#REF!="הכל",מלאי!#REF!=#REF!)),1,0)</f>
        <v>#REF!</v>
      </c>
      <c r="AF241" t="e">
        <f>IF(AD241=1,COUNTIF($AD$3:$AD241,1),"")</f>
        <v>#REF!</v>
      </c>
      <c r="AG241" t="e">
        <f>IF(AE241=1,COUNTIF($AE$3:$AE241,1),"")</f>
        <v>#REF!</v>
      </c>
    </row>
    <row r="242" spans="1:33" ht="15" hidden="1" customHeight="1" x14ac:dyDescent="0.35">
      <c r="A242" s="5"/>
      <c r="B242" s="5"/>
      <c r="C242" s="5"/>
      <c r="D242" s="5"/>
      <c r="E242" s="5" t="str">
        <f>IFERROR(INDEX(הגדרות!$I$2:$I$47,MATCH(B242,הגדרות!$H$2:$H$47,0)),"")</f>
        <v/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t="str">
        <f>IFERROR(INDEX(הגדרות!$B$2:$B$17,MATCH(H242,הגדרות!$A$2:$A$17,0)),"")</f>
        <v/>
      </c>
      <c r="AA242" t="str">
        <f>IFERROR(INDEX(הגדרות!$C$2:$C$17,MATCH(H242,הגדרות!$A$2:$A$17,0)),"")</f>
        <v/>
      </c>
      <c r="AB242" t="str">
        <f>IFERROR(INDEX(הגדרות!$B$2:$B$17,MATCH(I242,הגדרות!$A$2:$A$17,0)),"")</f>
        <v/>
      </c>
      <c r="AC242" t="str">
        <f>IFERROR(INDEX(הגדרות!$C$2:$C$17,MATCH(I242,הגדרות!$A$2:$A$17,0)),"")</f>
        <v/>
      </c>
      <c r="AD242" t="e">
        <f>IF(AND(מלאי!D242&lt;&gt;"",OR(#REF!="הכל",מלאי!Z242=#REF!,מלאי!AA242=#REF!,מלאי!AB242=#REF!,מלאי!AC242=#REF!),OR(#REF!="הכל",מלאי!A242=#REF!),OR(#REF!="הכל",מלאי!B242=#REF!),OR(#REF!="הכל",מלאי!F242=#REF!,מלאי!G242=#REF!),OR(#REF!="הכל",מלאי!T242=#REF!),OR(#REF!="הכל",מלאי!Q242=#REF!),OR(#REF!="הכל",מלאי!J242=#REF!),OR(#REF!="הכל",מלאי!L242=#REF!),OR(#REF!="הכל",מלאי!O242=#REF!),OR(#REF!="הכל",מלאי!R242=#REF!),OR(#REF!="הכל",#REF!="",מלאי!W242=#REF!),OR(#REF!="הכל",#REF!="",ISNUMBER(SEARCH(#REF!,מלאי!C242)))),1,0)</f>
        <v>#REF!</v>
      </c>
      <c r="AE242" t="e">
        <f>IF(AND(מלאי!D242&lt;&gt;"",OR(#REF!="הכל",מלאי!Z242=#REF!,מלאי!AA242=#REF!,מלאי!AB242=#REF!,מלאי!AC242=#REF!),OR(#REF!="הכל",מלאי!A242=#REF!),OR(#REF!="הכל",מלאי!B242=#REF!),OR(#REF!="הכל",מלאי!F242=#REF!,מלאי!G242=#REF!),OR(#REF!="הכל",מלאי!T242=#REF!),OR(#REF!="הכל",מלאי!Q242=#REF!),OR(#REF!="הכל",מלאי!J242=#REF!),OR(#REF!="הכל",מלאי!L242=#REF!),OR(#REF!="הכל",מלאי!O242=#REF!),OR(#REF!="הכל",מלאי!R242=#REF!),OR(#REF!="הכל",#REF!="",מלאי!W242=#REF!),OR(#REF!="הכל",#REF!="",ISNUMBER(SEARCH(#REF!,מלאי!C242))),OR(#REF!="הכל",מלאי!#REF!=#REF!)),1,0)</f>
        <v>#REF!</v>
      </c>
      <c r="AF242" t="e">
        <f>IF(AD242=1,COUNTIF($AD$3:$AD242,1),"")</f>
        <v>#REF!</v>
      </c>
      <c r="AG242" t="e">
        <f>IF(AE242=1,COUNTIF($AE$3:$AE242,1),"")</f>
        <v>#REF!</v>
      </c>
    </row>
    <row r="243" spans="1:33" ht="15" hidden="1" customHeight="1" x14ac:dyDescent="0.35">
      <c r="A243" s="4"/>
      <c r="B243" s="4"/>
      <c r="C243" s="4"/>
      <c r="D243" s="4"/>
      <c r="E243" s="4" t="str">
        <f>IFERROR(INDEX(הגדרות!$I$2:$I$47,MATCH(B243,הגדרות!$H$2:$H$47,0)),"")</f>
        <v/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t="str">
        <f>IFERROR(INDEX(הגדרות!$B$2:$B$17,MATCH(H243,הגדרות!$A$2:$A$17,0)),"")</f>
        <v/>
      </c>
      <c r="AA243" t="str">
        <f>IFERROR(INDEX(הגדרות!$C$2:$C$17,MATCH(H243,הגדרות!$A$2:$A$17,0)),"")</f>
        <v/>
      </c>
      <c r="AB243" t="str">
        <f>IFERROR(INDEX(הגדרות!$B$2:$B$17,MATCH(I243,הגדרות!$A$2:$A$17,0)),"")</f>
        <v/>
      </c>
      <c r="AC243" t="str">
        <f>IFERROR(INDEX(הגדרות!$C$2:$C$17,MATCH(I243,הגדרות!$A$2:$A$17,0)),"")</f>
        <v/>
      </c>
      <c r="AD243" t="e">
        <f>IF(AND(מלאי!D243&lt;&gt;"",OR(#REF!="הכל",מלאי!Z243=#REF!,מלאי!AA243=#REF!,מלאי!AB243=#REF!,מלאי!AC243=#REF!),OR(#REF!="הכל",מלאי!A243=#REF!),OR(#REF!="הכל",מלאי!B243=#REF!),OR(#REF!="הכל",מלאי!F243=#REF!,מלאי!G243=#REF!),OR(#REF!="הכל",מלאי!T243=#REF!),OR(#REF!="הכל",מלאי!Q243=#REF!),OR(#REF!="הכל",מלאי!J243=#REF!),OR(#REF!="הכל",מלאי!L243=#REF!),OR(#REF!="הכל",מלאי!O243=#REF!),OR(#REF!="הכל",מלאי!R243=#REF!),OR(#REF!="הכל",#REF!="",מלאי!W243=#REF!),OR(#REF!="הכל",#REF!="",ISNUMBER(SEARCH(#REF!,מלאי!C243)))),1,0)</f>
        <v>#REF!</v>
      </c>
      <c r="AE243" t="e">
        <f>IF(AND(מלאי!D243&lt;&gt;"",OR(#REF!="הכל",מלאי!Z243=#REF!,מלאי!AA243=#REF!,מלאי!AB243=#REF!,מלאי!AC243=#REF!),OR(#REF!="הכל",מלאי!A243=#REF!),OR(#REF!="הכל",מלאי!B243=#REF!),OR(#REF!="הכל",מלאי!F243=#REF!,מלאי!G243=#REF!),OR(#REF!="הכל",מלאי!T243=#REF!),OR(#REF!="הכל",מלאי!Q243=#REF!),OR(#REF!="הכל",מלאי!J243=#REF!),OR(#REF!="הכל",מלאי!L243=#REF!),OR(#REF!="הכל",מלאי!O243=#REF!),OR(#REF!="הכל",מלאי!R243=#REF!),OR(#REF!="הכל",#REF!="",מלאי!W243=#REF!),OR(#REF!="הכל",#REF!="",ISNUMBER(SEARCH(#REF!,מלאי!C243))),OR(#REF!="הכל",מלאי!#REF!=#REF!)),1,0)</f>
        <v>#REF!</v>
      </c>
      <c r="AF243" t="e">
        <f>IF(AD243=1,COUNTIF($AD$3:$AD243,1),"")</f>
        <v>#REF!</v>
      </c>
      <c r="AG243" t="e">
        <f>IF(AE243=1,COUNTIF($AE$3:$AE243,1),"")</f>
        <v>#REF!</v>
      </c>
    </row>
    <row r="244" spans="1:33" ht="15" hidden="1" customHeight="1" x14ac:dyDescent="0.35">
      <c r="A244" s="5"/>
      <c r="B244" s="5"/>
      <c r="C244" s="5"/>
      <c r="D244" s="5"/>
      <c r="E244" s="5" t="str">
        <f>IFERROR(INDEX(הגדרות!$I$2:$I$47,MATCH(B244,הגדרות!$H$2:$H$47,0)),"")</f>
        <v/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t="str">
        <f>IFERROR(INDEX(הגדרות!$B$2:$B$17,MATCH(H244,הגדרות!$A$2:$A$17,0)),"")</f>
        <v/>
      </c>
      <c r="AA244" t="str">
        <f>IFERROR(INDEX(הגדרות!$C$2:$C$17,MATCH(H244,הגדרות!$A$2:$A$17,0)),"")</f>
        <v/>
      </c>
      <c r="AB244" t="str">
        <f>IFERROR(INDEX(הגדרות!$B$2:$B$17,MATCH(I244,הגדרות!$A$2:$A$17,0)),"")</f>
        <v/>
      </c>
      <c r="AC244" t="str">
        <f>IFERROR(INDEX(הגדרות!$C$2:$C$17,MATCH(I244,הגדרות!$A$2:$A$17,0)),"")</f>
        <v/>
      </c>
      <c r="AD244" t="e">
        <f>IF(AND(מלאי!D244&lt;&gt;"",OR(#REF!="הכל",מלאי!Z244=#REF!,מלאי!AA244=#REF!,מלאי!AB244=#REF!,מלאי!AC244=#REF!),OR(#REF!="הכל",מלאי!A244=#REF!),OR(#REF!="הכל",מלאי!B244=#REF!),OR(#REF!="הכל",מלאי!F244=#REF!,מלאי!G244=#REF!),OR(#REF!="הכל",מלאי!T244=#REF!),OR(#REF!="הכל",מלאי!Q244=#REF!),OR(#REF!="הכל",מלאי!J244=#REF!),OR(#REF!="הכל",מלאי!L244=#REF!),OR(#REF!="הכל",מלאי!O244=#REF!),OR(#REF!="הכל",מלאי!R244=#REF!),OR(#REF!="הכל",#REF!="",מלאי!W244=#REF!),OR(#REF!="הכל",#REF!="",ISNUMBER(SEARCH(#REF!,מלאי!C244)))),1,0)</f>
        <v>#REF!</v>
      </c>
      <c r="AE244" t="e">
        <f>IF(AND(מלאי!D244&lt;&gt;"",OR(#REF!="הכל",מלאי!Z244=#REF!,מלאי!AA244=#REF!,מלאי!AB244=#REF!,מלאי!AC244=#REF!),OR(#REF!="הכל",מלאי!A244=#REF!),OR(#REF!="הכל",מלאי!B244=#REF!),OR(#REF!="הכל",מלאי!F244=#REF!,מלאי!G244=#REF!),OR(#REF!="הכל",מלאי!T244=#REF!),OR(#REF!="הכל",מלאי!Q244=#REF!),OR(#REF!="הכל",מלאי!J244=#REF!),OR(#REF!="הכל",מלאי!L244=#REF!),OR(#REF!="הכל",מלאי!O244=#REF!),OR(#REF!="הכל",מלאי!R244=#REF!),OR(#REF!="הכל",#REF!="",מלאי!W244=#REF!),OR(#REF!="הכל",#REF!="",ISNUMBER(SEARCH(#REF!,מלאי!C244))),OR(#REF!="הכל",מלאי!#REF!=#REF!)),1,0)</f>
        <v>#REF!</v>
      </c>
      <c r="AF244" t="e">
        <f>IF(AD244=1,COUNTIF($AD$3:$AD244,1),"")</f>
        <v>#REF!</v>
      </c>
      <c r="AG244" t="e">
        <f>IF(AE244=1,COUNTIF($AE$3:$AE244,1),"")</f>
        <v>#REF!</v>
      </c>
    </row>
    <row r="245" spans="1:33" ht="15" hidden="1" customHeight="1" x14ac:dyDescent="0.35">
      <c r="A245" s="4"/>
      <c r="B245" s="4"/>
      <c r="C245" s="4"/>
      <c r="D245" s="4"/>
      <c r="E245" s="4" t="str">
        <f>IFERROR(INDEX(הגדרות!$I$2:$I$47,MATCH(B245,הגדרות!$H$2:$H$47,0)),"")</f>
        <v/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t="str">
        <f>IFERROR(INDEX(הגדרות!$B$2:$B$17,MATCH(H245,הגדרות!$A$2:$A$17,0)),"")</f>
        <v/>
      </c>
      <c r="AA245" t="str">
        <f>IFERROR(INDEX(הגדרות!$C$2:$C$17,MATCH(H245,הגדרות!$A$2:$A$17,0)),"")</f>
        <v/>
      </c>
      <c r="AB245" t="str">
        <f>IFERROR(INDEX(הגדרות!$B$2:$B$17,MATCH(I245,הגדרות!$A$2:$A$17,0)),"")</f>
        <v/>
      </c>
      <c r="AC245" t="str">
        <f>IFERROR(INDEX(הגדרות!$C$2:$C$17,MATCH(I245,הגדרות!$A$2:$A$17,0)),"")</f>
        <v/>
      </c>
      <c r="AD245" t="e">
        <f>IF(AND(מלאי!D245&lt;&gt;"",OR(#REF!="הכל",מלאי!Z245=#REF!,מלאי!AA245=#REF!,מלאי!AB245=#REF!,מלאי!AC245=#REF!),OR(#REF!="הכל",מלאי!A245=#REF!),OR(#REF!="הכל",מלאי!B245=#REF!),OR(#REF!="הכל",מלאי!F245=#REF!,מלאי!G245=#REF!),OR(#REF!="הכל",מלאי!T245=#REF!),OR(#REF!="הכל",מלאי!Q245=#REF!),OR(#REF!="הכל",מלאי!J245=#REF!),OR(#REF!="הכל",מלאי!L245=#REF!),OR(#REF!="הכל",מלאי!O245=#REF!),OR(#REF!="הכל",מלאי!R245=#REF!),OR(#REF!="הכל",#REF!="",מלאי!W245=#REF!),OR(#REF!="הכל",#REF!="",ISNUMBER(SEARCH(#REF!,מלאי!C245)))),1,0)</f>
        <v>#REF!</v>
      </c>
      <c r="AE245" t="e">
        <f>IF(AND(מלאי!D245&lt;&gt;"",OR(#REF!="הכל",מלאי!Z245=#REF!,מלאי!AA245=#REF!,מלאי!AB245=#REF!,מלאי!AC245=#REF!),OR(#REF!="הכל",מלאי!A245=#REF!),OR(#REF!="הכל",מלאי!B245=#REF!),OR(#REF!="הכל",מלאי!F245=#REF!,מלאי!G245=#REF!),OR(#REF!="הכל",מלאי!T245=#REF!),OR(#REF!="הכל",מלאי!Q245=#REF!),OR(#REF!="הכל",מלאי!J245=#REF!),OR(#REF!="הכל",מלאי!L245=#REF!),OR(#REF!="הכל",מלאי!O245=#REF!),OR(#REF!="הכל",מלאי!R245=#REF!),OR(#REF!="הכל",#REF!="",מלאי!W245=#REF!),OR(#REF!="הכל",#REF!="",ISNUMBER(SEARCH(#REF!,מלאי!C245))),OR(#REF!="הכל",מלאי!#REF!=#REF!)),1,0)</f>
        <v>#REF!</v>
      </c>
      <c r="AF245" t="e">
        <f>IF(AD245=1,COUNTIF($AD$3:$AD245,1),"")</f>
        <v>#REF!</v>
      </c>
      <c r="AG245" t="e">
        <f>IF(AE245=1,COUNTIF($AE$3:$AE245,1),"")</f>
        <v>#REF!</v>
      </c>
    </row>
    <row r="246" spans="1:33" ht="15" hidden="1" customHeight="1" x14ac:dyDescent="0.35">
      <c r="A246" s="5"/>
      <c r="B246" s="5"/>
      <c r="C246" s="5"/>
      <c r="D246" s="5"/>
      <c r="E246" s="5" t="str">
        <f>IFERROR(INDEX(הגדרות!$I$2:$I$47,MATCH(B246,הגדרות!$H$2:$H$47,0)),"")</f>
        <v/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t="str">
        <f>IFERROR(INDEX(הגדרות!$B$2:$B$17,MATCH(H246,הגדרות!$A$2:$A$17,0)),"")</f>
        <v/>
      </c>
      <c r="AA246" t="str">
        <f>IFERROR(INDEX(הגדרות!$C$2:$C$17,MATCH(H246,הגדרות!$A$2:$A$17,0)),"")</f>
        <v/>
      </c>
      <c r="AB246" t="str">
        <f>IFERROR(INDEX(הגדרות!$B$2:$B$17,MATCH(I246,הגדרות!$A$2:$A$17,0)),"")</f>
        <v/>
      </c>
      <c r="AC246" t="str">
        <f>IFERROR(INDEX(הגדרות!$C$2:$C$17,MATCH(I246,הגדרות!$A$2:$A$17,0)),"")</f>
        <v/>
      </c>
      <c r="AD246" t="e">
        <f>IF(AND(מלאי!D246&lt;&gt;"",OR(#REF!="הכל",מלאי!Z246=#REF!,מלאי!AA246=#REF!,מלאי!AB246=#REF!,מלאי!AC246=#REF!),OR(#REF!="הכל",מלאי!A246=#REF!),OR(#REF!="הכל",מלאי!B246=#REF!),OR(#REF!="הכל",מלאי!F246=#REF!,מלאי!G246=#REF!),OR(#REF!="הכל",מלאי!T246=#REF!),OR(#REF!="הכל",מלאי!Q246=#REF!),OR(#REF!="הכל",מלאי!J246=#REF!),OR(#REF!="הכל",מלאי!L246=#REF!),OR(#REF!="הכל",מלאי!O246=#REF!),OR(#REF!="הכל",מלאי!R246=#REF!),OR(#REF!="הכל",#REF!="",מלאי!W246=#REF!),OR(#REF!="הכל",#REF!="",ISNUMBER(SEARCH(#REF!,מלאי!C246)))),1,0)</f>
        <v>#REF!</v>
      </c>
      <c r="AE246" t="e">
        <f>IF(AND(מלאי!D246&lt;&gt;"",OR(#REF!="הכל",מלאי!Z246=#REF!,מלאי!AA246=#REF!,מלאי!AB246=#REF!,מלאי!AC246=#REF!),OR(#REF!="הכל",מלאי!A246=#REF!),OR(#REF!="הכל",מלאי!B246=#REF!),OR(#REF!="הכל",מלאי!F246=#REF!,מלאי!G246=#REF!),OR(#REF!="הכל",מלאי!T246=#REF!),OR(#REF!="הכל",מלאי!Q246=#REF!),OR(#REF!="הכל",מלאי!J246=#REF!),OR(#REF!="הכל",מלאי!L246=#REF!),OR(#REF!="הכל",מלאי!O246=#REF!),OR(#REF!="הכל",מלאי!R246=#REF!),OR(#REF!="הכל",#REF!="",מלאי!W246=#REF!),OR(#REF!="הכל",#REF!="",ISNUMBER(SEARCH(#REF!,מלאי!C246))),OR(#REF!="הכל",מלאי!#REF!=#REF!)),1,0)</f>
        <v>#REF!</v>
      </c>
      <c r="AF246" t="e">
        <f>IF(AD246=1,COUNTIF($AD$3:$AD246,1),"")</f>
        <v>#REF!</v>
      </c>
      <c r="AG246" t="e">
        <f>IF(AE246=1,COUNTIF($AE$3:$AE246,1),"")</f>
        <v>#REF!</v>
      </c>
    </row>
    <row r="247" spans="1:33" ht="15" hidden="1" customHeight="1" x14ac:dyDescent="0.35">
      <c r="A247" s="4"/>
      <c r="B247" s="4"/>
      <c r="C247" s="4"/>
      <c r="D247" s="4"/>
      <c r="E247" s="4" t="str">
        <f>IFERROR(INDEX(הגדרות!$I$2:$I$47,MATCH(B247,הגדרות!$H$2:$H$47,0)),"")</f>
        <v/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t="str">
        <f>IFERROR(INDEX(הגדרות!$B$2:$B$17,MATCH(H247,הגדרות!$A$2:$A$17,0)),"")</f>
        <v/>
      </c>
      <c r="AA247" t="str">
        <f>IFERROR(INDEX(הגדרות!$C$2:$C$17,MATCH(H247,הגדרות!$A$2:$A$17,0)),"")</f>
        <v/>
      </c>
      <c r="AB247" t="str">
        <f>IFERROR(INDEX(הגדרות!$B$2:$B$17,MATCH(I247,הגדרות!$A$2:$A$17,0)),"")</f>
        <v/>
      </c>
      <c r="AC247" t="str">
        <f>IFERROR(INDEX(הגדרות!$C$2:$C$17,MATCH(I247,הגדרות!$A$2:$A$17,0)),"")</f>
        <v/>
      </c>
      <c r="AD247" t="e">
        <f>IF(AND(מלאי!D247&lt;&gt;"",OR(#REF!="הכל",מלאי!Z247=#REF!,מלאי!AA247=#REF!,מלאי!AB247=#REF!,מלאי!AC247=#REF!),OR(#REF!="הכל",מלאי!A247=#REF!),OR(#REF!="הכל",מלאי!B247=#REF!),OR(#REF!="הכל",מלאי!F247=#REF!,מלאי!G247=#REF!),OR(#REF!="הכל",מלאי!T247=#REF!),OR(#REF!="הכל",מלאי!Q247=#REF!),OR(#REF!="הכל",מלאי!J247=#REF!),OR(#REF!="הכל",מלאי!L247=#REF!),OR(#REF!="הכל",מלאי!O247=#REF!),OR(#REF!="הכל",מלאי!R247=#REF!),OR(#REF!="הכל",#REF!="",מלאי!W247=#REF!),OR(#REF!="הכל",#REF!="",ISNUMBER(SEARCH(#REF!,מלאי!C247)))),1,0)</f>
        <v>#REF!</v>
      </c>
      <c r="AE247" t="e">
        <f>IF(AND(מלאי!D247&lt;&gt;"",OR(#REF!="הכל",מלאי!Z247=#REF!,מלאי!AA247=#REF!,מלאי!AB247=#REF!,מלאי!AC247=#REF!),OR(#REF!="הכל",מלאי!A247=#REF!),OR(#REF!="הכל",מלאי!B247=#REF!),OR(#REF!="הכל",מלאי!F247=#REF!,מלאי!G247=#REF!),OR(#REF!="הכל",מלאי!T247=#REF!),OR(#REF!="הכל",מלאי!Q247=#REF!),OR(#REF!="הכל",מלאי!J247=#REF!),OR(#REF!="הכל",מלאי!L247=#REF!),OR(#REF!="הכל",מלאי!O247=#REF!),OR(#REF!="הכל",מלאי!R247=#REF!),OR(#REF!="הכל",#REF!="",מלאי!W247=#REF!),OR(#REF!="הכל",#REF!="",ISNUMBER(SEARCH(#REF!,מלאי!C247))),OR(#REF!="הכל",מלאי!#REF!=#REF!)),1,0)</f>
        <v>#REF!</v>
      </c>
      <c r="AF247" t="e">
        <f>IF(AD247=1,COUNTIF($AD$3:$AD247,1),"")</f>
        <v>#REF!</v>
      </c>
      <c r="AG247" t="e">
        <f>IF(AE247=1,COUNTIF($AE$3:$AE247,1),"")</f>
        <v>#REF!</v>
      </c>
    </row>
    <row r="248" spans="1:33" ht="15" hidden="1" customHeight="1" x14ac:dyDescent="0.35">
      <c r="A248" s="5"/>
      <c r="B248" s="5"/>
      <c r="C248" s="5"/>
      <c r="D248" s="5"/>
      <c r="E248" s="5" t="str">
        <f>IFERROR(INDEX(הגדרות!$I$2:$I$47,MATCH(B248,הגדרות!$H$2:$H$47,0)),"")</f>
        <v/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t="str">
        <f>IFERROR(INDEX(הגדרות!$B$2:$B$17,MATCH(H248,הגדרות!$A$2:$A$17,0)),"")</f>
        <v/>
      </c>
      <c r="AA248" t="str">
        <f>IFERROR(INDEX(הגדרות!$C$2:$C$17,MATCH(H248,הגדרות!$A$2:$A$17,0)),"")</f>
        <v/>
      </c>
      <c r="AB248" t="str">
        <f>IFERROR(INDEX(הגדרות!$B$2:$B$17,MATCH(I248,הגדרות!$A$2:$A$17,0)),"")</f>
        <v/>
      </c>
      <c r="AC248" t="str">
        <f>IFERROR(INDEX(הגדרות!$C$2:$C$17,MATCH(I248,הגדרות!$A$2:$A$17,0)),"")</f>
        <v/>
      </c>
      <c r="AD248" t="e">
        <f>IF(AND(מלאי!D248&lt;&gt;"",OR(#REF!="הכל",מלאי!Z248=#REF!,מלאי!AA248=#REF!,מלאי!AB248=#REF!,מלאי!AC248=#REF!),OR(#REF!="הכל",מלאי!A248=#REF!),OR(#REF!="הכל",מלאי!B248=#REF!),OR(#REF!="הכל",מלאי!F248=#REF!,מלאי!G248=#REF!),OR(#REF!="הכל",מלאי!T248=#REF!),OR(#REF!="הכל",מלאי!Q248=#REF!),OR(#REF!="הכל",מלאי!J248=#REF!),OR(#REF!="הכל",מלאי!L248=#REF!),OR(#REF!="הכל",מלאי!O248=#REF!),OR(#REF!="הכל",מלאי!R248=#REF!),OR(#REF!="הכל",#REF!="",מלאי!W248=#REF!),OR(#REF!="הכל",#REF!="",ISNUMBER(SEARCH(#REF!,מלאי!C248)))),1,0)</f>
        <v>#REF!</v>
      </c>
      <c r="AE248" t="e">
        <f>IF(AND(מלאי!D248&lt;&gt;"",OR(#REF!="הכל",מלאי!Z248=#REF!,מלאי!AA248=#REF!,מלאי!AB248=#REF!,מלאי!AC248=#REF!),OR(#REF!="הכל",מלאי!A248=#REF!),OR(#REF!="הכל",מלאי!B248=#REF!),OR(#REF!="הכל",מלאי!F248=#REF!,מלאי!G248=#REF!),OR(#REF!="הכל",מלאי!T248=#REF!),OR(#REF!="הכל",מלאי!Q248=#REF!),OR(#REF!="הכל",מלאי!J248=#REF!),OR(#REF!="הכל",מלאי!L248=#REF!),OR(#REF!="הכל",מלאי!O248=#REF!),OR(#REF!="הכל",מלאי!R248=#REF!),OR(#REF!="הכל",#REF!="",מלאי!W248=#REF!),OR(#REF!="הכל",#REF!="",ISNUMBER(SEARCH(#REF!,מלאי!C248))),OR(#REF!="הכל",מלאי!#REF!=#REF!)),1,0)</f>
        <v>#REF!</v>
      </c>
      <c r="AF248" t="e">
        <f>IF(AD248=1,COUNTIF($AD$3:$AD248,1),"")</f>
        <v>#REF!</v>
      </c>
      <c r="AG248" t="e">
        <f>IF(AE248=1,COUNTIF($AE$3:$AE248,1),"")</f>
        <v>#REF!</v>
      </c>
    </row>
    <row r="249" spans="1:33" ht="15" hidden="1" customHeight="1" x14ac:dyDescent="0.35">
      <c r="A249" s="4"/>
      <c r="B249" s="4"/>
      <c r="C249" s="4"/>
      <c r="D249" s="4"/>
      <c r="E249" s="4" t="str">
        <f>IFERROR(INDEX(הגדרות!$I$2:$I$47,MATCH(B249,הגדרות!$H$2:$H$47,0)),"")</f>
        <v/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t="str">
        <f>IFERROR(INDEX(הגדרות!$B$2:$B$17,MATCH(H249,הגדרות!$A$2:$A$17,0)),"")</f>
        <v/>
      </c>
      <c r="AA249" t="str">
        <f>IFERROR(INDEX(הגדרות!$C$2:$C$17,MATCH(H249,הגדרות!$A$2:$A$17,0)),"")</f>
        <v/>
      </c>
      <c r="AB249" t="str">
        <f>IFERROR(INDEX(הגדרות!$B$2:$B$17,MATCH(I249,הגדרות!$A$2:$A$17,0)),"")</f>
        <v/>
      </c>
      <c r="AC249" t="str">
        <f>IFERROR(INDEX(הגדרות!$C$2:$C$17,MATCH(I249,הגדרות!$A$2:$A$17,0)),"")</f>
        <v/>
      </c>
      <c r="AD249" t="e">
        <f>IF(AND(מלאי!D249&lt;&gt;"",OR(#REF!="הכל",מלאי!Z249=#REF!,מלאי!AA249=#REF!,מלאי!AB249=#REF!,מלאי!AC249=#REF!),OR(#REF!="הכל",מלאי!A249=#REF!),OR(#REF!="הכל",מלאי!B249=#REF!),OR(#REF!="הכל",מלאי!F249=#REF!,מלאי!G249=#REF!),OR(#REF!="הכל",מלאי!T249=#REF!),OR(#REF!="הכל",מלאי!Q249=#REF!),OR(#REF!="הכל",מלאי!J249=#REF!),OR(#REF!="הכל",מלאי!L249=#REF!),OR(#REF!="הכל",מלאי!O249=#REF!),OR(#REF!="הכל",מלאי!R249=#REF!),OR(#REF!="הכל",#REF!="",מלאי!W249=#REF!),OR(#REF!="הכל",#REF!="",ISNUMBER(SEARCH(#REF!,מלאי!C249)))),1,0)</f>
        <v>#REF!</v>
      </c>
      <c r="AE249" t="e">
        <f>IF(AND(מלאי!D249&lt;&gt;"",OR(#REF!="הכל",מלאי!Z249=#REF!,מלאי!AA249=#REF!,מלאי!AB249=#REF!,מלאי!AC249=#REF!),OR(#REF!="הכל",מלאי!A249=#REF!),OR(#REF!="הכל",מלאי!B249=#REF!),OR(#REF!="הכל",מלאי!F249=#REF!,מלאי!G249=#REF!),OR(#REF!="הכל",מלאי!T249=#REF!),OR(#REF!="הכל",מלאי!Q249=#REF!),OR(#REF!="הכל",מלאי!J249=#REF!),OR(#REF!="הכל",מלאי!L249=#REF!),OR(#REF!="הכל",מלאי!O249=#REF!),OR(#REF!="הכל",מלאי!R249=#REF!),OR(#REF!="הכל",#REF!="",מלאי!W249=#REF!),OR(#REF!="הכל",#REF!="",ISNUMBER(SEARCH(#REF!,מלאי!C249))),OR(#REF!="הכל",מלאי!#REF!=#REF!)),1,0)</f>
        <v>#REF!</v>
      </c>
      <c r="AF249" t="e">
        <f>IF(AD249=1,COUNTIF($AD$3:$AD249,1),"")</f>
        <v>#REF!</v>
      </c>
      <c r="AG249" t="e">
        <f>IF(AE249=1,COUNTIF($AE$3:$AE249,1),"")</f>
        <v>#REF!</v>
      </c>
    </row>
    <row r="250" spans="1:33" ht="15" hidden="1" customHeight="1" x14ac:dyDescent="0.35">
      <c r="A250" s="5"/>
      <c r="B250" s="5"/>
      <c r="C250" s="5"/>
      <c r="D250" s="5"/>
      <c r="E250" s="5" t="str">
        <f>IFERROR(INDEX(הגדרות!$I$2:$I$47,MATCH(B250,הגדרות!$H$2:$H$47,0)),"")</f>
        <v/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t="str">
        <f>IFERROR(INDEX(הגדרות!$B$2:$B$17,MATCH(H250,הגדרות!$A$2:$A$17,0)),"")</f>
        <v/>
      </c>
      <c r="AA250" t="str">
        <f>IFERROR(INDEX(הגדרות!$C$2:$C$17,MATCH(H250,הגדרות!$A$2:$A$17,0)),"")</f>
        <v/>
      </c>
      <c r="AB250" t="str">
        <f>IFERROR(INDEX(הגדרות!$B$2:$B$17,MATCH(I250,הגדרות!$A$2:$A$17,0)),"")</f>
        <v/>
      </c>
      <c r="AC250" t="str">
        <f>IFERROR(INDEX(הגדרות!$C$2:$C$17,MATCH(I250,הגדרות!$A$2:$A$17,0)),"")</f>
        <v/>
      </c>
      <c r="AD250" t="e">
        <f>IF(AND(מלאי!D250&lt;&gt;"",OR(#REF!="הכל",מלאי!Z250=#REF!,מלאי!AA250=#REF!,מלאי!AB250=#REF!,מלאי!AC250=#REF!),OR(#REF!="הכל",מלאי!A250=#REF!),OR(#REF!="הכל",מלאי!B250=#REF!),OR(#REF!="הכל",מלאי!F250=#REF!,מלאי!G250=#REF!),OR(#REF!="הכל",מלאי!T250=#REF!),OR(#REF!="הכל",מלאי!Q250=#REF!),OR(#REF!="הכל",מלאי!J250=#REF!),OR(#REF!="הכל",מלאי!L250=#REF!),OR(#REF!="הכל",מלאי!O250=#REF!),OR(#REF!="הכל",מלאי!R250=#REF!),OR(#REF!="הכל",#REF!="",מלאי!W250=#REF!),OR(#REF!="הכל",#REF!="",ISNUMBER(SEARCH(#REF!,מלאי!C250)))),1,0)</f>
        <v>#REF!</v>
      </c>
      <c r="AE250" t="e">
        <f>IF(AND(מלאי!D250&lt;&gt;"",OR(#REF!="הכל",מלאי!Z250=#REF!,מלאי!AA250=#REF!,מלאי!AB250=#REF!,מלאי!AC250=#REF!),OR(#REF!="הכל",מלאי!A250=#REF!),OR(#REF!="הכל",מלאי!B250=#REF!),OR(#REF!="הכל",מלאי!F250=#REF!,מלאי!G250=#REF!),OR(#REF!="הכל",מלאי!T250=#REF!),OR(#REF!="הכל",מלאי!Q250=#REF!),OR(#REF!="הכל",מלאי!J250=#REF!),OR(#REF!="הכל",מלאי!L250=#REF!),OR(#REF!="הכל",מלאי!O250=#REF!),OR(#REF!="הכל",מלאי!R250=#REF!),OR(#REF!="הכל",#REF!="",מלאי!W250=#REF!),OR(#REF!="הכל",#REF!="",ISNUMBER(SEARCH(#REF!,מלאי!C250))),OR(#REF!="הכל",מלאי!#REF!=#REF!)),1,0)</f>
        <v>#REF!</v>
      </c>
      <c r="AF250" t="e">
        <f>IF(AD250=1,COUNTIF($AD$3:$AD250,1),"")</f>
        <v>#REF!</v>
      </c>
      <c r="AG250" t="e">
        <f>IF(AE250=1,COUNTIF($AE$3:$AE250,1),"")</f>
        <v>#REF!</v>
      </c>
    </row>
    <row r="251" spans="1:33" ht="15" hidden="1" customHeight="1" x14ac:dyDescent="0.35">
      <c r="A251" s="4"/>
      <c r="B251" s="4"/>
      <c r="C251" s="4"/>
      <c r="D251" s="4"/>
      <c r="E251" s="4" t="str">
        <f>IFERROR(INDEX(הגדרות!$I$2:$I$47,MATCH(B251,הגדרות!$H$2:$H$47,0)),"")</f>
        <v/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t="str">
        <f>IFERROR(INDEX(הגדרות!$B$2:$B$17,MATCH(H251,הגדרות!$A$2:$A$17,0)),"")</f>
        <v/>
      </c>
      <c r="AA251" t="str">
        <f>IFERROR(INDEX(הגדרות!$C$2:$C$17,MATCH(H251,הגדרות!$A$2:$A$17,0)),"")</f>
        <v/>
      </c>
      <c r="AB251" t="str">
        <f>IFERROR(INDEX(הגדרות!$B$2:$B$17,MATCH(I251,הגדרות!$A$2:$A$17,0)),"")</f>
        <v/>
      </c>
      <c r="AC251" t="str">
        <f>IFERROR(INDEX(הגדרות!$C$2:$C$17,MATCH(I251,הגדרות!$A$2:$A$17,0)),"")</f>
        <v/>
      </c>
      <c r="AD251" t="e">
        <f>IF(AND(מלאי!D251&lt;&gt;"",OR(#REF!="הכל",מלאי!Z251=#REF!,מלאי!AA251=#REF!,מלאי!AB251=#REF!,מלאי!AC251=#REF!),OR(#REF!="הכל",מלאי!A251=#REF!),OR(#REF!="הכל",מלאי!B251=#REF!),OR(#REF!="הכל",מלאי!F251=#REF!,מלאי!G251=#REF!),OR(#REF!="הכל",מלאי!T251=#REF!),OR(#REF!="הכל",מלאי!Q251=#REF!),OR(#REF!="הכל",מלאי!J251=#REF!),OR(#REF!="הכל",מלאי!L251=#REF!),OR(#REF!="הכל",מלאי!O251=#REF!),OR(#REF!="הכל",מלאי!R251=#REF!),OR(#REF!="הכל",#REF!="",מלאי!W251=#REF!),OR(#REF!="הכל",#REF!="",ISNUMBER(SEARCH(#REF!,מלאי!C251)))),1,0)</f>
        <v>#REF!</v>
      </c>
      <c r="AE251" t="e">
        <f>IF(AND(מלאי!D251&lt;&gt;"",OR(#REF!="הכל",מלאי!Z251=#REF!,מלאי!AA251=#REF!,מלאי!AB251=#REF!,מלאי!AC251=#REF!),OR(#REF!="הכל",מלאי!A251=#REF!),OR(#REF!="הכל",מלאי!B251=#REF!),OR(#REF!="הכל",מלאי!F251=#REF!,מלאי!G251=#REF!),OR(#REF!="הכל",מלאי!T251=#REF!),OR(#REF!="הכל",מלאי!Q251=#REF!),OR(#REF!="הכל",מלאי!J251=#REF!),OR(#REF!="הכל",מלאי!L251=#REF!),OR(#REF!="הכל",מלאי!O251=#REF!),OR(#REF!="הכל",מלאי!R251=#REF!),OR(#REF!="הכל",#REF!="",מלאי!W251=#REF!),OR(#REF!="הכל",#REF!="",ISNUMBER(SEARCH(#REF!,מלאי!C251))),OR(#REF!="הכל",מלאי!#REF!=#REF!)),1,0)</f>
        <v>#REF!</v>
      </c>
      <c r="AF251" t="e">
        <f>IF(AD251=1,COUNTIF($AD$3:$AD251,1),"")</f>
        <v>#REF!</v>
      </c>
      <c r="AG251" t="e">
        <f>IF(AE251=1,COUNTIF($AE$3:$AE251,1),"")</f>
        <v>#REF!</v>
      </c>
    </row>
    <row r="252" spans="1:33" ht="15" hidden="1" customHeight="1" x14ac:dyDescent="0.35">
      <c r="A252" s="5"/>
      <c r="B252" s="5"/>
      <c r="C252" s="5"/>
      <c r="D252" s="5"/>
      <c r="E252" s="5" t="str">
        <f>IFERROR(INDEX(הגדרות!$I$2:$I$47,MATCH(B252,הגדרות!$H$2:$H$47,0)),"")</f>
        <v/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t="str">
        <f>IFERROR(INDEX(הגדרות!$B$2:$B$17,MATCH(H252,הגדרות!$A$2:$A$17,0)),"")</f>
        <v/>
      </c>
      <c r="AA252" t="str">
        <f>IFERROR(INDEX(הגדרות!$C$2:$C$17,MATCH(H252,הגדרות!$A$2:$A$17,0)),"")</f>
        <v/>
      </c>
      <c r="AB252" t="str">
        <f>IFERROR(INDEX(הגדרות!$B$2:$B$17,MATCH(I252,הגדרות!$A$2:$A$17,0)),"")</f>
        <v/>
      </c>
      <c r="AC252" t="str">
        <f>IFERROR(INDEX(הגדרות!$C$2:$C$17,MATCH(I252,הגדרות!$A$2:$A$17,0)),"")</f>
        <v/>
      </c>
      <c r="AD252" t="e">
        <f>IF(AND(מלאי!D252&lt;&gt;"",OR(#REF!="הכל",מלאי!Z252=#REF!,מלאי!AA252=#REF!,מלאי!AB252=#REF!,מלאי!AC252=#REF!),OR(#REF!="הכל",מלאי!A252=#REF!),OR(#REF!="הכל",מלאי!B252=#REF!),OR(#REF!="הכל",מלאי!F252=#REF!,מלאי!G252=#REF!),OR(#REF!="הכל",מלאי!T252=#REF!),OR(#REF!="הכל",מלאי!Q252=#REF!),OR(#REF!="הכל",מלאי!J252=#REF!),OR(#REF!="הכל",מלאי!L252=#REF!),OR(#REF!="הכל",מלאי!O252=#REF!),OR(#REF!="הכל",מלאי!R252=#REF!),OR(#REF!="הכל",#REF!="",מלאי!W252=#REF!),OR(#REF!="הכל",#REF!="",ISNUMBER(SEARCH(#REF!,מלאי!C252)))),1,0)</f>
        <v>#REF!</v>
      </c>
      <c r="AE252" t="e">
        <f>IF(AND(מלאי!D252&lt;&gt;"",OR(#REF!="הכל",מלאי!Z252=#REF!,מלאי!AA252=#REF!,מלאי!AB252=#REF!,מלאי!AC252=#REF!),OR(#REF!="הכל",מלאי!A252=#REF!),OR(#REF!="הכל",מלאי!B252=#REF!),OR(#REF!="הכל",מלאי!F252=#REF!,מלאי!G252=#REF!),OR(#REF!="הכל",מלאי!T252=#REF!),OR(#REF!="הכל",מלאי!Q252=#REF!),OR(#REF!="הכל",מלאי!J252=#REF!),OR(#REF!="הכל",מלאי!L252=#REF!),OR(#REF!="הכל",מלאי!O252=#REF!),OR(#REF!="הכל",מלאי!R252=#REF!),OR(#REF!="הכל",#REF!="",מלאי!W252=#REF!),OR(#REF!="הכל",#REF!="",ISNUMBER(SEARCH(#REF!,מלאי!C252))),OR(#REF!="הכל",מלאי!#REF!=#REF!)),1,0)</f>
        <v>#REF!</v>
      </c>
      <c r="AF252" t="e">
        <f>IF(AD252=1,COUNTIF($AD$3:$AD252,1),"")</f>
        <v>#REF!</v>
      </c>
      <c r="AG252" t="e">
        <f>IF(AE252=1,COUNTIF($AE$3:$AE252,1),"")</f>
        <v>#REF!</v>
      </c>
    </row>
    <row r="253" spans="1:33" ht="15" hidden="1" customHeight="1" x14ac:dyDescent="0.35">
      <c r="A253" s="4"/>
      <c r="B253" s="4"/>
      <c r="C253" s="4"/>
      <c r="D253" s="4"/>
      <c r="E253" s="4" t="str">
        <f>IFERROR(INDEX(הגדרות!$I$2:$I$47,MATCH(B253,הגדרות!$H$2:$H$47,0)),"")</f>
        <v/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t="str">
        <f>IFERROR(INDEX(הגדרות!$B$2:$B$17,MATCH(H253,הגדרות!$A$2:$A$17,0)),"")</f>
        <v/>
      </c>
      <c r="AA253" t="str">
        <f>IFERROR(INDEX(הגדרות!$C$2:$C$17,MATCH(H253,הגדרות!$A$2:$A$17,0)),"")</f>
        <v/>
      </c>
      <c r="AB253" t="str">
        <f>IFERROR(INDEX(הגדרות!$B$2:$B$17,MATCH(I253,הגדרות!$A$2:$A$17,0)),"")</f>
        <v/>
      </c>
      <c r="AC253" t="str">
        <f>IFERROR(INDEX(הגדרות!$C$2:$C$17,MATCH(I253,הגדרות!$A$2:$A$17,0)),"")</f>
        <v/>
      </c>
      <c r="AD253" t="e">
        <f>IF(AND(מלאי!D253&lt;&gt;"",OR(#REF!="הכל",מלאי!Z253=#REF!,מלאי!AA253=#REF!,מלאי!AB253=#REF!,מלאי!AC253=#REF!),OR(#REF!="הכל",מלאי!A253=#REF!),OR(#REF!="הכל",מלאי!B253=#REF!),OR(#REF!="הכל",מלאי!F253=#REF!,מלאי!G253=#REF!),OR(#REF!="הכל",מלאי!T253=#REF!),OR(#REF!="הכל",מלאי!Q253=#REF!),OR(#REF!="הכל",מלאי!J253=#REF!),OR(#REF!="הכל",מלאי!L253=#REF!),OR(#REF!="הכל",מלאי!O253=#REF!),OR(#REF!="הכל",מלאי!R253=#REF!),OR(#REF!="הכל",#REF!="",מלאי!W253=#REF!),OR(#REF!="הכל",#REF!="",ISNUMBER(SEARCH(#REF!,מלאי!C253)))),1,0)</f>
        <v>#REF!</v>
      </c>
      <c r="AE253" t="e">
        <f>IF(AND(מלאי!D253&lt;&gt;"",OR(#REF!="הכל",מלאי!Z253=#REF!,מלאי!AA253=#REF!,מלאי!AB253=#REF!,מלאי!AC253=#REF!),OR(#REF!="הכל",מלאי!A253=#REF!),OR(#REF!="הכל",מלאי!B253=#REF!),OR(#REF!="הכל",מלאי!F253=#REF!,מלאי!G253=#REF!),OR(#REF!="הכל",מלאי!T253=#REF!),OR(#REF!="הכל",מלאי!Q253=#REF!),OR(#REF!="הכל",מלאי!J253=#REF!),OR(#REF!="הכל",מלאי!L253=#REF!),OR(#REF!="הכל",מלאי!O253=#REF!),OR(#REF!="הכל",מלאי!R253=#REF!),OR(#REF!="הכל",#REF!="",מלאי!W253=#REF!),OR(#REF!="הכל",#REF!="",ISNUMBER(SEARCH(#REF!,מלאי!C253))),OR(#REF!="הכל",מלאי!#REF!=#REF!)),1,0)</f>
        <v>#REF!</v>
      </c>
      <c r="AF253" t="e">
        <f>IF(AD253=1,COUNTIF($AD$3:$AD253,1),"")</f>
        <v>#REF!</v>
      </c>
      <c r="AG253" t="e">
        <f>IF(AE253=1,COUNTIF($AE$3:$AE253,1),"")</f>
        <v>#REF!</v>
      </c>
    </row>
    <row r="254" spans="1:33" ht="15" hidden="1" customHeight="1" x14ac:dyDescent="0.35">
      <c r="A254" s="5"/>
      <c r="B254" s="5"/>
      <c r="C254" s="5"/>
      <c r="D254" s="5"/>
      <c r="E254" s="5" t="str">
        <f>IFERROR(INDEX(הגדרות!$I$2:$I$47,MATCH(B254,הגדרות!$H$2:$H$47,0)),"")</f>
        <v/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t="str">
        <f>IFERROR(INDEX(הגדרות!$B$2:$B$17,MATCH(H254,הגדרות!$A$2:$A$17,0)),"")</f>
        <v/>
      </c>
      <c r="AA254" t="str">
        <f>IFERROR(INDEX(הגדרות!$C$2:$C$17,MATCH(H254,הגדרות!$A$2:$A$17,0)),"")</f>
        <v/>
      </c>
      <c r="AB254" t="str">
        <f>IFERROR(INDEX(הגדרות!$B$2:$B$17,MATCH(I254,הגדרות!$A$2:$A$17,0)),"")</f>
        <v/>
      </c>
      <c r="AC254" t="str">
        <f>IFERROR(INDEX(הגדרות!$C$2:$C$17,MATCH(I254,הגדרות!$A$2:$A$17,0)),"")</f>
        <v/>
      </c>
      <c r="AD254" t="e">
        <f>IF(AND(מלאי!D254&lt;&gt;"",OR(#REF!="הכל",מלאי!Z254=#REF!,מלאי!AA254=#REF!,מלאי!AB254=#REF!,מלאי!AC254=#REF!),OR(#REF!="הכל",מלאי!A254=#REF!),OR(#REF!="הכל",מלאי!B254=#REF!),OR(#REF!="הכל",מלאי!F254=#REF!,מלאי!G254=#REF!),OR(#REF!="הכל",מלאי!T254=#REF!),OR(#REF!="הכל",מלאי!Q254=#REF!),OR(#REF!="הכל",מלאי!J254=#REF!),OR(#REF!="הכל",מלאי!L254=#REF!),OR(#REF!="הכל",מלאי!O254=#REF!),OR(#REF!="הכל",מלאי!R254=#REF!),OR(#REF!="הכל",#REF!="",מלאי!W254=#REF!),OR(#REF!="הכל",#REF!="",ISNUMBER(SEARCH(#REF!,מלאי!C254)))),1,0)</f>
        <v>#REF!</v>
      </c>
      <c r="AE254" t="e">
        <f>IF(AND(מלאי!D254&lt;&gt;"",OR(#REF!="הכל",מלאי!Z254=#REF!,מלאי!AA254=#REF!,מלאי!AB254=#REF!,מלאי!AC254=#REF!),OR(#REF!="הכל",מלאי!A254=#REF!),OR(#REF!="הכל",מלאי!B254=#REF!),OR(#REF!="הכל",מלאי!F254=#REF!,מלאי!G254=#REF!),OR(#REF!="הכל",מלאי!T254=#REF!),OR(#REF!="הכל",מלאי!Q254=#REF!),OR(#REF!="הכל",מלאי!J254=#REF!),OR(#REF!="הכל",מלאי!L254=#REF!),OR(#REF!="הכל",מלאי!O254=#REF!),OR(#REF!="הכל",מלאי!R254=#REF!),OR(#REF!="הכל",#REF!="",מלאי!W254=#REF!),OR(#REF!="הכל",#REF!="",ISNUMBER(SEARCH(#REF!,מלאי!C254))),OR(#REF!="הכל",מלאי!#REF!=#REF!)),1,0)</f>
        <v>#REF!</v>
      </c>
      <c r="AF254" t="e">
        <f>IF(AD254=1,COUNTIF($AD$3:$AD254,1),"")</f>
        <v>#REF!</v>
      </c>
      <c r="AG254" t="e">
        <f>IF(AE254=1,COUNTIF($AE$3:$AE254,1),"")</f>
        <v>#REF!</v>
      </c>
    </row>
    <row r="255" spans="1:33" ht="15" hidden="1" customHeight="1" x14ac:dyDescent="0.35">
      <c r="A255" s="4"/>
      <c r="B255" s="4"/>
      <c r="C255" s="4"/>
      <c r="D255" s="4"/>
      <c r="E255" s="4" t="str">
        <f>IFERROR(INDEX(הגדרות!$I$2:$I$47,MATCH(B255,הגדרות!$H$2:$H$47,0)),"")</f>
        <v/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t="str">
        <f>IFERROR(INDEX(הגדרות!$B$2:$B$17,MATCH(H255,הגדרות!$A$2:$A$17,0)),"")</f>
        <v/>
      </c>
      <c r="AA255" t="str">
        <f>IFERROR(INDEX(הגדרות!$C$2:$C$17,MATCH(H255,הגדרות!$A$2:$A$17,0)),"")</f>
        <v/>
      </c>
      <c r="AB255" t="str">
        <f>IFERROR(INDEX(הגדרות!$B$2:$B$17,MATCH(I255,הגדרות!$A$2:$A$17,0)),"")</f>
        <v/>
      </c>
      <c r="AC255" t="str">
        <f>IFERROR(INDEX(הגדרות!$C$2:$C$17,MATCH(I255,הגדרות!$A$2:$A$17,0)),"")</f>
        <v/>
      </c>
      <c r="AD255" t="e">
        <f>IF(AND(מלאי!D255&lt;&gt;"",OR(#REF!="הכל",מלאי!Z255=#REF!,מלאי!AA255=#REF!,מלאי!AB255=#REF!,מלאי!AC255=#REF!),OR(#REF!="הכל",מלאי!A255=#REF!),OR(#REF!="הכל",מלאי!B255=#REF!),OR(#REF!="הכל",מלאי!F255=#REF!,מלאי!G255=#REF!),OR(#REF!="הכל",מלאי!T255=#REF!),OR(#REF!="הכל",מלאי!Q255=#REF!),OR(#REF!="הכל",מלאי!J255=#REF!),OR(#REF!="הכל",מלאי!L255=#REF!),OR(#REF!="הכל",מלאי!O255=#REF!),OR(#REF!="הכל",מלאי!R255=#REF!),OR(#REF!="הכל",#REF!="",מלאי!W255=#REF!),OR(#REF!="הכל",#REF!="",ISNUMBER(SEARCH(#REF!,מלאי!C255)))),1,0)</f>
        <v>#REF!</v>
      </c>
      <c r="AE255" t="e">
        <f>IF(AND(מלאי!D255&lt;&gt;"",OR(#REF!="הכל",מלאי!Z255=#REF!,מלאי!AA255=#REF!,מלאי!AB255=#REF!,מלאי!AC255=#REF!),OR(#REF!="הכל",מלאי!A255=#REF!),OR(#REF!="הכל",מלאי!B255=#REF!),OR(#REF!="הכל",מלאי!F255=#REF!,מלאי!G255=#REF!),OR(#REF!="הכל",מלאי!T255=#REF!),OR(#REF!="הכל",מלאי!Q255=#REF!),OR(#REF!="הכל",מלאי!J255=#REF!),OR(#REF!="הכל",מלאי!L255=#REF!),OR(#REF!="הכל",מלאי!O255=#REF!),OR(#REF!="הכל",מלאי!R255=#REF!),OR(#REF!="הכל",#REF!="",מלאי!W255=#REF!),OR(#REF!="הכל",#REF!="",ISNUMBER(SEARCH(#REF!,מלאי!C255))),OR(#REF!="הכל",מלאי!#REF!=#REF!)),1,0)</f>
        <v>#REF!</v>
      </c>
      <c r="AF255" t="e">
        <f>IF(AD255=1,COUNTIF($AD$3:$AD255,1),"")</f>
        <v>#REF!</v>
      </c>
      <c r="AG255" t="e">
        <f>IF(AE255=1,COUNTIF($AE$3:$AE255,1),"")</f>
        <v>#REF!</v>
      </c>
    </row>
    <row r="256" spans="1:33" ht="15" hidden="1" customHeight="1" x14ac:dyDescent="0.35">
      <c r="A256" s="5"/>
      <c r="B256" s="5"/>
      <c r="C256" s="5"/>
      <c r="D256" s="5"/>
      <c r="E256" s="5" t="str">
        <f>IFERROR(INDEX(הגדרות!$I$2:$I$47,MATCH(B256,הגדרות!$H$2:$H$47,0)),"")</f>
        <v/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t="str">
        <f>IFERROR(INDEX(הגדרות!$B$2:$B$17,MATCH(H256,הגדרות!$A$2:$A$17,0)),"")</f>
        <v/>
      </c>
      <c r="AA256" t="str">
        <f>IFERROR(INDEX(הגדרות!$C$2:$C$17,MATCH(H256,הגדרות!$A$2:$A$17,0)),"")</f>
        <v/>
      </c>
      <c r="AB256" t="str">
        <f>IFERROR(INDEX(הגדרות!$B$2:$B$17,MATCH(I256,הגדרות!$A$2:$A$17,0)),"")</f>
        <v/>
      </c>
      <c r="AC256" t="str">
        <f>IFERROR(INDEX(הגדרות!$C$2:$C$17,MATCH(I256,הגדרות!$A$2:$A$17,0)),"")</f>
        <v/>
      </c>
      <c r="AD256" t="e">
        <f>IF(AND(מלאי!D256&lt;&gt;"",OR(#REF!="הכל",מלאי!Z256=#REF!,מלאי!AA256=#REF!,מלאי!AB256=#REF!,מלאי!AC256=#REF!),OR(#REF!="הכל",מלאי!A256=#REF!),OR(#REF!="הכל",מלאי!B256=#REF!),OR(#REF!="הכל",מלאי!F256=#REF!,מלאי!G256=#REF!),OR(#REF!="הכל",מלאי!T256=#REF!),OR(#REF!="הכל",מלאי!Q256=#REF!),OR(#REF!="הכל",מלאי!J256=#REF!),OR(#REF!="הכל",מלאי!L256=#REF!),OR(#REF!="הכל",מלאי!O256=#REF!),OR(#REF!="הכל",מלאי!R256=#REF!),OR(#REF!="הכל",#REF!="",מלאי!W256=#REF!),OR(#REF!="הכל",#REF!="",ISNUMBER(SEARCH(#REF!,מלאי!C256)))),1,0)</f>
        <v>#REF!</v>
      </c>
      <c r="AE256" t="e">
        <f>IF(AND(מלאי!D256&lt;&gt;"",OR(#REF!="הכל",מלאי!Z256=#REF!,מלאי!AA256=#REF!,מלאי!AB256=#REF!,מלאי!AC256=#REF!),OR(#REF!="הכל",מלאי!A256=#REF!),OR(#REF!="הכל",מלאי!B256=#REF!),OR(#REF!="הכל",מלאי!F256=#REF!,מלאי!G256=#REF!),OR(#REF!="הכל",מלאי!T256=#REF!),OR(#REF!="הכל",מלאי!Q256=#REF!),OR(#REF!="הכל",מלאי!J256=#REF!),OR(#REF!="הכל",מלאי!L256=#REF!),OR(#REF!="הכל",מלאי!O256=#REF!),OR(#REF!="הכל",מלאי!R256=#REF!),OR(#REF!="הכל",#REF!="",מלאי!W256=#REF!),OR(#REF!="הכל",#REF!="",ISNUMBER(SEARCH(#REF!,מלאי!C256))),OR(#REF!="הכל",מלאי!#REF!=#REF!)),1,0)</f>
        <v>#REF!</v>
      </c>
      <c r="AF256" t="e">
        <f>IF(AD256=1,COUNTIF($AD$3:$AD256,1),"")</f>
        <v>#REF!</v>
      </c>
      <c r="AG256" t="e">
        <f>IF(AE256=1,COUNTIF($AE$3:$AE256,1),"")</f>
        <v>#REF!</v>
      </c>
    </row>
    <row r="257" spans="1:33" ht="15" hidden="1" customHeight="1" x14ac:dyDescent="0.35">
      <c r="A257" s="4"/>
      <c r="B257" s="4"/>
      <c r="C257" s="4"/>
      <c r="D257" s="4"/>
      <c r="E257" s="4" t="str">
        <f>IFERROR(INDEX(הגדרות!$I$2:$I$47,MATCH(B257,הגדרות!$H$2:$H$47,0)),"")</f>
        <v/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t="str">
        <f>IFERROR(INDEX(הגדרות!$B$2:$B$17,MATCH(H257,הגדרות!$A$2:$A$17,0)),"")</f>
        <v/>
      </c>
      <c r="AA257" t="str">
        <f>IFERROR(INDEX(הגדרות!$C$2:$C$17,MATCH(H257,הגדרות!$A$2:$A$17,0)),"")</f>
        <v/>
      </c>
      <c r="AB257" t="str">
        <f>IFERROR(INDEX(הגדרות!$B$2:$B$17,MATCH(I257,הגדרות!$A$2:$A$17,0)),"")</f>
        <v/>
      </c>
      <c r="AC257" t="str">
        <f>IFERROR(INDEX(הגדרות!$C$2:$C$17,MATCH(I257,הגדרות!$A$2:$A$17,0)),"")</f>
        <v/>
      </c>
      <c r="AD257" t="e">
        <f>IF(AND(מלאי!D257&lt;&gt;"",OR(#REF!="הכל",מלאי!Z257=#REF!,מלאי!AA257=#REF!,מלאי!AB257=#REF!,מלאי!AC257=#REF!),OR(#REF!="הכל",מלאי!A257=#REF!),OR(#REF!="הכל",מלאי!B257=#REF!),OR(#REF!="הכל",מלאי!F257=#REF!,מלאי!G257=#REF!),OR(#REF!="הכל",מלאי!T257=#REF!),OR(#REF!="הכל",מלאי!Q257=#REF!),OR(#REF!="הכל",מלאי!J257=#REF!),OR(#REF!="הכל",מלאי!L257=#REF!),OR(#REF!="הכל",מלאי!O257=#REF!),OR(#REF!="הכל",מלאי!R257=#REF!),OR(#REF!="הכל",#REF!="",מלאי!W257=#REF!),OR(#REF!="הכל",#REF!="",ISNUMBER(SEARCH(#REF!,מלאי!C257)))),1,0)</f>
        <v>#REF!</v>
      </c>
      <c r="AE257" t="e">
        <f>IF(AND(מלאי!D257&lt;&gt;"",OR(#REF!="הכל",מלאי!Z257=#REF!,מלאי!AA257=#REF!,מלאי!AB257=#REF!,מלאי!AC257=#REF!),OR(#REF!="הכל",מלאי!A257=#REF!),OR(#REF!="הכל",מלאי!B257=#REF!),OR(#REF!="הכל",מלאי!F257=#REF!,מלאי!G257=#REF!),OR(#REF!="הכל",מלאי!T257=#REF!),OR(#REF!="הכל",מלאי!Q257=#REF!),OR(#REF!="הכל",מלאי!J257=#REF!),OR(#REF!="הכל",מלאי!L257=#REF!),OR(#REF!="הכל",מלאי!O257=#REF!),OR(#REF!="הכל",מלאי!R257=#REF!),OR(#REF!="הכל",#REF!="",מלאי!W257=#REF!),OR(#REF!="הכל",#REF!="",ISNUMBER(SEARCH(#REF!,מלאי!C257))),OR(#REF!="הכל",מלאי!#REF!=#REF!)),1,0)</f>
        <v>#REF!</v>
      </c>
      <c r="AF257" t="e">
        <f>IF(AD257=1,COUNTIF($AD$3:$AD257,1),"")</f>
        <v>#REF!</v>
      </c>
      <c r="AG257" t="e">
        <f>IF(AE257=1,COUNTIF($AE$3:$AE257,1),"")</f>
        <v>#REF!</v>
      </c>
    </row>
    <row r="258" spans="1:33" ht="15" hidden="1" customHeight="1" x14ac:dyDescent="0.35">
      <c r="A258" s="5"/>
      <c r="B258" s="5"/>
      <c r="C258" s="5"/>
      <c r="D258" s="5"/>
      <c r="E258" s="5" t="str">
        <f>IFERROR(INDEX(הגדרות!$I$2:$I$47,MATCH(B258,הגדרות!$H$2:$H$47,0)),"")</f>
        <v/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t="str">
        <f>IFERROR(INDEX(הגדרות!$B$2:$B$17,MATCH(H258,הגדרות!$A$2:$A$17,0)),"")</f>
        <v/>
      </c>
      <c r="AA258" t="str">
        <f>IFERROR(INDEX(הגדרות!$C$2:$C$17,MATCH(H258,הגדרות!$A$2:$A$17,0)),"")</f>
        <v/>
      </c>
      <c r="AB258" t="str">
        <f>IFERROR(INDEX(הגדרות!$B$2:$B$17,MATCH(I258,הגדרות!$A$2:$A$17,0)),"")</f>
        <v/>
      </c>
      <c r="AC258" t="str">
        <f>IFERROR(INDEX(הגדרות!$C$2:$C$17,MATCH(I258,הגדרות!$A$2:$A$17,0)),"")</f>
        <v/>
      </c>
      <c r="AD258" t="e">
        <f>IF(AND(מלאי!D258&lt;&gt;"",OR(#REF!="הכל",מלאי!Z258=#REF!,מלאי!AA258=#REF!,מלאי!AB258=#REF!,מלאי!AC258=#REF!),OR(#REF!="הכל",מלאי!A258=#REF!),OR(#REF!="הכל",מלאי!B258=#REF!),OR(#REF!="הכל",מלאי!F258=#REF!,מלאי!G258=#REF!),OR(#REF!="הכל",מלאי!T258=#REF!),OR(#REF!="הכל",מלאי!Q258=#REF!),OR(#REF!="הכל",מלאי!J258=#REF!),OR(#REF!="הכל",מלאי!L258=#REF!),OR(#REF!="הכל",מלאי!O258=#REF!),OR(#REF!="הכל",מלאי!R258=#REF!),OR(#REF!="הכל",#REF!="",מלאי!W258=#REF!),OR(#REF!="הכל",#REF!="",ISNUMBER(SEARCH(#REF!,מלאי!C258)))),1,0)</f>
        <v>#REF!</v>
      </c>
      <c r="AE258" t="e">
        <f>IF(AND(מלאי!D258&lt;&gt;"",OR(#REF!="הכל",מלאי!Z258=#REF!,מלאי!AA258=#REF!,מלאי!AB258=#REF!,מלאי!AC258=#REF!),OR(#REF!="הכל",מלאי!A258=#REF!),OR(#REF!="הכל",מלאי!B258=#REF!),OR(#REF!="הכל",מלאי!F258=#REF!,מלאי!G258=#REF!),OR(#REF!="הכל",מלאי!T258=#REF!),OR(#REF!="הכל",מלאי!Q258=#REF!),OR(#REF!="הכל",מלאי!J258=#REF!),OR(#REF!="הכל",מלאי!L258=#REF!),OR(#REF!="הכל",מלאי!O258=#REF!),OR(#REF!="הכל",מלאי!R258=#REF!),OR(#REF!="הכל",#REF!="",מלאי!W258=#REF!),OR(#REF!="הכל",#REF!="",ISNUMBER(SEARCH(#REF!,מלאי!C258))),OR(#REF!="הכל",מלאי!#REF!=#REF!)),1,0)</f>
        <v>#REF!</v>
      </c>
      <c r="AF258" t="e">
        <f>IF(AD258=1,COUNTIF($AD$3:$AD258,1),"")</f>
        <v>#REF!</v>
      </c>
      <c r="AG258" t="e">
        <f>IF(AE258=1,COUNTIF($AE$3:$AE258,1),"")</f>
        <v>#REF!</v>
      </c>
    </row>
    <row r="259" spans="1:33" ht="15" hidden="1" customHeight="1" x14ac:dyDescent="0.35">
      <c r="A259" s="4"/>
      <c r="B259" s="4"/>
      <c r="C259" s="4"/>
      <c r="D259" s="4"/>
      <c r="E259" s="4" t="str">
        <f>IFERROR(INDEX(הגדרות!$I$2:$I$47,MATCH(B259,הגדרות!$H$2:$H$47,0)),"")</f>
        <v/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t="str">
        <f>IFERROR(INDEX(הגדרות!$B$2:$B$17,MATCH(H259,הגדרות!$A$2:$A$17,0)),"")</f>
        <v/>
      </c>
      <c r="AA259" t="str">
        <f>IFERROR(INDEX(הגדרות!$C$2:$C$17,MATCH(H259,הגדרות!$A$2:$A$17,0)),"")</f>
        <v/>
      </c>
      <c r="AB259" t="str">
        <f>IFERROR(INDEX(הגדרות!$B$2:$B$17,MATCH(I259,הגדרות!$A$2:$A$17,0)),"")</f>
        <v/>
      </c>
      <c r="AC259" t="str">
        <f>IFERROR(INDEX(הגדרות!$C$2:$C$17,MATCH(I259,הגדרות!$A$2:$A$17,0)),"")</f>
        <v/>
      </c>
      <c r="AD259" t="e">
        <f>IF(AND(מלאי!D259&lt;&gt;"",OR(#REF!="הכל",מלאי!Z259=#REF!,מלאי!AA259=#REF!,מלאי!AB259=#REF!,מלאי!AC259=#REF!),OR(#REF!="הכל",מלאי!A259=#REF!),OR(#REF!="הכל",מלאי!B259=#REF!),OR(#REF!="הכל",מלאי!F259=#REF!,מלאי!G259=#REF!),OR(#REF!="הכל",מלאי!T259=#REF!),OR(#REF!="הכל",מלאי!Q259=#REF!),OR(#REF!="הכל",מלאי!J259=#REF!),OR(#REF!="הכל",מלאי!L259=#REF!),OR(#REF!="הכל",מלאי!O259=#REF!),OR(#REF!="הכל",מלאי!R259=#REF!),OR(#REF!="הכל",#REF!="",מלאי!W259=#REF!),OR(#REF!="הכל",#REF!="",ISNUMBER(SEARCH(#REF!,מלאי!C259)))),1,0)</f>
        <v>#REF!</v>
      </c>
      <c r="AE259" t="e">
        <f>IF(AND(מלאי!D259&lt;&gt;"",OR(#REF!="הכל",מלאי!Z259=#REF!,מלאי!AA259=#REF!,מלאי!AB259=#REF!,מלאי!AC259=#REF!),OR(#REF!="הכל",מלאי!A259=#REF!),OR(#REF!="הכל",מלאי!B259=#REF!),OR(#REF!="הכל",מלאי!F259=#REF!,מלאי!G259=#REF!),OR(#REF!="הכל",מלאי!T259=#REF!),OR(#REF!="הכל",מלאי!Q259=#REF!),OR(#REF!="הכל",מלאי!J259=#REF!),OR(#REF!="הכל",מלאי!L259=#REF!),OR(#REF!="הכל",מלאי!O259=#REF!),OR(#REF!="הכל",מלאי!R259=#REF!),OR(#REF!="הכל",#REF!="",מלאי!W259=#REF!),OR(#REF!="הכל",#REF!="",ISNUMBER(SEARCH(#REF!,מלאי!C259))),OR(#REF!="הכל",מלאי!#REF!=#REF!)),1,0)</f>
        <v>#REF!</v>
      </c>
      <c r="AF259" t="e">
        <f>IF(AD259=1,COUNTIF($AD$3:$AD259,1),"")</f>
        <v>#REF!</v>
      </c>
      <c r="AG259" t="e">
        <f>IF(AE259=1,COUNTIF($AE$3:$AE259,1),"")</f>
        <v>#REF!</v>
      </c>
    </row>
    <row r="260" spans="1:33" ht="15" hidden="1" customHeight="1" x14ac:dyDescent="0.35">
      <c r="A260" s="5"/>
      <c r="B260" s="5"/>
      <c r="C260" s="5"/>
      <c r="D260" s="5"/>
      <c r="E260" s="5" t="str">
        <f>IFERROR(INDEX(הגדרות!$I$2:$I$47,MATCH(B260,הגדרות!$H$2:$H$47,0)),"")</f>
        <v/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t="str">
        <f>IFERROR(INDEX(הגדרות!$B$2:$B$17,MATCH(H260,הגדרות!$A$2:$A$17,0)),"")</f>
        <v/>
      </c>
      <c r="AA260" t="str">
        <f>IFERROR(INDEX(הגדרות!$C$2:$C$17,MATCH(H260,הגדרות!$A$2:$A$17,0)),"")</f>
        <v/>
      </c>
      <c r="AB260" t="str">
        <f>IFERROR(INDEX(הגדרות!$B$2:$B$17,MATCH(I260,הגדרות!$A$2:$A$17,0)),"")</f>
        <v/>
      </c>
      <c r="AC260" t="str">
        <f>IFERROR(INDEX(הגדרות!$C$2:$C$17,MATCH(I260,הגדרות!$A$2:$A$17,0)),"")</f>
        <v/>
      </c>
      <c r="AD260" t="e">
        <f>IF(AND(מלאי!D260&lt;&gt;"",OR(#REF!="הכל",מלאי!Z260=#REF!,מלאי!AA260=#REF!,מלאי!AB260=#REF!,מלאי!AC260=#REF!),OR(#REF!="הכל",מלאי!A260=#REF!),OR(#REF!="הכל",מלאי!B260=#REF!),OR(#REF!="הכל",מלאי!F260=#REF!,מלאי!G260=#REF!),OR(#REF!="הכל",מלאי!T260=#REF!),OR(#REF!="הכל",מלאי!Q260=#REF!),OR(#REF!="הכל",מלאי!J260=#REF!),OR(#REF!="הכל",מלאי!L260=#REF!),OR(#REF!="הכל",מלאי!O260=#REF!),OR(#REF!="הכל",מלאי!R260=#REF!),OR(#REF!="הכל",#REF!="",מלאי!W260=#REF!),OR(#REF!="הכל",#REF!="",ISNUMBER(SEARCH(#REF!,מלאי!C260)))),1,0)</f>
        <v>#REF!</v>
      </c>
      <c r="AE260" t="e">
        <f>IF(AND(מלאי!D260&lt;&gt;"",OR(#REF!="הכל",מלאי!Z260=#REF!,מלאי!AA260=#REF!,מלאי!AB260=#REF!,מלאי!AC260=#REF!),OR(#REF!="הכל",מלאי!A260=#REF!),OR(#REF!="הכל",מלאי!B260=#REF!),OR(#REF!="הכל",מלאי!F260=#REF!,מלאי!G260=#REF!),OR(#REF!="הכל",מלאי!T260=#REF!),OR(#REF!="הכל",מלאי!Q260=#REF!),OR(#REF!="הכל",מלאי!J260=#REF!),OR(#REF!="הכל",מלאי!L260=#REF!),OR(#REF!="הכל",מלאי!O260=#REF!),OR(#REF!="הכל",מלאי!R260=#REF!),OR(#REF!="הכל",#REF!="",מלאי!W260=#REF!),OR(#REF!="הכל",#REF!="",ISNUMBER(SEARCH(#REF!,מלאי!C260))),OR(#REF!="הכל",מלאי!#REF!=#REF!)),1,0)</f>
        <v>#REF!</v>
      </c>
      <c r="AF260" t="e">
        <f>IF(AD260=1,COUNTIF($AD$3:$AD260,1),"")</f>
        <v>#REF!</v>
      </c>
      <c r="AG260" t="e">
        <f>IF(AE260=1,COUNTIF($AE$3:$AE260,1),"")</f>
        <v>#REF!</v>
      </c>
    </row>
    <row r="261" spans="1:33" ht="15" hidden="1" customHeight="1" x14ac:dyDescent="0.35">
      <c r="A261" s="4"/>
      <c r="B261" s="4"/>
      <c r="C261" s="4"/>
      <c r="D261" s="4"/>
      <c r="E261" s="4" t="str">
        <f>IFERROR(INDEX(הגדרות!$I$2:$I$47,MATCH(B261,הגדרות!$H$2:$H$47,0)),"")</f>
        <v/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t="str">
        <f>IFERROR(INDEX(הגדרות!$B$2:$B$17,MATCH(H261,הגדרות!$A$2:$A$17,0)),"")</f>
        <v/>
      </c>
      <c r="AA261" t="str">
        <f>IFERROR(INDEX(הגדרות!$C$2:$C$17,MATCH(H261,הגדרות!$A$2:$A$17,0)),"")</f>
        <v/>
      </c>
      <c r="AB261" t="str">
        <f>IFERROR(INDEX(הגדרות!$B$2:$B$17,MATCH(I261,הגדרות!$A$2:$A$17,0)),"")</f>
        <v/>
      </c>
      <c r="AC261" t="str">
        <f>IFERROR(INDEX(הגדרות!$C$2:$C$17,MATCH(I261,הגדרות!$A$2:$A$17,0)),"")</f>
        <v/>
      </c>
      <c r="AD261" t="e">
        <f>IF(AND(מלאי!D261&lt;&gt;"",OR(#REF!="הכל",מלאי!Z261=#REF!,מלאי!AA261=#REF!,מלאי!AB261=#REF!,מלאי!AC261=#REF!),OR(#REF!="הכל",מלאי!A261=#REF!),OR(#REF!="הכל",מלאי!B261=#REF!),OR(#REF!="הכל",מלאי!F261=#REF!,מלאי!G261=#REF!),OR(#REF!="הכל",מלאי!T261=#REF!),OR(#REF!="הכל",מלאי!Q261=#REF!),OR(#REF!="הכל",מלאי!J261=#REF!),OR(#REF!="הכל",מלאי!L261=#REF!),OR(#REF!="הכל",מלאי!O261=#REF!),OR(#REF!="הכל",מלאי!R261=#REF!),OR(#REF!="הכל",#REF!="",מלאי!W261=#REF!),OR(#REF!="הכל",#REF!="",ISNUMBER(SEARCH(#REF!,מלאי!C261)))),1,0)</f>
        <v>#REF!</v>
      </c>
      <c r="AE261" t="e">
        <f>IF(AND(מלאי!D261&lt;&gt;"",OR(#REF!="הכל",מלאי!Z261=#REF!,מלאי!AA261=#REF!,מלאי!AB261=#REF!,מלאי!AC261=#REF!),OR(#REF!="הכל",מלאי!A261=#REF!),OR(#REF!="הכל",מלאי!B261=#REF!),OR(#REF!="הכל",מלאי!F261=#REF!,מלאי!G261=#REF!),OR(#REF!="הכל",מלאי!T261=#REF!),OR(#REF!="הכל",מלאי!Q261=#REF!),OR(#REF!="הכל",מלאי!J261=#REF!),OR(#REF!="הכל",מלאי!L261=#REF!),OR(#REF!="הכל",מלאי!O261=#REF!),OR(#REF!="הכל",מלאי!R261=#REF!),OR(#REF!="הכל",#REF!="",מלאי!W261=#REF!),OR(#REF!="הכל",#REF!="",ISNUMBER(SEARCH(#REF!,מלאי!C261))),OR(#REF!="הכל",מלאי!#REF!=#REF!)),1,0)</f>
        <v>#REF!</v>
      </c>
      <c r="AF261" t="e">
        <f>IF(AD261=1,COUNTIF($AD$3:$AD261,1),"")</f>
        <v>#REF!</v>
      </c>
      <c r="AG261" t="e">
        <f>IF(AE261=1,COUNTIF($AE$3:$AE261,1),"")</f>
        <v>#REF!</v>
      </c>
    </row>
    <row r="262" spans="1:33" ht="15" hidden="1" customHeight="1" x14ac:dyDescent="0.35">
      <c r="A262" s="5"/>
      <c r="B262" s="5"/>
      <c r="C262" s="5"/>
      <c r="D262" s="5"/>
      <c r="E262" s="5" t="str">
        <f>IFERROR(INDEX(הגדרות!$I$2:$I$47,MATCH(B262,הגדרות!$H$2:$H$47,0)),"")</f>
        <v/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t="str">
        <f>IFERROR(INDEX(הגדרות!$B$2:$B$17,MATCH(H262,הגדרות!$A$2:$A$17,0)),"")</f>
        <v/>
      </c>
      <c r="AA262" t="str">
        <f>IFERROR(INDEX(הגדרות!$C$2:$C$17,MATCH(H262,הגדרות!$A$2:$A$17,0)),"")</f>
        <v/>
      </c>
      <c r="AB262" t="str">
        <f>IFERROR(INDEX(הגדרות!$B$2:$B$17,MATCH(I262,הגדרות!$A$2:$A$17,0)),"")</f>
        <v/>
      </c>
      <c r="AC262" t="str">
        <f>IFERROR(INDEX(הגדרות!$C$2:$C$17,MATCH(I262,הגדרות!$A$2:$A$17,0)),"")</f>
        <v/>
      </c>
      <c r="AD262" t="e">
        <f>IF(AND(מלאי!D262&lt;&gt;"",OR(#REF!="הכל",מלאי!Z262=#REF!,מלאי!AA262=#REF!,מלאי!AB262=#REF!,מלאי!AC262=#REF!),OR(#REF!="הכל",מלאי!A262=#REF!),OR(#REF!="הכל",מלאי!B262=#REF!),OR(#REF!="הכל",מלאי!F262=#REF!,מלאי!G262=#REF!),OR(#REF!="הכל",מלאי!T262=#REF!),OR(#REF!="הכל",מלאי!Q262=#REF!),OR(#REF!="הכל",מלאי!J262=#REF!),OR(#REF!="הכל",מלאי!L262=#REF!),OR(#REF!="הכל",מלאי!O262=#REF!),OR(#REF!="הכל",מלאי!R262=#REF!),OR(#REF!="הכל",#REF!="",מלאי!W262=#REF!),OR(#REF!="הכל",#REF!="",ISNUMBER(SEARCH(#REF!,מלאי!C262)))),1,0)</f>
        <v>#REF!</v>
      </c>
      <c r="AE262" t="e">
        <f>IF(AND(מלאי!D262&lt;&gt;"",OR(#REF!="הכל",מלאי!Z262=#REF!,מלאי!AA262=#REF!,מלאי!AB262=#REF!,מלאי!AC262=#REF!),OR(#REF!="הכל",מלאי!A262=#REF!),OR(#REF!="הכל",מלאי!B262=#REF!),OR(#REF!="הכל",מלאי!F262=#REF!,מלאי!G262=#REF!),OR(#REF!="הכל",מלאי!T262=#REF!),OR(#REF!="הכל",מלאי!Q262=#REF!),OR(#REF!="הכל",מלאי!J262=#REF!),OR(#REF!="הכל",מלאי!L262=#REF!),OR(#REF!="הכל",מלאי!O262=#REF!),OR(#REF!="הכל",מלאי!R262=#REF!),OR(#REF!="הכל",#REF!="",מלאי!W262=#REF!),OR(#REF!="הכל",#REF!="",ISNUMBER(SEARCH(#REF!,מלאי!C262))),OR(#REF!="הכל",מלאי!#REF!=#REF!)),1,0)</f>
        <v>#REF!</v>
      </c>
      <c r="AF262" t="e">
        <f>IF(AD262=1,COUNTIF($AD$3:$AD262,1),"")</f>
        <v>#REF!</v>
      </c>
      <c r="AG262" t="e">
        <f>IF(AE262=1,COUNTIF($AE$3:$AE262,1),"")</f>
        <v>#REF!</v>
      </c>
    </row>
    <row r="263" spans="1:33" ht="15" hidden="1" customHeight="1" x14ac:dyDescent="0.35">
      <c r="A263" s="4"/>
      <c r="B263" s="4"/>
      <c r="C263" s="4"/>
      <c r="D263" s="4"/>
      <c r="E263" s="4" t="str">
        <f>IFERROR(INDEX(הגדרות!$I$2:$I$47,MATCH(B263,הגדרות!$H$2:$H$47,0)),"")</f>
        <v/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t="str">
        <f>IFERROR(INDEX(הגדרות!$B$2:$B$17,MATCH(H263,הגדרות!$A$2:$A$17,0)),"")</f>
        <v/>
      </c>
      <c r="AA263" t="str">
        <f>IFERROR(INDEX(הגדרות!$C$2:$C$17,MATCH(H263,הגדרות!$A$2:$A$17,0)),"")</f>
        <v/>
      </c>
      <c r="AB263" t="str">
        <f>IFERROR(INDEX(הגדרות!$B$2:$B$17,MATCH(I263,הגדרות!$A$2:$A$17,0)),"")</f>
        <v/>
      </c>
      <c r="AC263" t="str">
        <f>IFERROR(INDEX(הגדרות!$C$2:$C$17,MATCH(I263,הגדרות!$A$2:$A$17,0)),"")</f>
        <v/>
      </c>
      <c r="AD263" t="e">
        <f>IF(AND(מלאי!D263&lt;&gt;"",OR(#REF!="הכל",מלאי!Z263=#REF!,מלאי!AA263=#REF!,מלאי!AB263=#REF!,מלאי!AC263=#REF!),OR(#REF!="הכל",מלאי!A263=#REF!),OR(#REF!="הכל",מלאי!B263=#REF!),OR(#REF!="הכל",מלאי!F263=#REF!,מלאי!G263=#REF!),OR(#REF!="הכל",מלאי!T263=#REF!),OR(#REF!="הכל",מלאי!Q263=#REF!),OR(#REF!="הכל",מלאי!J263=#REF!),OR(#REF!="הכל",מלאי!L263=#REF!),OR(#REF!="הכל",מלאי!O263=#REF!),OR(#REF!="הכל",מלאי!R263=#REF!),OR(#REF!="הכל",#REF!="",מלאי!W263=#REF!),OR(#REF!="הכל",#REF!="",ISNUMBER(SEARCH(#REF!,מלאי!C263)))),1,0)</f>
        <v>#REF!</v>
      </c>
      <c r="AE263" t="e">
        <f>IF(AND(מלאי!D263&lt;&gt;"",OR(#REF!="הכל",מלאי!Z263=#REF!,מלאי!AA263=#REF!,מלאי!AB263=#REF!,מלאי!AC263=#REF!),OR(#REF!="הכל",מלאי!A263=#REF!),OR(#REF!="הכל",מלאי!B263=#REF!),OR(#REF!="הכל",מלאי!F263=#REF!,מלאי!G263=#REF!),OR(#REF!="הכל",מלאי!T263=#REF!),OR(#REF!="הכל",מלאי!Q263=#REF!),OR(#REF!="הכל",מלאי!J263=#REF!),OR(#REF!="הכל",מלאי!L263=#REF!),OR(#REF!="הכל",מלאי!O263=#REF!),OR(#REF!="הכל",מלאי!R263=#REF!),OR(#REF!="הכל",#REF!="",מלאי!W263=#REF!),OR(#REF!="הכל",#REF!="",ISNUMBER(SEARCH(#REF!,מלאי!C263))),OR(#REF!="הכל",מלאי!#REF!=#REF!)),1,0)</f>
        <v>#REF!</v>
      </c>
      <c r="AF263" t="e">
        <f>IF(AD263=1,COUNTIF($AD$3:$AD263,1),"")</f>
        <v>#REF!</v>
      </c>
      <c r="AG263" t="e">
        <f>IF(AE263=1,COUNTIF($AE$3:$AE263,1),"")</f>
        <v>#REF!</v>
      </c>
    </row>
    <row r="264" spans="1:33" ht="15" hidden="1" customHeight="1" x14ac:dyDescent="0.35">
      <c r="A264" s="5"/>
      <c r="B264" s="5"/>
      <c r="C264" s="5"/>
      <c r="D264" s="5"/>
      <c r="E264" s="5" t="str">
        <f>IFERROR(INDEX(הגדרות!$I$2:$I$47,MATCH(B264,הגדרות!$H$2:$H$47,0)),"")</f>
        <v/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t="str">
        <f>IFERROR(INDEX(הגדרות!$B$2:$B$17,MATCH(H264,הגדרות!$A$2:$A$17,0)),"")</f>
        <v/>
      </c>
      <c r="AA264" t="str">
        <f>IFERROR(INDEX(הגדרות!$C$2:$C$17,MATCH(H264,הגדרות!$A$2:$A$17,0)),"")</f>
        <v/>
      </c>
      <c r="AB264" t="str">
        <f>IFERROR(INDEX(הגדרות!$B$2:$B$17,MATCH(I264,הגדרות!$A$2:$A$17,0)),"")</f>
        <v/>
      </c>
      <c r="AC264" t="str">
        <f>IFERROR(INDEX(הגדרות!$C$2:$C$17,MATCH(I264,הגדרות!$A$2:$A$17,0)),"")</f>
        <v/>
      </c>
      <c r="AD264" t="e">
        <f>IF(AND(מלאי!D264&lt;&gt;"",OR(#REF!="הכל",מלאי!Z264=#REF!,מלאי!AA264=#REF!,מלאי!AB264=#REF!,מלאי!AC264=#REF!),OR(#REF!="הכל",מלאי!A264=#REF!),OR(#REF!="הכל",מלאי!B264=#REF!),OR(#REF!="הכל",מלאי!F264=#REF!,מלאי!G264=#REF!),OR(#REF!="הכל",מלאי!T264=#REF!),OR(#REF!="הכל",מלאי!Q264=#REF!),OR(#REF!="הכל",מלאי!J264=#REF!),OR(#REF!="הכל",מלאי!L264=#REF!),OR(#REF!="הכל",מלאי!O264=#REF!),OR(#REF!="הכל",מלאי!R264=#REF!),OR(#REF!="הכל",#REF!="",מלאי!W264=#REF!),OR(#REF!="הכל",#REF!="",ISNUMBER(SEARCH(#REF!,מלאי!C264)))),1,0)</f>
        <v>#REF!</v>
      </c>
      <c r="AE264" t="e">
        <f>IF(AND(מלאי!D264&lt;&gt;"",OR(#REF!="הכל",מלאי!Z264=#REF!,מלאי!AA264=#REF!,מלאי!AB264=#REF!,מלאי!AC264=#REF!),OR(#REF!="הכל",מלאי!A264=#REF!),OR(#REF!="הכל",מלאי!B264=#REF!),OR(#REF!="הכל",מלאי!F264=#REF!,מלאי!G264=#REF!),OR(#REF!="הכל",מלאי!T264=#REF!),OR(#REF!="הכל",מלאי!Q264=#REF!),OR(#REF!="הכל",מלאי!J264=#REF!),OR(#REF!="הכל",מלאי!L264=#REF!),OR(#REF!="הכל",מלאי!O264=#REF!),OR(#REF!="הכל",מלאי!R264=#REF!),OR(#REF!="הכל",#REF!="",מלאי!W264=#REF!),OR(#REF!="הכל",#REF!="",ISNUMBER(SEARCH(#REF!,מלאי!C264))),OR(#REF!="הכל",מלאי!#REF!=#REF!)),1,0)</f>
        <v>#REF!</v>
      </c>
      <c r="AF264" t="e">
        <f>IF(AD264=1,COUNTIF($AD$3:$AD264,1),"")</f>
        <v>#REF!</v>
      </c>
      <c r="AG264" t="e">
        <f>IF(AE264=1,COUNTIF($AE$3:$AE264,1),"")</f>
        <v>#REF!</v>
      </c>
    </row>
    <row r="265" spans="1:33" ht="15" hidden="1" customHeight="1" x14ac:dyDescent="0.35">
      <c r="A265" s="4"/>
      <c r="B265" s="4"/>
      <c r="C265" s="4"/>
      <c r="D265" s="4"/>
      <c r="E265" s="4" t="str">
        <f>IFERROR(INDEX(הגדרות!$I$2:$I$47,MATCH(B265,הגדרות!$H$2:$H$47,0)),"")</f>
        <v/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t="str">
        <f>IFERROR(INDEX(הגדרות!$B$2:$B$17,MATCH(H265,הגדרות!$A$2:$A$17,0)),"")</f>
        <v/>
      </c>
      <c r="AA265" t="str">
        <f>IFERROR(INDEX(הגדרות!$C$2:$C$17,MATCH(H265,הגדרות!$A$2:$A$17,0)),"")</f>
        <v/>
      </c>
      <c r="AB265" t="str">
        <f>IFERROR(INDEX(הגדרות!$B$2:$B$17,MATCH(I265,הגדרות!$A$2:$A$17,0)),"")</f>
        <v/>
      </c>
      <c r="AC265" t="str">
        <f>IFERROR(INDEX(הגדרות!$C$2:$C$17,MATCH(I265,הגדרות!$A$2:$A$17,0)),"")</f>
        <v/>
      </c>
      <c r="AD265" t="e">
        <f>IF(AND(מלאי!D265&lt;&gt;"",OR(#REF!="הכל",מלאי!Z265=#REF!,מלאי!AA265=#REF!,מלאי!AB265=#REF!,מלאי!AC265=#REF!),OR(#REF!="הכל",מלאי!A265=#REF!),OR(#REF!="הכל",מלאי!B265=#REF!),OR(#REF!="הכל",מלאי!F265=#REF!,מלאי!G265=#REF!),OR(#REF!="הכל",מלאי!T265=#REF!),OR(#REF!="הכל",מלאי!Q265=#REF!),OR(#REF!="הכל",מלאי!J265=#REF!),OR(#REF!="הכל",מלאי!L265=#REF!),OR(#REF!="הכל",מלאי!O265=#REF!),OR(#REF!="הכל",מלאי!R265=#REF!),OR(#REF!="הכל",#REF!="",מלאי!W265=#REF!),OR(#REF!="הכל",#REF!="",ISNUMBER(SEARCH(#REF!,מלאי!C265)))),1,0)</f>
        <v>#REF!</v>
      </c>
      <c r="AE265" t="e">
        <f>IF(AND(מלאי!D265&lt;&gt;"",OR(#REF!="הכל",מלאי!Z265=#REF!,מלאי!AA265=#REF!,מלאי!AB265=#REF!,מלאי!AC265=#REF!),OR(#REF!="הכל",מלאי!A265=#REF!),OR(#REF!="הכל",מלאי!B265=#REF!),OR(#REF!="הכל",מלאי!F265=#REF!,מלאי!G265=#REF!),OR(#REF!="הכל",מלאי!T265=#REF!),OR(#REF!="הכל",מלאי!Q265=#REF!),OR(#REF!="הכל",מלאי!J265=#REF!),OR(#REF!="הכל",מלאי!L265=#REF!),OR(#REF!="הכל",מלאי!O265=#REF!),OR(#REF!="הכל",מלאי!R265=#REF!),OR(#REF!="הכל",#REF!="",מלאי!W265=#REF!),OR(#REF!="הכל",#REF!="",ISNUMBER(SEARCH(#REF!,מלאי!C265))),OR(#REF!="הכל",מלאי!#REF!=#REF!)),1,0)</f>
        <v>#REF!</v>
      </c>
      <c r="AF265" t="e">
        <f>IF(AD265=1,COUNTIF($AD$3:$AD265,1),"")</f>
        <v>#REF!</v>
      </c>
      <c r="AG265" t="e">
        <f>IF(AE265=1,COUNTIF($AE$3:$AE265,1),"")</f>
        <v>#REF!</v>
      </c>
    </row>
    <row r="266" spans="1:33" ht="15" hidden="1" customHeight="1" x14ac:dyDescent="0.35">
      <c r="A266" s="5"/>
      <c r="B266" s="5"/>
      <c r="C266" s="5"/>
      <c r="D266" s="5"/>
      <c r="E266" s="5" t="str">
        <f>IFERROR(INDEX(הגדרות!$I$2:$I$47,MATCH(B266,הגדרות!$H$2:$H$47,0)),"")</f>
        <v/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t="str">
        <f>IFERROR(INDEX(הגדרות!$B$2:$B$17,MATCH(H266,הגדרות!$A$2:$A$17,0)),"")</f>
        <v/>
      </c>
      <c r="AA266" t="str">
        <f>IFERROR(INDEX(הגדרות!$C$2:$C$17,MATCH(H266,הגדרות!$A$2:$A$17,0)),"")</f>
        <v/>
      </c>
      <c r="AB266" t="str">
        <f>IFERROR(INDEX(הגדרות!$B$2:$B$17,MATCH(I266,הגדרות!$A$2:$A$17,0)),"")</f>
        <v/>
      </c>
      <c r="AC266" t="str">
        <f>IFERROR(INDEX(הגדרות!$C$2:$C$17,MATCH(I266,הגדרות!$A$2:$A$17,0)),"")</f>
        <v/>
      </c>
      <c r="AD266" t="e">
        <f>IF(AND(מלאי!D266&lt;&gt;"",OR(#REF!="הכל",מלאי!Z266=#REF!,מלאי!AA266=#REF!,מלאי!AB266=#REF!,מלאי!AC266=#REF!),OR(#REF!="הכל",מלאי!A266=#REF!),OR(#REF!="הכל",מלאי!B266=#REF!),OR(#REF!="הכל",מלאי!F266=#REF!,מלאי!G266=#REF!),OR(#REF!="הכל",מלאי!T266=#REF!),OR(#REF!="הכל",מלאי!Q266=#REF!),OR(#REF!="הכל",מלאי!J266=#REF!),OR(#REF!="הכל",מלאי!L266=#REF!),OR(#REF!="הכל",מלאי!O266=#REF!),OR(#REF!="הכל",מלאי!R266=#REF!),OR(#REF!="הכל",#REF!="",מלאי!W266=#REF!),OR(#REF!="הכל",#REF!="",ISNUMBER(SEARCH(#REF!,מלאי!C266)))),1,0)</f>
        <v>#REF!</v>
      </c>
      <c r="AE266" t="e">
        <f>IF(AND(מלאי!D266&lt;&gt;"",OR(#REF!="הכל",מלאי!Z266=#REF!,מלאי!AA266=#REF!,מלאי!AB266=#REF!,מלאי!AC266=#REF!),OR(#REF!="הכל",מלאי!A266=#REF!),OR(#REF!="הכל",מלאי!B266=#REF!),OR(#REF!="הכל",מלאי!F266=#REF!,מלאי!G266=#REF!),OR(#REF!="הכל",מלאי!T266=#REF!),OR(#REF!="הכל",מלאי!Q266=#REF!),OR(#REF!="הכל",מלאי!J266=#REF!),OR(#REF!="הכל",מלאי!L266=#REF!),OR(#REF!="הכל",מלאי!O266=#REF!),OR(#REF!="הכל",מלאי!R266=#REF!),OR(#REF!="הכל",#REF!="",מלאי!W266=#REF!),OR(#REF!="הכל",#REF!="",ISNUMBER(SEARCH(#REF!,מלאי!C266))),OR(#REF!="הכל",מלאי!#REF!=#REF!)),1,0)</f>
        <v>#REF!</v>
      </c>
      <c r="AF266" t="e">
        <f>IF(AD266=1,COUNTIF($AD$3:$AD266,1),"")</f>
        <v>#REF!</v>
      </c>
      <c r="AG266" t="e">
        <f>IF(AE266=1,COUNTIF($AE$3:$AE266,1),"")</f>
        <v>#REF!</v>
      </c>
    </row>
    <row r="267" spans="1:33" ht="15" hidden="1" customHeight="1" x14ac:dyDescent="0.35">
      <c r="A267" s="4"/>
      <c r="B267" s="4"/>
      <c r="C267" s="4"/>
      <c r="D267" s="4"/>
      <c r="E267" s="4" t="str">
        <f>IFERROR(INDEX(הגדרות!$I$2:$I$47,MATCH(B267,הגדרות!$H$2:$H$47,0)),"")</f>
        <v/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t="str">
        <f>IFERROR(INDEX(הגדרות!$B$2:$B$17,MATCH(H267,הגדרות!$A$2:$A$17,0)),"")</f>
        <v/>
      </c>
      <c r="AA267" t="str">
        <f>IFERROR(INDEX(הגדרות!$C$2:$C$17,MATCH(H267,הגדרות!$A$2:$A$17,0)),"")</f>
        <v/>
      </c>
      <c r="AB267" t="str">
        <f>IFERROR(INDEX(הגדרות!$B$2:$B$17,MATCH(I267,הגדרות!$A$2:$A$17,0)),"")</f>
        <v/>
      </c>
      <c r="AC267" t="str">
        <f>IFERROR(INDEX(הגדרות!$C$2:$C$17,MATCH(I267,הגדרות!$A$2:$A$17,0)),"")</f>
        <v/>
      </c>
      <c r="AD267" t="e">
        <f>IF(AND(מלאי!D267&lt;&gt;"",OR(#REF!="הכל",מלאי!Z267=#REF!,מלאי!AA267=#REF!,מלאי!AB267=#REF!,מלאי!AC267=#REF!),OR(#REF!="הכל",מלאי!A267=#REF!),OR(#REF!="הכל",מלאי!B267=#REF!),OR(#REF!="הכל",מלאי!F267=#REF!,מלאי!G267=#REF!),OR(#REF!="הכל",מלאי!T267=#REF!),OR(#REF!="הכל",מלאי!Q267=#REF!),OR(#REF!="הכל",מלאי!J267=#REF!),OR(#REF!="הכל",מלאי!L267=#REF!),OR(#REF!="הכל",מלאי!O267=#REF!),OR(#REF!="הכל",מלאי!R267=#REF!),OR(#REF!="הכל",#REF!="",מלאי!W267=#REF!),OR(#REF!="הכל",#REF!="",ISNUMBER(SEARCH(#REF!,מלאי!C267)))),1,0)</f>
        <v>#REF!</v>
      </c>
      <c r="AE267" t="e">
        <f>IF(AND(מלאי!D267&lt;&gt;"",OR(#REF!="הכל",מלאי!Z267=#REF!,מלאי!AA267=#REF!,מלאי!AB267=#REF!,מלאי!AC267=#REF!),OR(#REF!="הכל",מלאי!A267=#REF!),OR(#REF!="הכל",מלאי!B267=#REF!),OR(#REF!="הכל",מלאי!F267=#REF!,מלאי!G267=#REF!),OR(#REF!="הכל",מלאי!T267=#REF!),OR(#REF!="הכל",מלאי!Q267=#REF!),OR(#REF!="הכל",מלאי!J267=#REF!),OR(#REF!="הכל",מלאי!L267=#REF!),OR(#REF!="הכל",מלאי!O267=#REF!),OR(#REF!="הכל",מלאי!R267=#REF!),OR(#REF!="הכל",#REF!="",מלאי!W267=#REF!),OR(#REF!="הכל",#REF!="",ISNUMBER(SEARCH(#REF!,מלאי!C267))),OR(#REF!="הכל",מלאי!#REF!=#REF!)),1,0)</f>
        <v>#REF!</v>
      </c>
      <c r="AF267" t="e">
        <f>IF(AD267=1,COUNTIF($AD$3:$AD267,1),"")</f>
        <v>#REF!</v>
      </c>
      <c r="AG267" t="e">
        <f>IF(AE267=1,COUNTIF($AE$3:$AE267,1),"")</f>
        <v>#REF!</v>
      </c>
    </row>
    <row r="268" spans="1:33" ht="15" hidden="1" customHeight="1" x14ac:dyDescent="0.35">
      <c r="A268" s="5"/>
      <c r="B268" s="5"/>
      <c r="C268" s="5"/>
      <c r="D268" s="5"/>
      <c r="E268" s="5" t="str">
        <f>IFERROR(INDEX(הגדרות!$I$2:$I$47,MATCH(B268,הגדרות!$H$2:$H$47,0)),"")</f>
        <v/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t="str">
        <f>IFERROR(INDEX(הגדרות!$B$2:$B$17,MATCH(H268,הגדרות!$A$2:$A$17,0)),"")</f>
        <v/>
      </c>
      <c r="AA268" t="str">
        <f>IFERROR(INDEX(הגדרות!$C$2:$C$17,MATCH(H268,הגדרות!$A$2:$A$17,0)),"")</f>
        <v/>
      </c>
      <c r="AB268" t="str">
        <f>IFERROR(INDEX(הגדרות!$B$2:$B$17,MATCH(I268,הגדרות!$A$2:$A$17,0)),"")</f>
        <v/>
      </c>
      <c r="AC268" t="str">
        <f>IFERROR(INDEX(הגדרות!$C$2:$C$17,MATCH(I268,הגדרות!$A$2:$A$17,0)),"")</f>
        <v/>
      </c>
      <c r="AD268" t="e">
        <f>IF(AND(מלאי!D268&lt;&gt;"",OR(#REF!="הכל",מלאי!Z268=#REF!,מלאי!AA268=#REF!,מלאי!AB268=#REF!,מלאי!AC268=#REF!),OR(#REF!="הכל",מלאי!A268=#REF!),OR(#REF!="הכל",מלאי!B268=#REF!),OR(#REF!="הכל",מלאי!F268=#REF!,מלאי!G268=#REF!),OR(#REF!="הכל",מלאי!T268=#REF!),OR(#REF!="הכל",מלאי!Q268=#REF!),OR(#REF!="הכל",מלאי!J268=#REF!),OR(#REF!="הכל",מלאי!L268=#REF!),OR(#REF!="הכל",מלאי!O268=#REF!),OR(#REF!="הכל",מלאי!R268=#REF!),OR(#REF!="הכל",#REF!="",מלאי!W268=#REF!),OR(#REF!="הכל",#REF!="",ISNUMBER(SEARCH(#REF!,מלאי!C268)))),1,0)</f>
        <v>#REF!</v>
      </c>
      <c r="AE268" t="e">
        <f>IF(AND(מלאי!D268&lt;&gt;"",OR(#REF!="הכל",מלאי!Z268=#REF!,מלאי!AA268=#REF!,מלאי!AB268=#REF!,מלאי!AC268=#REF!),OR(#REF!="הכל",מלאי!A268=#REF!),OR(#REF!="הכל",מלאי!B268=#REF!),OR(#REF!="הכל",מלאי!F268=#REF!,מלאי!G268=#REF!),OR(#REF!="הכל",מלאי!T268=#REF!),OR(#REF!="הכל",מלאי!Q268=#REF!),OR(#REF!="הכל",מלאי!J268=#REF!),OR(#REF!="הכל",מלאי!L268=#REF!),OR(#REF!="הכל",מלאי!O268=#REF!),OR(#REF!="הכל",מלאי!R268=#REF!),OR(#REF!="הכל",#REF!="",מלאי!W268=#REF!),OR(#REF!="הכל",#REF!="",ISNUMBER(SEARCH(#REF!,מלאי!C268))),OR(#REF!="הכל",מלאי!#REF!=#REF!)),1,0)</f>
        <v>#REF!</v>
      </c>
      <c r="AF268" t="e">
        <f>IF(AD268=1,COUNTIF($AD$3:$AD268,1),"")</f>
        <v>#REF!</v>
      </c>
      <c r="AG268" t="e">
        <f>IF(AE268=1,COUNTIF($AE$3:$AE268,1),"")</f>
        <v>#REF!</v>
      </c>
    </row>
    <row r="269" spans="1:33" ht="15" hidden="1" customHeight="1" x14ac:dyDescent="0.35">
      <c r="A269" s="4"/>
      <c r="B269" s="4"/>
      <c r="C269" s="4"/>
      <c r="D269" s="4"/>
      <c r="E269" s="4" t="str">
        <f>IFERROR(INDEX(הגדרות!$I$2:$I$47,MATCH(B269,הגדרות!$H$2:$H$47,0)),"")</f>
        <v/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t="str">
        <f>IFERROR(INDEX(הגדרות!$B$2:$B$17,MATCH(H269,הגדרות!$A$2:$A$17,0)),"")</f>
        <v/>
      </c>
      <c r="AA269" t="str">
        <f>IFERROR(INDEX(הגדרות!$C$2:$C$17,MATCH(H269,הגדרות!$A$2:$A$17,0)),"")</f>
        <v/>
      </c>
      <c r="AB269" t="str">
        <f>IFERROR(INDEX(הגדרות!$B$2:$B$17,MATCH(I269,הגדרות!$A$2:$A$17,0)),"")</f>
        <v/>
      </c>
      <c r="AC269" t="str">
        <f>IFERROR(INDEX(הגדרות!$C$2:$C$17,MATCH(I269,הגדרות!$A$2:$A$17,0)),"")</f>
        <v/>
      </c>
      <c r="AD269" t="e">
        <f>IF(AND(מלאי!D269&lt;&gt;"",OR(#REF!="הכל",מלאי!Z269=#REF!,מלאי!AA269=#REF!,מלאי!AB269=#REF!,מלאי!AC269=#REF!),OR(#REF!="הכל",מלאי!A269=#REF!),OR(#REF!="הכל",מלאי!B269=#REF!),OR(#REF!="הכל",מלאי!F269=#REF!,מלאי!G269=#REF!),OR(#REF!="הכל",מלאי!T269=#REF!),OR(#REF!="הכל",מלאי!Q269=#REF!),OR(#REF!="הכל",מלאי!J269=#REF!),OR(#REF!="הכל",מלאי!L269=#REF!),OR(#REF!="הכל",מלאי!O269=#REF!),OR(#REF!="הכל",מלאי!R269=#REF!),OR(#REF!="הכל",#REF!="",מלאי!W269=#REF!),OR(#REF!="הכל",#REF!="",ISNUMBER(SEARCH(#REF!,מלאי!C269)))),1,0)</f>
        <v>#REF!</v>
      </c>
      <c r="AE269" t="e">
        <f>IF(AND(מלאי!D269&lt;&gt;"",OR(#REF!="הכל",מלאי!Z269=#REF!,מלאי!AA269=#REF!,מלאי!AB269=#REF!,מלאי!AC269=#REF!),OR(#REF!="הכל",מלאי!A269=#REF!),OR(#REF!="הכל",מלאי!B269=#REF!),OR(#REF!="הכל",מלאי!F269=#REF!,מלאי!G269=#REF!),OR(#REF!="הכל",מלאי!T269=#REF!),OR(#REF!="הכל",מלאי!Q269=#REF!),OR(#REF!="הכל",מלאי!J269=#REF!),OR(#REF!="הכל",מלאי!L269=#REF!),OR(#REF!="הכל",מלאי!O269=#REF!),OR(#REF!="הכל",מלאי!R269=#REF!),OR(#REF!="הכל",#REF!="",מלאי!W269=#REF!),OR(#REF!="הכל",#REF!="",ISNUMBER(SEARCH(#REF!,מלאי!C269))),OR(#REF!="הכל",מלאי!#REF!=#REF!)),1,0)</f>
        <v>#REF!</v>
      </c>
      <c r="AF269" t="e">
        <f>IF(AD269=1,COUNTIF($AD$3:$AD269,1),"")</f>
        <v>#REF!</v>
      </c>
      <c r="AG269" t="e">
        <f>IF(AE269=1,COUNTIF($AE$3:$AE269,1),"")</f>
        <v>#REF!</v>
      </c>
    </row>
    <row r="270" spans="1:33" ht="15" hidden="1" customHeight="1" x14ac:dyDescent="0.35">
      <c r="A270" s="5"/>
      <c r="B270" s="5"/>
      <c r="C270" s="5"/>
      <c r="D270" s="5"/>
      <c r="E270" s="5" t="str">
        <f>IFERROR(INDEX(הגדרות!$I$2:$I$47,MATCH(B270,הגדרות!$H$2:$H$47,0)),"")</f>
        <v/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t="str">
        <f>IFERROR(INDEX(הגדרות!$B$2:$B$17,MATCH(H270,הגדרות!$A$2:$A$17,0)),"")</f>
        <v/>
      </c>
      <c r="AA270" t="str">
        <f>IFERROR(INDEX(הגדרות!$C$2:$C$17,MATCH(H270,הגדרות!$A$2:$A$17,0)),"")</f>
        <v/>
      </c>
      <c r="AB270" t="str">
        <f>IFERROR(INDEX(הגדרות!$B$2:$B$17,MATCH(I270,הגדרות!$A$2:$A$17,0)),"")</f>
        <v/>
      </c>
      <c r="AC270" t="str">
        <f>IFERROR(INDEX(הגדרות!$C$2:$C$17,MATCH(I270,הגדרות!$A$2:$A$17,0)),"")</f>
        <v/>
      </c>
      <c r="AD270" t="e">
        <f>IF(AND(מלאי!D270&lt;&gt;"",OR(#REF!="הכל",מלאי!Z270=#REF!,מלאי!AA270=#REF!,מלאי!AB270=#REF!,מלאי!AC270=#REF!),OR(#REF!="הכל",מלאי!A270=#REF!),OR(#REF!="הכל",מלאי!B270=#REF!),OR(#REF!="הכל",מלאי!F270=#REF!,מלאי!G270=#REF!),OR(#REF!="הכל",מלאי!T270=#REF!),OR(#REF!="הכל",מלאי!Q270=#REF!),OR(#REF!="הכל",מלאי!J270=#REF!),OR(#REF!="הכל",מלאי!L270=#REF!),OR(#REF!="הכל",מלאי!O270=#REF!),OR(#REF!="הכל",מלאי!R270=#REF!),OR(#REF!="הכל",#REF!="",מלאי!W270=#REF!),OR(#REF!="הכל",#REF!="",ISNUMBER(SEARCH(#REF!,מלאי!C270)))),1,0)</f>
        <v>#REF!</v>
      </c>
      <c r="AE270" t="e">
        <f>IF(AND(מלאי!D270&lt;&gt;"",OR(#REF!="הכל",מלאי!Z270=#REF!,מלאי!AA270=#REF!,מלאי!AB270=#REF!,מלאי!AC270=#REF!),OR(#REF!="הכל",מלאי!A270=#REF!),OR(#REF!="הכל",מלאי!B270=#REF!),OR(#REF!="הכל",מלאי!F270=#REF!,מלאי!G270=#REF!),OR(#REF!="הכל",מלאי!T270=#REF!),OR(#REF!="הכל",מלאי!Q270=#REF!),OR(#REF!="הכל",מלאי!J270=#REF!),OR(#REF!="הכל",מלאי!L270=#REF!),OR(#REF!="הכל",מלאי!O270=#REF!),OR(#REF!="הכל",מלאי!R270=#REF!),OR(#REF!="הכל",#REF!="",מלאי!W270=#REF!),OR(#REF!="הכל",#REF!="",ISNUMBER(SEARCH(#REF!,מלאי!C270))),OR(#REF!="הכל",מלאי!#REF!=#REF!)),1,0)</f>
        <v>#REF!</v>
      </c>
      <c r="AF270" t="e">
        <f>IF(AD270=1,COUNTIF($AD$3:$AD270,1),"")</f>
        <v>#REF!</v>
      </c>
      <c r="AG270" t="e">
        <f>IF(AE270=1,COUNTIF($AE$3:$AE270,1),"")</f>
        <v>#REF!</v>
      </c>
    </row>
    <row r="271" spans="1:33" ht="15" hidden="1" customHeight="1" x14ac:dyDescent="0.35">
      <c r="A271" s="4"/>
      <c r="B271" s="4"/>
      <c r="C271" s="4"/>
      <c r="D271" s="4"/>
      <c r="E271" s="4" t="str">
        <f>IFERROR(INDEX(הגדרות!$I$2:$I$47,MATCH(B271,הגדרות!$H$2:$H$47,0)),"")</f>
        <v/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t="str">
        <f>IFERROR(INDEX(הגדרות!$B$2:$B$17,MATCH(H271,הגדרות!$A$2:$A$17,0)),"")</f>
        <v/>
      </c>
      <c r="AA271" t="str">
        <f>IFERROR(INDEX(הגדרות!$C$2:$C$17,MATCH(H271,הגדרות!$A$2:$A$17,0)),"")</f>
        <v/>
      </c>
      <c r="AB271" t="str">
        <f>IFERROR(INDEX(הגדרות!$B$2:$B$17,MATCH(I271,הגדרות!$A$2:$A$17,0)),"")</f>
        <v/>
      </c>
      <c r="AC271" t="str">
        <f>IFERROR(INDEX(הגדרות!$C$2:$C$17,MATCH(I271,הגדרות!$A$2:$A$17,0)),"")</f>
        <v/>
      </c>
      <c r="AD271" t="e">
        <f>IF(AND(מלאי!D271&lt;&gt;"",OR(#REF!="הכל",מלאי!Z271=#REF!,מלאי!AA271=#REF!,מלאי!AB271=#REF!,מלאי!AC271=#REF!),OR(#REF!="הכל",מלאי!A271=#REF!),OR(#REF!="הכל",מלאי!B271=#REF!),OR(#REF!="הכל",מלאי!F271=#REF!,מלאי!G271=#REF!),OR(#REF!="הכל",מלאי!T271=#REF!),OR(#REF!="הכל",מלאי!Q271=#REF!),OR(#REF!="הכל",מלאי!J271=#REF!),OR(#REF!="הכל",מלאי!L271=#REF!),OR(#REF!="הכל",מלאי!O271=#REF!),OR(#REF!="הכל",מלאי!R271=#REF!),OR(#REF!="הכל",#REF!="",מלאי!W271=#REF!),OR(#REF!="הכל",#REF!="",ISNUMBER(SEARCH(#REF!,מלאי!C271)))),1,0)</f>
        <v>#REF!</v>
      </c>
      <c r="AE271" t="e">
        <f>IF(AND(מלאי!D271&lt;&gt;"",OR(#REF!="הכל",מלאי!Z271=#REF!,מלאי!AA271=#REF!,מלאי!AB271=#REF!,מלאי!AC271=#REF!),OR(#REF!="הכל",מלאי!A271=#REF!),OR(#REF!="הכל",מלאי!B271=#REF!),OR(#REF!="הכל",מלאי!F271=#REF!,מלאי!G271=#REF!),OR(#REF!="הכל",מלאי!T271=#REF!),OR(#REF!="הכל",מלאי!Q271=#REF!),OR(#REF!="הכל",מלאי!J271=#REF!),OR(#REF!="הכל",מלאי!L271=#REF!),OR(#REF!="הכל",מלאי!O271=#REF!),OR(#REF!="הכל",מלאי!R271=#REF!),OR(#REF!="הכל",#REF!="",מלאי!W271=#REF!),OR(#REF!="הכל",#REF!="",ISNUMBER(SEARCH(#REF!,מלאי!C271))),OR(#REF!="הכל",מלאי!#REF!=#REF!)),1,0)</f>
        <v>#REF!</v>
      </c>
      <c r="AF271" t="e">
        <f>IF(AD271=1,COUNTIF($AD$3:$AD271,1),"")</f>
        <v>#REF!</v>
      </c>
      <c r="AG271" t="e">
        <f>IF(AE271=1,COUNTIF($AE$3:$AE271,1),"")</f>
        <v>#REF!</v>
      </c>
    </row>
    <row r="272" spans="1:33" ht="15" hidden="1" customHeight="1" x14ac:dyDescent="0.35">
      <c r="A272" s="5"/>
      <c r="B272" s="5"/>
      <c r="C272" s="5"/>
      <c r="D272" s="5"/>
      <c r="E272" s="5" t="str">
        <f>IFERROR(INDEX(הגדרות!$I$2:$I$47,MATCH(B272,הגדרות!$H$2:$H$47,0)),"")</f>
        <v/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t="str">
        <f>IFERROR(INDEX(הגדרות!$B$2:$B$17,MATCH(H272,הגדרות!$A$2:$A$17,0)),"")</f>
        <v/>
      </c>
      <c r="AA272" t="str">
        <f>IFERROR(INDEX(הגדרות!$C$2:$C$17,MATCH(H272,הגדרות!$A$2:$A$17,0)),"")</f>
        <v/>
      </c>
      <c r="AB272" t="str">
        <f>IFERROR(INDEX(הגדרות!$B$2:$B$17,MATCH(I272,הגדרות!$A$2:$A$17,0)),"")</f>
        <v/>
      </c>
      <c r="AC272" t="str">
        <f>IFERROR(INDEX(הגדרות!$C$2:$C$17,MATCH(I272,הגדרות!$A$2:$A$17,0)),"")</f>
        <v/>
      </c>
      <c r="AD272" t="e">
        <f>IF(AND(מלאי!D272&lt;&gt;"",OR(#REF!="הכל",מלאי!Z272=#REF!,מלאי!AA272=#REF!,מלאי!AB272=#REF!,מלאי!AC272=#REF!),OR(#REF!="הכל",מלאי!A272=#REF!),OR(#REF!="הכל",מלאי!B272=#REF!),OR(#REF!="הכל",מלאי!F272=#REF!,מלאי!G272=#REF!),OR(#REF!="הכל",מלאי!T272=#REF!),OR(#REF!="הכל",מלאי!Q272=#REF!),OR(#REF!="הכל",מלאי!J272=#REF!),OR(#REF!="הכל",מלאי!L272=#REF!),OR(#REF!="הכל",מלאי!O272=#REF!),OR(#REF!="הכל",מלאי!R272=#REF!),OR(#REF!="הכל",#REF!="",מלאי!W272=#REF!),OR(#REF!="הכל",#REF!="",ISNUMBER(SEARCH(#REF!,מלאי!C272)))),1,0)</f>
        <v>#REF!</v>
      </c>
      <c r="AE272" t="e">
        <f>IF(AND(מלאי!D272&lt;&gt;"",OR(#REF!="הכל",מלאי!Z272=#REF!,מלאי!AA272=#REF!,מלאי!AB272=#REF!,מלאי!AC272=#REF!),OR(#REF!="הכל",מלאי!A272=#REF!),OR(#REF!="הכל",מלאי!B272=#REF!),OR(#REF!="הכל",מלאי!F272=#REF!,מלאי!G272=#REF!),OR(#REF!="הכל",מלאי!T272=#REF!),OR(#REF!="הכל",מלאי!Q272=#REF!),OR(#REF!="הכל",מלאי!J272=#REF!),OR(#REF!="הכל",מלאי!L272=#REF!),OR(#REF!="הכל",מלאי!O272=#REF!),OR(#REF!="הכל",מלאי!R272=#REF!),OR(#REF!="הכל",#REF!="",מלאי!W272=#REF!),OR(#REF!="הכל",#REF!="",ISNUMBER(SEARCH(#REF!,מלאי!C272))),OR(#REF!="הכל",מלאי!#REF!=#REF!)),1,0)</f>
        <v>#REF!</v>
      </c>
      <c r="AF272" t="e">
        <f>IF(AD272=1,COUNTIF($AD$3:$AD272,1),"")</f>
        <v>#REF!</v>
      </c>
      <c r="AG272" t="e">
        <f>IF(AE272=1,COUNTIF($AE$3:$AE272,1),"")</f>
        <v>#REF!</v>
      </c>
    </row>
    <row r="273" spans="1:33" ht="15" hidden="1" customHeight="1" x14ac:dyDescent="0.35">
      <c r="A273" s="4"/>
      <c r="B273" s="4"/>
      <c r="C273" s="4"/>
      <c r="D273" s="4"/>
      <c r="E273" s="4" t="str">
        <f>IFERROR(INDEX(הגדרות!$I$2:$I$47,MATCH(B273,הגדרות!$H$2:$H$47,0)),"")</f>
        <v/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t="str">
        <f>IFERROR(INDEX(הגדרות!$B$2:$B$17,MATCH(H273,הגדרות!$A$2:$A$17,0)),"")</f>
        <v/>
      </c>
      <c r="AA273" t="str">
        <f>IFERROR(INDEX(הגדרות!$C$2:$C$17,MATCH(H273,הגדרות!$A$2:$A$17,0)),"")</f>
        <v/>
      </c>
      <c r="AB273" t="str">
        <f>IFERROR(INDEX(הגדרות!$B$2:$B$17,MATCH(I273,הגדרות!$A$2:$A$17,0)),"")</f>
        <v/>
      </c>
      <c r="AC273" t="str">
        <f>IFERROR(INDEX(הגדרות!$C$2:$C$17,MATCH(I273,הגדרות!$A$2:$A$17,0)),"")</f>
        <v/>
      </c>
      <c r="AD273" t="e">
        <f>IF(AND(מלאי!D273&lt;&gt;"",OR(#REF!="הכל",מלאי!Z273=#REF!,מלאי!AA273=#REF!,מלאי!AB273=#REF!,מלאי!AC273=#REF!),OR(#REF!="הכל",מלאי!A273=#REF!),OR(#REF!="הכל",מלאי!B273=#REF!),OR(#REF!="הכל",מלאי!F273=#REF!,מלאי!G273=#REF!),OR(#REF!="הכל",מלאי!T273=#REF!),OR(#REF!="הכל",מלאי!Q273=#REF!),OR(#REF!="הכל",מלאי!J273=#REF!),OR(#REF!="הכל",מלאי!L273=#REF!),OR(#REF!="הכל",מלאי!O273=#REF!),OR(#REF!="הכל",מלאי!R273=#REF!),OR(#REF!="הכל",#REF!="",מלאי!W273=#REF!),OR(#REF!="הכל",#REF!="",ISNUMBER(SEARCH(#REF!,מלאי!C273)))),1,0)</f>
        <v>#REF!</v>
      </c>
      <c r="AE273" t="e">
        <f>IF(AND(מלאי!D273&lt;&gt;"",OR(#REF!="הכל",מלאי!Z273=#REF!,מלאי!AA273=#REF!,מלאי!AB273=#REF!,מלאי!AC273=#REF!),OR(#REF!="הכל",מלאי!A273=#REF!),OR(#REF!="הכל",מלאי!B273=#REF!),OR(#REF!="הכל",מלאי!F273=#REF!,מלאי!G273=#REF!),OR(#REF!="הכל",מלאי!T273=#REF!),OR(#REF!="הכל",מלאי!Q273=#REF!),OR(#REF!="הכל",מלאי!J273=#REF!),OR(#REF!="הכל",מלאי!L273=#REF!),OR(#REF!="הכל",מלאי!O273=#REF!),OR(#REF!="הכל",מלאי!R273=#REF!),OR(#REF!="הכל",#REF!="",מלאי!W273=#REF!),OR(#REF!="הכל",#REF!="",ISNUMBER(SEARCH(#REF!,מלאי!C273))),OR(#REF!="הכל",מלאי!#REF!=#REF!)),1,0)</f>
        <v>#REF!</v>
      </c>
      <c r="AF273" t="e">
        <f>IF(AD273=1,COUNTIF($AD$3:$AD273,1),"")</f>
        <v>#REF!</v>
      </c>
      <c r="AG273" t="e">
        <f>IF(AE273=1,COUNTIF($AE$3:$AE273,1),"")</f>
        <v>#REF!</v>
      </c>
    </row>
    <row r="274" spans="1:33" ht="15" hidden="1" customHeight="1" x14ac:dyDescent="0.35">
      <c r="A274" s="5"/>
      <c r="B274" s="5"/>
      <c r="C274" s="5"/>
      <c r="D274" s="5"/>
      <c r="E274" s="5" t="str">
        <f>IFERROR(INDEX(הגדרות!$I$2:$I$47,MATCH(B274,הגדרות!$H$2:$H$47,0)),"")</f>
        <v/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t="str">
        <f>IFERROR(INDEX(הגדרות!$B$2:$B$17,MATCH(H274,הגדרות!$A$2:$A$17,0)),"")</f>
        <v/>
      </c>
      <c r="AA274" t="str">
        <f>IFERROR(INDEX(הגדרות!$C$2:$C$17,MATCH(H274,הגדרות!$A$2:$A$17,0)),"")</f>
        <v/>
      </c>
      <c r="AB274" t="str">
        <f>IFERROR(INDEX(הגדרות!$B$2:$B$17,MATCH(I274,הגדרות!$A$2:$A$17,0)),"")</f>
        <v/>
      </c>
      <c r="AC274" t="str">
        <f>IFERROR(INDEX(הגדרות!$C$2:$C$17,MATCH(I274,הגדרות!$A$2:$A$17,0)),"")</f>
        <v/>
      </c>
      <c r="AD274" t="e">
        <f>IF(AND(מלאי!D274&lt;&gt;"",OR(#REF!="הכל",מלאי!Z274=#REF!,מלאי!AA274=#REF!,מלאי!AB274=#REF!,מלאי!AC274=#REF!),OR(#REF!="הכל",מלאי!A274=#REF!),OR(#REF!="הכל",מלאי!B274=#REF!),OR(#REF!="הכל",מלאי!F274=#REF!,מלאי!G274=#REF!),OR(#REF!="הכל",מלאי!T274=#REF!),OR(#REF!="הכל",מלאי!Q274=#REF!),OR(#REF!="הכל",מלאי!J274=#REF!),OR(#REF!="הכל",מלאי!L274=#REF!),OR(#REF!="הכל",מלאי!O274=#REF!),OR(#REF!="הכל",מלאי!R274=#REF!),OR(#REF!="הכל",#REF!="",מלאי!W274=#REF!),OR(#REF!="הכל",#REF!="",ISNUMBER(SEARCH(#REF!,מלאי!C274)))),1,0)</f>
        <v>#REF!</v>
      </c>
      <c r="AE274" t="e">
        <f>IF(AND(מלאי!D274&lt;&gt;"",OR(#REF!="הכל",מלאי!Z274=#REF!,מלאי!AA274=#REF!,מלאי!AB274=#REF!,מלאי!AC274=#REF!),OR(#REF!="הכל",מלאי!A274=#REF!),OR(#REF!="הכל",מלאי!B274=#REF!),OR(#REF!="הכל",מלאי!F274=#REF!,מלאי!G274=#REF!),OR(#REF!="הכל",מלאי!T274=#REF!),OR(#REF!="הכל",מלאי!Q274=#REF!),OR(#REF!="הכל",מלאי!J274=#REF!),OR(#REF!="הכל",מלאי!L274=#REF!),OR(#REF!="הכל",מלאי!O274=#REF!),OR(#REF!="הכל",מלאי!R274=#REF!),OR(#REF!="הכל",#REF!="",מלאי!W274=#REF!),OR(#REF!="הכל",#REF!="",ISNUMBER(SEARCH(#REF!,מלאי!C274))),OR(#REF!="הכל",מלאי!#REF!=#REF!)),1,0)</f>
        <v>#REF!</v>
      </c>
      <c r="AF274" t="e">
        <f>IF(AD274=1,COUNTIF($AD$3:$AD274,1),"")</f>
        <v>#REF!</v>
      </c>
      <c r="AG274" t="e">
        <f>IF(AE274=1,COUNTIF($AE$3:$AE274,1),"")</f>
        <v>#REF!</v>
      </c>
    </row>
    <row r="275" spans="1:33" ht="15" hidden="1" customHeight="1" x14ac:dyDescent="0.35">
      <c r="A275" s="4"/>
      <c r="B275" s="4"/>
      <c r="C275" s="4"/>
      <c r="D275" s="4"/>
      <c r="E275" s="4" t="str">
        <f>IFERROR(INDEX(הגדרות!$I$2:$I$47,MATCH(B275,הגדרות!$H$2:$H$47,0)),"")</f>
        <v/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t="str">
        <f>IFERROR(INDEX(הגדרות!$B$2:$B$17,MATCH(H275,הגדרות!$A$2:$A$17,0)),"")</f>
        <v/>
      </c>
      <c r="AA275" t="str">
        <f>IFERROR(INDEX(הגדרות!$C$2:$C$17,MATCH(H275,הגדרות!$A$2:$A$17,0)),"")</f>
        <v/>
      </c>
      <c r="AB275" t="str">
        <f>IFERROR(INDEX(הגדרות!$B$2:$B$17,MATCH(I275,הגדרות!$A$2:$A$17,0)),"")</f>
        <v/>
      </c>
      <c r="AC275" t="str">
        <f>IFERROR(INDEX(הגדרות!$C$2:$C$17,MATCH(I275,הגדרות!$A$2:$A$17,0)),"")</f>
        <v/>
      </c>
      <c r="AD275" t="e">
        <f>IF(AND(מלאי!D275&lt;&gt;"",OR(#REF!="הכל",מלאי!Z275=#REF!,מלאי!AA275=#REF!,מלאי!AB275=#REF!,מלאי!AC275=#REF!),OR(#REF!="הכל",מלאי!A275=#REF!),OR(#REF!="הכל",מלאי!B275=#REF!),OR(#REF!="הכל",מלאי!F275=#REF!,מלאי!G275=#REF!),OR(#REF!="הכל",מלאי!T275=#REF!),OR(#REF!="הכל",מלאי!Q275=#REF!),OR(#REF!="הכל",מלאי!J275=#REF!),OR(#REF!="הכל",מלאי!L275=#REF!),OR(#REF!="הכל",מלאי!O275=#REF!),OR(#REF!="הכל",מלאי!R275=#REF!),OR(#REF!="הכל",#REF!="",מלאי!W275=#REF!),OR(#REF!="הכל",#REF!="",ISNUMBER(SEARCH(#REF!,מלאי!C275)))),1,0)</f>
        <v>#REF!</v>
      </c>
      <c r="AE275" t="e">
        <f>IF(AND(מלאי!D275&lt;&gt;"",OR(#REF!="הכל",מלאי!Z275=#REF!,מלאי!AA275=#REF!,מלאי!AB275=#REF!,מלאי!AC275=#REF!),OR(#REF!="הכל",מלאי!A275=#REF!),OR(#REF!="הכל",מלאי!B275=#REF!),OR(#REF!="הכל",מלאי!F275=#REF!,מלאי!G275=#REF!),OR(#REF!="הכל",מלאי!T275=#REF!),OR(#REF!="הכל",מלאי!Q275=#REF!),OR(#REF!="הכל",מלאי!J275=#REF!),OR(#REF!="הכל",מלאי!L275=#REF!),OR(#REF!="הכל",מלאי!O275=#REF!),OR(#REF!="הכל",מלאי!R275=#REF!),OR(#REF!="הכל",#REF!="",מלאי!W275=#REF!),OR(#REF!="הכל",#REF!="",ISNUMBER(SEARCH(#REF!,מלאי!C275))),OR(#REF!="הכל",מלאי!#REF!=#REF!)),1,0)</f>
        <v>#REF!</v>
      </c>
      <c r="AF275" t="e">
        <f>IF(AD275=1,COUNTIF($AD$3:$AD275,1),"")</f>
        <v>#REF!</v>
      </c>
      <c r="AG275" t="e">
        <f>IF(AE275=1,COUNTIF($AE$3:$AE275,1),"")</f>
        <v>#REF!</v>
      </c>
    </row>
    <row r="276" spans="1:33" ht="15" hidden="1" customHeight="1" x14ac:dyDescent="0.35">
      <c r="A276" s="5"/>
      <c r="B276" s="5"/>
      <c r="C276" s="5"/>
      <c r="D276" s="5"/>
      <c r="E276" s="5" t="str">
        <f>IFERROR(INDEX(הגדרות!$I$2:$I$47,MATCH(B276,הגדרות!$H$2:$H$47,0)),"")</f>
        <v/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t="str">
        <f>IFERROR(INDEX(הגדרות!$B$2:$B$17,MATCH(H276,הגדרות!$A$2:$A$17,0)),"")</f>
        <v/>
      </c>
      <c r="AA276" t="str">
        <f>IFERROR(INDEX(הגדרות!$C$2:$C$17,MATCH(H276,הגדרות!$A$2:$A$17,0)),"")</f>
        <v/>
      </c>
      <c r="AB276" t="str">
        <f>IFERROR(INDEX(הגדרות!$B$2:$B$17,MATCH(I276,הגדרות!$A$2:$A$17,0)),"")</f>
        <v/>
      </c>
      <c r="AC276" t="str">
        <f>IFERROR(INDEX(הגדרות!$C$2:$C$17,MATCH(I276,הגדרות!$A$2:$A$17,0)),"")</f>
        <v/>
      </c>
      <c r="AD276" t="e">
        <f>IF(AND(מלאי!D276&lt;&gt;"",OR(#REF!="הכל",מלאי!Z276=#REF!,מלאי!AA276=#REF!,מלאי!AB276=#REF!,מלאי!AC276=#REF!),OR(#REF!="הכל",מלאי!A276=#REF!),OR(#REF!="הכל",מלאי!B276=#REF!),OR(#REF!="הכל",מלאי!F276=#REF!,מלאי!G276=#REF!),OR(#REF!="הכל",מלאי!T276=#REF!),OR(#REF!="הכל",מלאי!Q276=#REF!),OR(#REF!="הכל",מלאי!J276=#REF!),OR(#REF!="הכל",מלאי!L276=#REF!),OR(#REF!="הכל",מלאי!O276=#REF!),OR(#REF!="הכל",מלאי!R276=#REF!),OR(#REF!="הכל",#REF!="",מלאי!W276=#REF!),OR(#REF!="הכל",#REF!="",ISNUMBER(SEARCH(#REF!,מלאי!C276)))),1,0)</f>
        <v>#REF!</v>
      </c>
      <c r="AE276" t="e">
        <f>IF(AND(מלאי!D276&lt;&gt;"",OR(#REF!="הכל",מלאי!Z276=#REF!,מלאי!AA276=#REF!,מלאי!AB276=#REF!,מלאי!AC276=#REF!),OR(#REF!="הכל",מלאי!A276=#REF!),OR(#REF!="הכל",מלאי!B276=#REF!),OR(#REF!="הכל",מלאי!F276=#REF!,מלאי!G276=#REF!),OR(#REF!="הכל",מלאי!T276=#REF!),OR(#REF!="הכל",מלאי!Q276=#REF!),OR(#REF!="הכל",מלאי!J276=#REF!),OR(#REF!="הכל",מלאי!L276=#REF!),OR(#REF!="הכל",מלאי!O276=#REF!),OR(#REF!="הכל",מלאי!R276=#REF!),OR(#REF!="הכל",#REF!="",מלאי!W276=#REF!),OR(#REF!="הכל",#REF!="",ISNUMBER(SEARCH(#REF!,מלאי!C276))),OR(#REF!="הכל",מלאי!#REF!=#REF!)),1,0)</f>
        <v>#REF!</v>
      </c>
      <c r="AF276" t="e">
        <f>IF(AD276=1,COUNTIF($AD$3:$AD276,1),"")</f>
        <v>#REF!</v>
      </c>
      <c r="AG276" t="e">
        <f>IF(AE276=1,COUNTIF($AE$3:$AE276,1),"")</f>
        <v>#REF!</v>
      </c>
    </row>
    <row r="277" spans="1:33" ht="15" hidden="1" customHeight="1" x14ac:dyDescent="0.35">
      <c r="A277" s="4"/>
      <c r="B277" s="4"/>
      <c r="C277" s="4"/>
      <c r="D277" s="4"/>
      <c r="E277" s="4" t="str">
        <f>IFERROR(INDEX(הגדרות!$I$2:$I$47,MATCH(B277,הגדרות!$H$2:$H$47,0)),"")</f>
        <v/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t="str">
        <f>IFERROR(INDEX(הגדרות!$B$2:$B$17,MATCH(H277,הגדרות!$A$2:$A$17,0)),"")</f>
        <v/>
      </c>
      <c r="AA277" t="str">
        <f>IFERROR(INDEX(הגדרות!$C$2:$C$17,MATCH(H277,הגדרות!$A$2:$A$17,0)),"")</f>
        <v/>
      </c>
      <c r="AB277" t="str">
        <f>IFERROR(INDEX(הגדרות!$B$2:$B$17,MATCH(I277,הגדרות!$A$2:$A$17,0)),"")</f>
        <v/>
      </c>
      <c r="AC277" t="str">
        <f>IFERROR(INDEX(הגדרות!$C$2:$C$17,MATCH(I277,הגדרות!$A$2:$A$17,0)),"")</f>
        <v/>
      </c>
      <c r="AD277" t="e">
        <f>IF(AND(מלאי!D277&lt;&gt;"",OR(#REF!="הכל",מלאי!Z277=#REF!,מלאי!AA277=#REF!,מלאי!AB277=#REF!,מלאי!AC277=#REF!),OR(#REF!="הכל",מלאי!A277=#REF!),OR(#REF!="הכל",מלאי!B277=#REF!),OR(#REF!="הכל",מלאי!F277=#REF!,מלאי!G277=#REF!),OR(#REF!="הכל",מלאי!T277=#REF!),OR(#REF!="הכל",מלאי!Q277=#REF!),OR(#REF!="הכל",מלאי!J277=#REF!),OR(#REF!="הכל",מלאי!L277=#REF!),OR(#REF!="הכל",מלאי!O277=#REF!),OR(#REF!="הכל",מלאי!R277=#REF!),OR(#REF!="הכל",#REF!="",מלאי!W277=#REF!),OR(#REF!="הכל",#REF!="",ISNUMBER(SEARCH(#REF!,מלאי!C277)))),1,0)</f>
        <v>#REF!</v>
      </c>
      <c r="AE277" t="e">
        <f>IF(AND(מלאי!D277&lt;&gt;"",OR(#REF!="הכל",מלאי!Z277=#REF!,מלאי!AA277=#REF!,מלאי!AB277=#REF!,מלאי!AC277=#REF!),OR(#REF!="הכל",מלאי!A277=#REF!),OR(#REF!="הכל",מלאי!B277=#REF!),OR(#REF!="הכל",מלאי!F277=#REF!,מלאי!G277=#REF!),OR(#REF!="הכל",מלאי!T277=#REF!),OR(#REF!="הכל",מלאי!Q277=#REF!),OR(#REF!="הכל",מלאי!J277=#REF!),OR(#REF!="הכל",מלאי!L277=#REF!),OR(#REF!="הכל",מלאי!O277=#REF!),OR(#REF!="הכל",מלאי!R277=#REF!),OR(#REF!="הכל",#REF!="",מלאי!W277=#REF!),OR(#REF!="הכל",#REF!="",ISNUMBER(SEARCH(#REF!,מלאי!C277))),OR(#REF!="הכל",מלאי!#REF!=#REF!)),1,0)</f>
        <v>#REF!</v>
      </c>
      <c r="AF277" t="e">
        <f>IF(AD277=1,COUNTIF($AD$3:$AD277,1),"")</f>
        <v>#REF!</v>
      </c>
      <c r="AG277" t="e">
        <f>IF(AE277=1,COUNTIF($AE$3:$AE277,1),"")</f>
        <v>#REF!</v>
      </c>
    </row>
    <row r="278" spans="1:33" ht="15" hidden="1" customHeight="1" x14ac:dyDescent="0.35">
      <c r="A278" s="5"/>
      <c r="B278" s="5"/>
      <c r="C278" s="5"/>
      <c r="D278" s="5"/>
      <c r="E278" s="5" t="str">
        <f>IFERROR(INDEX(הגדרות!$I$2:$I$47,MATCH(B278,הגדרות!$H$2:$H$47,0)),"")</f>
        <v/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t="str">
        <f>IFERROR(INDEX(הגדרות!$B$2:$B$17,MATCH(H278,הגדרות!$A$2:$A$17,0)),"")</f>
        <v/>
      </c>
      <c r="AA278" t="str">
        <f>IFERROR(INDEX(הגדרות!$C$2:$C$17,MATCH(H278,הגדרות!$A$2:$A$17,0)),"")</f>
        <v/>
      </c>
      <c r="AB278" t="str">
        <f>IFERROR(INDEX(הגדרות!$B$2:$B$17,MATCH(I278,הגדרות!$A$2:$A$17,0)),"")</f>
        <v/>
      </c>
      <c r="AC278" t="str">
        <f>IFERROR(INDEX(הגדרות!$C$2:$C$17,MATCH(I278,הגדרות!$A$2:$A$17,0)),"")</f>
        <v/>
      </c>
      <c r="AD278" t="e">
        <f>IF(AND(מלאי!D278&lt;&gt;"",OR(#REF!="הכל",מלאי!Z278=#REF!,מלאי!AA278=#REF!,מלאי!AB278=#REF!,מלאי!AC278=#REF!),OR(#REF!="הכל",מלאי!A278=#REF!),OR(#REF!="הכל",מלאי!B278=#REF!),OR(#REF!="הכל",מלאי!F278=#REF!,מלאי!G278=#REF!),OR(#REF!="הכל",מלאי!T278=#REF!),OR(#REF!="הכל",מלאי!Q278=#REF!),OR(#REF!="הכל",מלאי!J278=#REF!),OR(#REF!="הכל",מלאי!L278=#REF!),OR(#REF!="הכל",מלאי!O278=#REF!),OR(#REF!="הכל",מלאי!R278=#REF!),OR(#REF!="הכל",#REF!="",מלאי!W278=#REF!),OR(#REF!="הכל",#REF!="",ISNUMBER(SEARCH(#REF!,מלאי!C278)))),1,0)</f>
        <v>#REF!</v>
      </c>
      <c r="AE278" t="e">
        <f>IF(AND(מלאי!D278&lt;&gt;"",OR(#REF!="הכל",מלאי!Z278=#REF!,מלאי!AA278=#REF!,מלאי!AB278=#REF!,מלאי!AC278=#REF!),OR(#REF!="הכל",מלאי!A278=#REF!),OR(#REF!="הכל",מלאי!B278=#REF!),OR(#REF!="הכל",מלאי!F278=#REF!,מלאי!G278=#REF!),OR(#REF!="הכל",מלאי!T278=#REF!),OR(#REF!="הכל",מלאי!Q278=#REF!),OR(#REF!="הכל",מלאי!J278=#REF!),OR(#REF!="הכל",מלאי!L278=#REF!),OR(#REF!="הכל",מלאי!O278=#REF!),OR(#REF!="הכל",מלאי!R278=#REF!),OR(#REF!="הכל",#REF!="",מלאי!W278=#REF!),OR(#REF!="הכל",#REF!="",ISNUMBER(SEARCH(#REF!,מלאי!C278))),OR(#REF!="הכל",מלאי!#REF!=#REF!)),1,0)</f>
        <v>#REF!</v>
      </c>
      <c r="AF278" t="e">
        <f>IF(AD278=1,COUNTIF($AD$3:$AD278,1),"")</f>
        <v>#REF!</v>
      </c>
      <c r="AG278" t="e">
        <f>IF(AE278=1,COUNTIF($AE$3:$AE278,1),"")</f>
        <v>#REF!</v>
      </c>
    </row>
    <row r="279" spans="1:33" ht="15" hidden="1" customHeight="1" x14ac:dyDescent="0.35">
      <c r="A279" s="4"/>
      <c r="B279" s="4"/>
      <c r="C279" s="4"/>
      <c r="D279" s="4"/>
      <c r="E279" s="4" t="str">
        <f>IFERROR(INDEX(הגדרות!$I$2:$I$47,MATCH(B279,הגדרות!$H$2:$H$47,0)),"")</f>
        <v/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t="str">
        <f>IFERROR(INDEX(הגדרות!$B$2:$B$17,MATCH(H279,הגדרות!$A$2:$A$17,0)),"")</f>
        <v/>
      </c>
      <c r="AA279" t="str">
        <f>IFERROR(INDEX(הגדרות!$C$2:$C$17,MATCH(H279,הגדרות!$A$2:$A$17,0)),"")</f>
        <v/>
      </c>
      <c r="AB279" t="str">
        <f>IFERROR(INDEX(הגדרות!$B$2:$B$17,MATCH(I279,הגדרות!$A$2:$A$17,0)),"")</f>
        <v/>
      </c>
      <c r="AC279" t="str">
        <f>IFERROR(INDEX(הגדרות!$C$2:$C$17,MATCH(I279,הגדרות!$A$2:$A$17,0)),"")</f>
        <v/>
      </c>
      <c r="AD279" t="e">
        <f>IF(AND(מלאי!D279&lt;&gt;"",OR(#REF!="הכל",מלאי!Z279=#REF!,מלאי!AA279=#REF!,מלאי!AB279=#REF!,מלאי!AC279=#REF!),OR(#REF!="הכל",מלאי!A279=#REF!),OR(#REF!="הכל",מלאי!B279=#REF!),OR(#REF!="הכל",מלאי!F279=#REF!,מלאי!G279=#REF!),OR(#REF!="הכל",מלאי!T279=#REF!),OR(#REF!="הכל",מלאי!Q279=#REF!),OR(#REF!="הכל",מלאי!J279=#REF!),OR(#REF!="הכל",מלאי!L279=#REF!),OR(#REF!="הכל",מלאי!O279=#REF!),OR(#REF!="הכל",מלאי!R279=#REF!),OR(#REF!="הכל",#REF!="",מלאי!W279=#REF!),OR(#REF!="הכל",#REF!="",ISNUMBER(SEARCH(#REF!,מלאי!C279)))),1,0)</f>
        <v>#REF!</v>
      </c>
      <c r="AE279" t="e">
        <f>IF(AND(מלאי!D279&lt;&gt;"",OR(#REF!="הכל",מלאי!Z279=#REF!,מלאי!AA279=#REF!,מלאי!AB279=#REF!,מלאי!AC279=#REF!),OR(#REF!="הכל",מלאי!A279=#REF!),OR(#REF!="הכל",מלאי!B279=#REF!),OR(#REF!="הכל",מלאי!F279=#REF!,מלאי!G279=#REF!),OR(#REF!="הכל",מלאי!T279=#REF!),OR(#REF!="הכל",מלאי!Q279=#REF!),OR(#REF!="הכל",מלאי!J279=#REF!),OR(#REF!="הכל",מלאי!L279=#REF!),OR(#REF!="הכל",מלאי!O279=#REF!),OR(#REF!="הכל",מלאי!R279=#REF!),OR(#REF!="הכל",#REF!="",מלאי!W279=#REF!),OR(#REF!="הכל",#REF!="",ISNUMBER(SEARCH(#REF!,מלאי!C279))),OR(#REF!="הכל",מלאי!#REF!=#REF!)),1,0)</f>
        <v>#REF!</v>
      </c>
      <c r="AF279" t="e">
        <f>IF(AD279=1,COUNTIF($AD$3:$AD279,1),"")</f>
        <v>#REF!</v>
      </c>
      <c r="AG279" t="e">
        <f>IF(AE279=1,COUNTIF($AE$3:$AE279,1),"")</f>
        <v>#REF!</v>
      </c>
    </row>
    <row r="280" spans="1:33" ht="15" hidden="1" customHeight="1" x14ac:dyDescent="0.35">
      <c r="A280" s="5"/>
      <c r="B280" s="5"/>
      <c r="C280" s="5"/>
      <c r="D280" s="5"/>
      <c r="E280" s="5" t="str">
        <f>IFERROR(INDEX(הגדרות!$I$2:$I$47,MATCH(B280,הגדרות!$H$2:$H$47,0)),"")</f>
        <v/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t="str">
        <f>IFERROR(INDEX(הגדרות!$B$2:$B$17,MATCH(H280,הגדרות!$A$2:$A$17,0)),"")</f>
        <v/>
      </c>
      <c r="AA280" t="str">
        <f>IFERROR(INDEX(הגדרות!$C$2:$C$17,MATCH(H280,הגדרות!$A$2:$A$17,0)),"")</f>
        <v/>
      </c>
      <c r="AB280" t="str">
        <f>IFERROR(INDEX(הגדרות!$B$2:$B$17,MATCH(I280,הגדרות!$A$2:$A$17,0)),"")</f>
        <v/>
      </c>
      <c r="AC280" t="str">
        <f>IFERROR(INDEX(הגדרות!$C$2:$C$17,MATCH(I280,הגדרות!$A$2:$A$17,0)),"")</f>
        <v/>
      </c>
      <c r="AD280" t="e">
        <f>IF(AND(מלאי!D280&lt;&gt;"",OR(#REF!="הכל",מלאי!Z280=#REF!,מלאי!AA280=#REF!,מלאי!AB280=#REF!,מלאי!AC280=#REF!),OR(#REF!="הכל",מלאי!A280=#REF!),OR(#REF!="הכל",מלאי!B280=#REF!),OR(#REF!="הכל",מלאי!F280=#REF!,מלאי!G280=#REF!),OR(#REF!="הכל",מלאי!T280=#REF!),OR(#REF!="הכל",מלאי!Q280=#REF!),OR(#REF!="הכל",מלאי!J280=#REF!),OR(#REF!="הכל",מלאי!L280=#REF!),OR(#REF!="הכל",מלאי!O280=#REF!),OR(#REF!="הכל",מלאי!R280=#REF!),OR(#REF!="הכל",#REF!="",מלאי!W280=#REF!),OR(#REF!="הכל",#REF!="",ISNUMBER(SEARCH(#REF!,מלאי!C280)))),1,0)</f>
        <v>#REF!</v>
      </c>
      <c r="AE280" t="e">
        <f>IF(AND(מלאי!D280&lt;&gt;"",OR(#REF!="הכל",מלאי!Z280=#REF!,מלאי!AA280=#REF!,מלאי!AB280=#REF!,מלאי!AC280=#REF!),OR(#REF!="הכל",מלאי!A280=#REF!),OR(#REF!="הכל",מלאי!B280=#REF!),OR(#REF!="הכל",מלאי!F280=#REF!,מלאי!G280=#REF!),OR(#REF!="הכל",מלאי!T280=#REF!),OR(#REF!="הכל",מלאי!Q280=#REF!),OR(#REF!="הכל",מלאי!J280=#REF!),OR(#REF!="הכל",מלאי!L280=#REF!),OR(#REF!="הכל",מלאי!O280=#REF!),OR(#REF!="הכל",מלאי!R280=#REF!),OR(#REF!="הכל",#REF!="",מלאי!W280=#REF!),OR(#REF!="הכל",#REF!="",ISNUMBER(SEARCH(#REF!,מלאי!C280))),OR(#REF!="הכל",מלאי!#REF!=#REF!)),1,0)</f>
        <v>#REF!</v>
      </c>
      <c r="AF280" t="e">
        <f>IF(AD280=1,COUNTIF($AD$3:$AD280,1),"")</f>
        <v>#REF!</v>
      </c>
      <c r="AG280" t="e">
        <f>IF(AE280=1,COUNTIF($AE$3:$AE280,1),"")</f>
        <v>#REF!</v>
      </c>
    </row>
    <row r="281" spans="1:33" ht="15" hidden="1" customHeight="1" x14ac:dyDescent="0.35">
      <c r="A281" s="4"/>
      <c r="B281" s="4"/>
      <c r="C281" s="4"/>
      <c r="D281" s="4"/>
      <c r="E281" s="4" t="str">
        <f>IFERROR(INDEX(הגדרות!$I$2:$I$47,MATCH(B281,הגדרות!$H$2:$H$47,0)),"")</f>
        <v/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t="str">
        <f>IFERROR(INDEX(הגדרות!$B$2:$B$17,MATCH(H281,הגדרות!$A$2:$A$17,0)),"")</f>
        <v/>
      </c>
      <c r="AA281" t="str">
        <f>IFERROR(INDEX(הגדרות!$C$2:$C$17,MATCH(H281,הגדרות!$A$2:$A$17,0)),"")</f>
        <v/>
      </c>
      <c r="AB281" t="str">
        <f>IFERROR(INDEX(הגדרות!$B$2:$B$17,MATCH(I281,הגדרות!$A$2:$A$17,0)),"")</f>
        <v/>
      </c>
      <c r="AC281" t="str">
        <f>IFERROR(INDEX(הגדרות!$C$2:$C$17,MATCH(I281,הגדרות!$A$2:$A$17,0)),"")</f>
        <v/>
      </c>
      <c r="AD281" t="e">
        <f>IF(AND(מלאי!D281&lt;&gt;"",OR(#REF!="הכל",מלאי!Z281=#REF!,מלאי!AA281=#REF!,מלאי!AB281=#REF!,מלאי!AC281=#REF!),OR(#REF!="הכל",מלאי!A281=#REF!),OR(#REF!="הכל",מלאי!B281=#REF!),OR(#REF!="הכל",מלאי!F281=#REF!,מלאי!G281=#REF!),OR(#REF!="הכל",מלאי!T281=#REF!),OR(#REF!="הכל",מלאי!Q281=#REF!),OR(#REF!="הכל",מלאי!J281=#REF!),OR(#REF!="הכל",מלאי!L281=#REF!),OR(#REF!="הכל",מלאי!O281=#REF!),OR(#REF!="הכל",מלאי!R281=#REF!),OR(#REF!="הכל",#REF!="",מלאי!W281=#REF!),OR(#REF!="הכל",#REF!="",ISNUMBER(SEARCH(#REF!,מלאי!C281)))),1,0)</f>
        <v>#REF!</v>
      </c>
      <c r="AE281" t="e">
        <f>IF(AND(מלאי!D281&lt;&gt;"",OR(#REF!="הכל",מלאי!Z281=#REF!,מלאי!AA281=#REF!,מלאי!AB281=#REF!,מלאי!AC281=#REF!),OR(#REF!="הכל",מלאי!A281=#REF!),OR(#REF!="הכל",מלאי!B281=#REF!),OR(#REF!="הכל",מלאי!F281=#REF!,מלאי!G281=#REF!),OR(#REF!="הכל",מלאי!T281=#REF!),OR(#REF!="הכל",מלאי!Q281=#REF!),OR(#REF!="הכל",מלאי!J281=#REF!),OR(#REF!="הכל",מלאי!L281=#REF!),OR(#REF!="הכל",מלאי!O281=#REF!),OR(#REF!="הכל",מלאי!R281=#REF!),OR(#REF!="הכל",#REF!="",מלאי!W281=#REF!),OR(#REF!="הכל",#REF!="",ISNUMBER(SEARCH(#REF!,מלאי!C281))),OR(#REF!="הכל",מלאי!#REF!=#REF!)),1,0)</f>
        <v>#REF!</v>
      </c>
      <c r="AF281" t="e">
        <f>IF(AD281=1,COUNTIF($AD$3:$AD281,1),"")</f>
        <v>#REF!</v>
      </c>
      <c r="AG281" t="e">
        <f>IF(AE281=1,COUNTIF($AE$3:$AE281,1),"")</f>
        <v>#REF!</v>
      </c>
    </row>
    <row r="282" spans="1:33" ht="15" hidden="1" customHeight="1" x14ac:dyDescent="0.35">
      <c r="A282" s="5"/>
      <c r="B282" s="5"/>
      <c r="C282" s="5"/>
      <c r="D282" s="5"/>
      <c r="E282" s="5" t="str">
        <f>IFERROR(INDEX(הגדרות!$I$2:$I$47,MATCH(B282,הגדרות!$H$2:$H$47,0)),"")</f>
        <v/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t="str">
        <f>IFERROR(INDEX(הגדרות!$B$2:$B$17,MATCH(H282,הגדרות!$A$2:$A$17,0)),"")</f>
        <v/>
      </c>
      <c r="AA282" t="str">
        <f>IFERROR(INDEX(הגדרות!$C$2:$C$17,MATCH(H282,הגדרות!$A$2:$A$17,0)),"")</f>
        <v/>
      </c>
      <c r="AB282" t="str">
        <f>IFERROR(INDEX(הגדרות!$B$2:$B$17,MATCH(I282,הגדרות!$A$2:$A$17,0)),"")</f>
        <v/>
      </c>
      <c r="AC282" t="str">
        <f>IFERROR(INDEX(הגדרות!$C$2:$C$17,MATCH(I282,הגדרות!$A$2:$A$17,0)),"")</f>
        <v/>
      </c>
      <c r="AD282" t="e">
        <f>IF(AND(מלאי!D282&lt;&gt;"",OR(#REF!="הכל",מלאי!Z282=#REF!,מלאי!AA282=#REF!,מלאי!AB282=#REF!,מלאי!AC282=#REF!),OR(#REF!="הכל",מלאי!A282=#REF!),OR(#REF!="הכל",מלאי!B282=#REF!),OR(#REF!="הכל",מלאי!F282=#REF!,מלאי!G282=#REF!),OR(#REF!="הכל",מלאי!T282=#REF!),OR(#REF!="הכל",מלאי!Q282=#REF!),OR(#REF!="הכל",מלאי!J282=#REF!),OR(#REF!="הכל",מלאי!L282=#REF!),OR(#REF!="הכל",מלאי!O282=#REF!),OR(#REF!="הכל",מלאי!R282=#REF!),OR(#REF!="הכל",#REF!="",מלאי!W282=#REF!),OR(#REF!="הכל",#REF!="",ISNUMBER(SEARCH(#REF!,מלאי!C282)))),1,0)</f>
        <v>#REF!</v>
      </c>
      <c r="AE282" t="e">
        <f>IF(AND(מלאי!D282&lt;&gt;"",OR(#REF!="הכל",מלאי!Z282=#REF!,מלאי!AA282=#REF!,מלאי!AB282=#REF!,מלאי!AC282=#REF!),OR(#REF!="הכל",מלאי!A282=#REF!),OR(#REF!="הכל",מלאי!B282=#REF!),OR(#REF!="הכל",מלאי!F282=#REF!,מלאי!G282=#REF!),OR(#REF!="הכל",מלאי!T282=#REF!),OR(#REF!="הכל",מלאי!Q282=#REF!),OR(#REF!="הכל",מלאי!J282=#REF!),OR(#REF!="הכל",מלאי!L282=#REF!),OR(#REF!="הכל",מלאי!O282=#REF!),OR(#REF!="הכל",מלאי!R282=#REF!),OR(#REF!="הכל",#REF!="",מלאי!W282=#REF!),OR(#REF!="הכל",#REF!="",ISNUMBER(SEARCH(#REF!,מלאי!C282))),OR(#REF!="הכל",מלאי!#REF!=#REF!)),1,0)</f>
        <v>#REF!</v>
      </c>
      <c r="AF282" t="e">
        <f>IF(AD282=1,COUNTIF($AD$3:$AD282,1),"")</f>
        <v>#REF!</v>
      </c>
      <c r="AG282" t="e">
        <f>IF(AE282=1,COUNTIF($AE$3:$AE282,1),"")</f>
        <v>#REF!</v>
      </c>
    </row>
    <row r="283" spans="1:33" ht="15" hidden="1" customHeight="1" x14ac:dyDescent="0.35">
      <c r="A283" s="4"/>
      <c r="B283" s="4"/>
      <c r="C283" s="4"/>
      <c r="D283" s="4"/>
      <c r="E283" s="4" t="str">
        <f>IFERROR(INDEX(הגדרות!$I$2:$I$47,MATCH(B283,הגדרות!$H$2:$H$47,0)),"")</f>
        <v/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t="str">
        <f>IFERROR(INDEX(הגדרות!$B$2:$B$17,MATCH(H283,הגדרות!$A$2:$A$17,0)),"")</f>
        <v/>
      </c>
      <c r="AA283" t="str">
        <f>IFERROR(INDEX(הגדרות!$C$2:$C$17,MATCH(H283,הגדרות!$A$2:$A$17,0)),"")</f>
        <v/>
      </c>
      <c r="AB283" t="str">
        <f>IFERROR(INDEX(הגדרות!$B$2:$B$17,MATCH(I283,הגדרות!$A$2:$A$17,0)),"")</f>
        <v/>
      </c>
      <c r="AC283" t="str">
        <f>IFERROR(INDEX(הגדרות!$C$2:$C$17,MATCH(I283,הגדרות!$A$2:$A$17,0)),"")</f>
        <v/>
      </c>
      <c r="AD283" t="e">
        <f>IF(AND(מלאי!D283&lt;&gt;"",OR(#REF!="הכל",מלאי!Z283=#REF!,מלאי!AA283=#REF!,מלאי!AB283=#REF!,מלאי!AC283=#REF!),OR(#REF!="הכל",מלאי!A283=#REF!),OR(#REF!="הכל",מלאי!B283=#REF!),OR(#REF!="הכל",מלאי!F283=#REF!,מלאי!G283=#REF!),OR(#REF!="הכל",מלאי!T283=#REF!),OR(#REF!="הכל",מלאי!Q283=#REF!),OR(#REF!="הכל",מלאי!J283=#REF!),OR(#REF!="הכל",מלאי!L283=#REF!),OR(#REF!="הכל",מלאי!O283=#REF!),OR(#REF!="הכל",מלאי!R283=#REF!),OR(#REF!="הכל",#REF!="",מלאי!W283=#REF!),OR(#REF!="הכל",#REF!="",ISNUMBER(SEARCH(#REF!,מלאי!C283)))),1,0)</f>
        <v>#REF!</v>
      </c>
      <c r="AE283" t="e">
        <f>IF(AND(מלאי!D283&lt;&gt;"",OR(#REF!="הכל",מלאי!Z283=#REF!,מלאי!AA283=#REF!,מלאי!AB283=#REF!,מלאי!AC283=#REF!),OR(#REF!="הכל",מלאי!A283=#REF!),OR(#REF!="הכל",מלאי!B283=#REF!),OR(#REF!="הכל",מלאי!F283=#REF!,מלאי!G283=#REF!),OR(#REF!="הכל",מלאי!T283=#REF!),OR(#REF!="הכל",מלאי!Q283=#REF!),OR(#REF!="הכל",מלאי!J283=#REF!),OR(#REF!="הכל",מלאי!L283=#REF!),OR(#REF!="הכל",מלאי!O283=#REF!),OR(#REF!="הכל",מלאי!R283=#REF!),OR(#REF!="הכל",#REF!="",מלאי!W283=#REF!),OR(#REF!="הכל",#REF!="",ISNUMBER(SEARCH(#REF!,מלאי!C283))),OR(#REF!="הכל",מלאי!#REF!=#REF!)),1,0)</f>
        <v>#REF!</v>
      </c>
      <c r="AF283" t="e">
        <f>IF(AD283=1,COUNTIF($AD$3:$AD283,1),"")</f>
        <v>#REF!</v>
      </c>
      <c r="AG283" t="e">
        <f>IF(AE283=1,COUNTIF($AE$3:$AE283,1),"")</f>
        <v>#REF!</v>
      </c>
    </row>
    <row r="284" spans="1:33" ht="15" hidden="1" customHeight="1" x14ac:dyDescent="0.35">
      <c r="A284" s="5"/>
      <c r="B284" s="5"/>
      <c r="C284" s="5"/>
      <c r="D284" s="5"/>
      <c r="E284" s="5" t="str">
        <f>IFERROR(INDEX(הגדרות!$I$2:$I$47,MATCH(B284,הגדרות!$H$2:$H$47,0)),"")</f>
        <v/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t="str">
        <f>IFERROR(INDEX(הגדרות!$B$2:$B$17,MATCH(H284,הגדרות!$A$2:$A$17,0)),"")</f>
        <v/>
      </c>
      <c r="AA284" t="str">
        <f>IFERROR(INDEX(הגדרות!$C$2:$C$17,MATCH(H284,הגדרות!$A$2:$A$17,0)),"")</f>
        <v/>
      </c>
      <c r="AB284" t="str">
        <f>IFERROR(INDEX(הגדרות!$B$2:$B$17,MATCH(I284,הגדרות!$A$2:$A$17,0)),"")</f>
        <v/>
      </c>
      <c r="AC284" t="str">
        <f>IFERROR(INDEX(הגדרות!$C$2:$C$17,MATCH(I284,הגדרות!$A$2:$A$17,0)),"")</f>
        <v/>
      </c>
      <c r="AD284" t="e">
        <f>IF(AND(מלאי!D284&lt;&gt;"",OR(#REF!="הכל",מלאי!Z284=#REF!,מלאי!AA284=#REF!,מלאי!AB284=#REF!,מלאי!AC284=#REF!),OR(#REF!="הכל",מלאי!A284=#REF!),OR(#REF!="הכל",מלאי!B284=#REF!),OR(#REF!="הכל",מלאי!F284=#REF!,מלאי!G284=#REF!),OR(#REF!="הכל",מלאי!T284=#REF!),OR(#REF!="הכל",מלאי!Q284=#REF!),OR(#REF!="הכל",מלאי!J284=#REF!),OR(#REF!="הכל",מלאי!L284=#REF!),OR(#REF!="הכל",מלאי!O284=#REF!),OR(#REF!="הכל",מלאי!R284=#REF!),OR(#REF!="הכל",#REF!="",מלאי!W284=#REF!),OR(#REF!="הכל",#REF!="",ISNUMBER(SEARCH(#REF!,מלאי!C284)))),1,0)</f>
        <v>#REF!</v>
      </c>
      <c r="AE284" t="e">
        <f>IF(AND(מלאי!D284&lt;&gt;"",OR(#REF!="הכל",מלאי!Z284=#REF!,מלאי!AA284=#REF!,מלאי!AB284=#REF!,מלאי!AC284=#REF!),OR(#REF!="הכל",מלאי!A284=#REF!),OR(#REF!="הכל",מלאי!B284=#REF!),OR(#REF!="הכל",מלאי!F284=#REF!,מלאי!G284=#REF!),OR(#REF!="הכל",מלאי!T284=#REF!),OR(#REF!="הכל",מלאי!Q284=#REF!),OR(#REF!="הכל",מלאי!J284=#REF!),OR(#REF!="הכל",מלאי!L284=#REF!),OR(#REF!="הכל",מלאי!O284=#REF!),OR(#REF!="הכל",מלאי!R284=#REF!),OR(#REF!="הכל",#REF!="",מלאי!W284=#REF!),OR(#REF!="הכל",#REF!="",ISNUMBER(SEARCH(#REF!,מלאי!C284))),OR(#REF!="הכל",מלאי!#REF!=#REF!)),1,0)</f>
        <v>#REF!</v>
      </c>
      <c r="AF284" t="e">
        <f>IF(AD284=1,COUNTIF($AD$3:$AD284,1),"")</f>
        <v>#REF!</v>
      </c>
      <c r="AG284" t="e">
        <f>IF(AE284=1,COUNTIF($AE$3:$AE284,1),"")</f>
        <v>#REF!</v>
      </c>
    </row>
    <row r="285" spans="1:33" ht="15" hidden="1" customHeight="1" x14ac:dyDescent="0.35">
      <c r="A285" s="4"/>
      <c r="B285" s="4"/>
      <c r="C285" s="4"/>
      <c r="D285" s="4"/>
      <c r="E285" s="4" t="str">
        <f>IFERROR(INDEX(הגדרות!$I$2:$I$47,MATCH(B285,הגדרות!$H$2:$H$47,0)),"")</f>
        <v/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t="str">
        <f>IFERROR(INDEX(הגדרות!$B$2:$B$17,MATCH(H285,הגדרות!$A$2:$A$17,0)),"")</f>
        <v/>
      </c>
      <c r="AA285" t="str">
        <f>IFERROR(INDEX(הגדרות!$C$2:$C$17,MATCH(H285,הגדרות!$A$2:$A$17,0)),"")</f>
        <v/>
      </c>
      <c r="AB285" t="str">
        <f>IFERROR(INDEX(הגדרות!$B$2:$B$17,MATCH(I285,הגדרות!$A$2:$A$17,0)),"")</f>
        <v/>
      </c>
      <c r="AC285" t="str">
        <f>IFERROR(INDEX(הגדרות!$C$2:$C$17,MATCH(I285,הגדרות!$A$2:$A$17,0)),"")</f>
        <v/>
      </c>
      <c r="AD285" t="e">
        <f>IF(AND(מלאי!D285&lt;&gt;"",OR(#REF!="הכל",מלאי!Z285=#REF!,מלאי!AA285=#REF!,מלאי!AB285=#REF!,מלאי!AC285=#REF!),OR(#REF!="הכל",מלאי!A285=#REF!),OR(#REF!="הכל",מלאי!B285=#REF!),OR(#REF!="הכל",מלאי!F285=#REF!,מלאי!G285=#REF!),OR(#REF!="הכל",מלאי!T285=#REF!),OR(#REF!="הכל",מלאי!Q285=#REF!),OR(#REF!="הכל",מלאי!J285=#REF!),OR(#REF!="הכל",מלאי!L285=#REF!),OR(#REF!="הכל",מלאי!O285=#REF!),OR(#REF!="הכל",מלאי!R285=#REF!),OR(#REF!="הכל",#REF!="",מלאי!W285=#REF!),OR(#REF!="הכל",#REF!="",ISNUMBER(SEARCH(#REF!,מלאי!C285)))),1,0)</f>
        <v>#REF!</v>
      </c>
      <c r="AE285" t="e">
        <f>IF(AND(מלאי!D285&lt;&gt;"",OR(#REF!="הכל",מלאי!Z285=#REF!,מלאי!AA285=#REF!,מלאי!AB285=#REF!,מלאי!AC285=#REF!),OR(#REF!="הכל",מלאי!A285=#REF!),OR(#REF!="הכל",מלאי!B285=#REF!),OR(#REF!="הכל",מלאי!F285=#REF!,מלאי!G285=#REF!),OR(#REF!="הכל",מלאי!T285=#REF!),OR(#REF!="הכל",מלאי!Q285=#REF!),OR(#REF!="הכל",מלאי!J285=#REF!),OR(#REF!="הכל",מלאי!L285=#REF!),OR(#REF!="הכל",מלאי!O285=#REF!),OR(#REF!="הכל",מלאי!R285=#REF!),OR(#REF!="הכל",#REF!="",מלאי!W285=#REF!),OR(#REF!="הכל",#REF!="",ISNUMBER(SEARCH(#REF!,מלאי!C285))),OR(#REF!="הכל",מלאי!#REF!=#REF!)),1,0)</f>
        <v>#REF!</v>
      </c>
      <c r="AF285" t="e">
        <f>IF(AD285=1,COUNTIF($AD$3:$AD285,1),"")</f>
        <v>#REF!</v>
      </c>
      <c r="AG285" t="e">
        <f>IF(AE285=1,COUNTIF($AE$3:$AE285,1),"")</f>
        <v>#REF!</v>
      </c>
    </row>
    <row r="286" spans="1:33" ht="15" hidden="1" customHeight="1" x14ac:dyDescent="0.35">
      <c r="A286" s="5"/>
      <c r="B286" s="5"/>
      <c r="C286" s="5"/>
      <c r="D286" s="5"/>
      <c r="E286" s="5" t="str">
        <f>IFERROR(INDEX(הגדרות!$I$2:$I$47,MATCH(B286,הגדרות!$H$2:$H$47,0)),"")</f>
        <v/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t="str">
        <f>IFERROR(INDEX(הגדרות!$B$2:$B$17,MATCH(H286,הגדרות!$A$2:$A$17,0)),"")</f>
        <v/>
      </c>
      <c r="AA286" t="str">
        <f>IFERROR(INDEX(הגדרות!$C$2:$C$17,MATCH(H286,הגדרות!$A$2:$A$17,0)),"")</f>
        <v/>
      </c>
      <c r="AB286" t="str">
        <f>IFERROR(INDEX(הגדרות!$B$2:$B$17,MATCH(I286,הגדרות!$A$2:$A$17,0)),"")</f>
        <v/>
      </c>
      <c r="AC286" t="str">
        <f>IFERROR(INDEX(הגדרות!$C$2:$C$17,MATCH(I286,הגדרות!$A$2:$A$17,0)),"")</f>
        <v/>
      </c>
      <c r="AD286" t="e">
        <f>IF(AND(מלאי!D286&lt;&gt;"",OR(#REF!="הכל",מלאי!Z286=#REF!,מלאי!AA286=#REF!,מלאי!AB286=#REF!,מלאי!AC286=#REF!),OR(#REF!="הכל",מלאי!A286=#REF!),OR(#REF!="הכל",מלאי!B286=#REF!),OR(#REF!="הכל",מלאי!F286=#REF!,מלאי!G286=#REF!),OR(#REF!="הכל",מלאי!T286=#REF!),OR(#REF!="הכל",מלאי!Q286=#REF!),OR(#REF!="הכל",מלאי!J286=#REF!),OR(#REF!="הכל",מלאי!L286=#REF!),OR(#REF!="הכל",מלאי!O286=#REF!),OR(#REF!="הכל",מלאי!R286=#REF!),OR(#REF!="הכל",#REF!="",מלאי!W286=#REF!),OR(#REF!="הכל",#REF!="",ISNUMBER(SEARCH(#REF!,מלאי!C286)))),1,0)</f>
        <v>#REF!</v>
      </c>
      <c r="AE286" t="e">
        <f>IF(AND(מלאי!D286&lt;&gt;"",OR(#REF!="הכל",מלאי!Z286=#REF!,מלאי!AA286=#REF!,מלאי!AB286=#REF!,מלאי!AC286=#REF!),OR(#REF!="הכל",מלאי!A286=#REF!),OR(#REF!="הכל",מלאי!B286=#REF!),OR(#REF!="הכל",מלאי!F286=#REF!,מלאי!G286=#REF!),OR(#REF!="הכל",מלאי!T286=#REF!),OR(#REF!="הכל",מלאי!Q286=#REF!),OR(#REF!="הכל",מלאי!J286=#REF!),OR(#REF!="הכל",מלאי!L286=#REF!),OR(#REF!="הכל",מלאי!O286=#REF!),OR(#REF!="הכל",מלאי!R286=#REF!),OR(#REF!="הכל",#REF!="",מלאי!W286=#REF!),OR(#REF!="הכל",#REF!="",ISNUMBER(SEARCH(#REF!,מלאי!C286))),OR(#REF!="הכל",מלאי!#REF!=#REF!)),1,0)</f>
        <v>#REF!</v>
      </c>
      <c r="AF286" t="e">
        <f>IF(AD286=1,COUNTIF($AD$3:$AD286,1),"")</f>
        <v>#REF!</v>
      </c>
      <c r="AG286" t="e">
        <f>IF(AE286=1,COUNTIF($AE$3:$AE286,1),"")</f>
        <v>#REF!</v>
      </c>
    </row>
    <row r="287" spans="1:33" ht="15" hidden="1" customHeight="1" x14ac:dyDescent="0.35">
      <c r="A287" s="4"/>
      <c r="B287" s="4"/>
      <c r="C287" s="4"/>
      <c r="D287" s="4"/>
      <c r="E287" s="4" t="str">
        <f>IFERROR(INDEX(הגדרות!$I$2:$I$47,MATCH(B287,הגדרות!$H$2:$H$47,0)),"")</f>
        <v/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t="str">
        <f>IFERROR(INDEX(הגדרות!$B$2:$B$17,MATCH(H287,הגדרות!$A$2:$A$17,0)),"")</f>
        <v/>
      </c>
      <c r="AA287" t="str">
        <f>IFERROR(INDEX(הגדרות!$C$2:$C$17,MATCH(H287,הגדרות!$A$2:$A$17,0)),"")</f>
        <v/>
      </c>
      <c r="AB287" t="str">
        <f>IFERROR(INDEX(הגדרות!$B$2:$B$17,MATCH(I287,הגדרות!$A$2:$A$17,0)),"")</f>
        <v/>
      </c>
      <c r="AC287" t="str">
        <f>IFERROR(INDEX(הגדרות!$C$2:$C$17,MATCH(I287,הגדרות!$A$2:$A$17,0)),"")</f>
        <v/>
      </c>
      <c r="AD287" t="e">
        <f>IF(AND(מלאי!D287&lt;&gt;"",OR(#REF!="הכל",מלאי!Z287=#REF!,מלאי!AA287=#REF!,מלאי!AB287=#REF!,מלאי!AC287=#REF!),OR(#REF!="הכל",מלאי!A287=#REF!),OR(#REF!="הכל",מלאי!B287=#REF!),OR(#REF!="הכל",מלאי!F287=#REF!,מלאי!G287=#REF!),OR(#REF!="הכל",מלאי!T287=#REF!),OR(#REF!="הכל",מלאי!Q287=#REF!),OR(#REF!="הכל",מלאי!J287=#REF!),OR(#REF!="הכל",מלאי!L287=#REF!),OR(#REF!="הכל",מלאי!O287=#REF!),OR(#REF!="הכל",מלאי!R287=#REF!),OR(#REF!="הכל",#REF!="",מלאי!W287=#REF!),OR(#REF!="הכל",#REF!="",ISNUMBER(SEARCH(#REF!,מלאי!C287)))),1,0)</f>
        <v>#REF!</v>
      </c>
      <c r="AE287" t="e">
        <f>IF(AND(מלאי!D287&lt;&gt;"",OR(#REF!="הכל",מלאי!Z287=#REF!,מלאי!AA287=#REF!,מלאי!AB287=#REF!,מלאי!AC287=#REF!),OR(#REF!="הכל",מלאי!A287=#REF!),OR(#REF!="הכל",מלאי!B287=#REF!),OR(#REF!="הכל",מלאי!F287=#REF!,מלאי!G287=#REF!),OR(#REF!="הכל",מלאי!T287=#REF!),OR(#REF!="הכל",מלאי!Q287=#REF!),OR(#REF!="הכל",מלאי!J287=#REF!),OR(#REF!="הכל",מלאי!L287=#REF!),OR(#REF!="הכל",מלאי!O287=#REF!),OR(#REF!="הכל",מלאי!R287=#REF!),OR(#REF!="הכל",#REF!="",מלאי!W287=#REF!),OR(#REF!="הכל",#REF!="",ISNUMBER(SEARCH(#REF!,מלאי!C287))),OR(#REF!="הכל",מלאי!#REF!=#REF!)),1,0)</f>
        <v>#REF!</v>
      </c>
      <c r="AF287" t="e">
        <f>IF(AD287=1,COUNTIF($AD$3:$AD287,1),"")</f>
        <v>#REF!</v>
      </c>
      <c r="AG287" t="e">
        <f>IF(AE287=1,COUNTIF($AE$3:$AE287,1),"")</f>
        <v>#REF!</v>
      </c>
    </row>
    <row r="288" spans="1:33" ht="15" hidden="1" customHeight="1" x14ac:dyDescent="0.35">
      <c r="A288" s="5"/>
      <c r="B288" s="5"/>
      <c r="C288" s="5"/>
      <c r="D288" s="5"/>
      <c r="E288" s="5" t="str">
        <f>IFERROR(INDEX(הגדרות!$I$2:$I$47,MATCH(B288,הגדרות!$H$2:$H$47,0)),"")</f>
        <v/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t="str">
        <f>IFERROR(INDEX(הגדרות!$B$2:$B$17,MATCH(H288,הגדרות!$A$2:$A$17,0)),"")</f>
        <v/>
      </c>
      <c r="AA288" t="str">
        <f>IFERROR(INDEX(הגדרות!$C$2:$C$17,MATCH(H288,הגדרות!$A$2:$A$17,0)),"")</f>
        <v/>
      </c>
      <c r="AB288" t="str">
        <f>IFERROR(INDEX(הגדרות!$B$2:$B$17,MATCH(I288,הגדרות!$A$2:$A$17,0)),"")</f>
        <v/>
      </c>
      <c r="AC288" t="str">
        <f>IFERROR(INDEX(הגדרות!$C$2:$C$17,MATCH(I288,הגדרות!$A$2:$A$17,0)),"")</f>
        <v/>
      </c>
      <c r="AD288" t="e">
        <f>IF(AND(מלאי!D288&lt;&gt;"",OR(#REF!="הכל",מלאי!Z288=#REF!,מלאי!AA288=#REF!,מלאי!AB288=#REF!,מלאי!AC288=#REF!),OR(#REF!="הכל",מלאי!A288=#REF!),OR(#REF!="הכל",מלאי!B288=#REF!),OR(#REF!="הכל",מלאי!F288=#REF!,מלאי!G288=#REF!),OR(#REF!="הכל",מלאי!T288=#REF!),OR(#REF!="הכל",מלאי!Q288=#REF!),OR(#REF!="הכל",מלאי!J288=#REF!),OR(#REF!="הכל",מלאי!L288=#REF!),OR(#REF!="הכל",מלאי!O288=#REF!),OR(#REF!="הכל",מלאי!R288=#REF!),OR(#REF!="הכל",#REF!="",מלאי!W288=#REF!),OR(#REF!="הכל",#REF!="",ISNUMBER(SEARCH(#REF!,מלאי!C288)))),1,0)</f>
        <v>#REF!</v>
      </c>
      <c r="AE288" t="e">
        <f>IF(AND(מלאי!D288&lt;&gt;"",OR(#REF!="הכל",מלאי!Z288=#REF!,מלאי!AA288=#REF!,מלאי!AB288=#REF!,מלאי!AC288=#REF!),OR(#REF!="הכל",מלאי!A288=#REF!),OR(#REF!="הכל",מלאי!B288=#REF!),OR(#REF!="הכל",מלאי!F288=#REF!,מלאי!G288=#REF!),OR(#REF!="הכל",מלאי!T288=#REF!),OR(#REF!="הכל",מלאי!Q288=#REF!),OR(#REF!="הכל",מלאי!J288=#REF!),OR(#REF!="הכל",מלאי!L288=#REF!),OR(#REF!="הכל",מלאי!O288=#REF!),OR(#REF!="הכל",מלאי!R288=#REF!),OR(#REF!="הכל",#REF!="",מלאי!W288=#REF!),OR(#REF!="הכל",#REF!="",ISNUMBER(SEARCH(#REF!,מלאי!C288))),OR(#REF!="הכל",מלאי!#REF!=#REF!)),1,0)</f>
        <v>#REF!</v>
      </c>
      <c r="AF288" t="e">
        <f>IF(AD288=1,COUNTIF($AD$3:$AD288,1),"")</f>
        <v>#REF!</v>
      </c>
      <c r="AG288" t="e">
        <f>IF(AE288=1,COUNTIF($AE$3:$AE288,1),"")</f>
        <v>#REF!</v>
      </c>
    </row>
    <row r="289" spans="1:33" ht="15" hidden="1" customHeight="1" x14ac:dyDescent="0.35">
      <c r="A289" s="4"/>
      <c r="B289" s="4"/>
      <c r="C289" s="4"/>
      <c r="D289" s="4"/>
      <c r="E289" s="4" t="str">
        <f>IFERROR(INDEX(הגדרות!$I$2:$I$47,MATCH(B289,הגדרות!$H$2:$H$47,0)),"")</f>
        <v/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t="str">
        <f>IFERROR(INDEX(הגדרות!$B$2:$B$17,MATCH(H289,הגדרות!$A$2:$A$17,0)),"")</f>
        <v/>
      </c>
      <c r="AA289" t="str">
        <f>IFERROR(INDEX(הגדרות!$C$2:$C$17,MATCH(H289,הגדרות!$A$2:$A$17,0)),"")</f>
        <v/>
      </c>
      <c r="AB289" t="str">
        <f>IFERROR(INDEX(הגדרות!$B$2:$B$17,MATCH(I289,הגדרות!$A$2:$A$17,0)),"")</f>
        <v/>
      </c>
      <c r="AC289" t="str">
        <f>IFERROR(INDEX(הגדרות!$C$2:$C$17,MATCH(I289,הגדרות!$A$2:$A$17,0)),"")</f>
        <v/>
      </c>
      <c r="AD289" t="e">
        <f>IF(AND(מלאי!D289&lt;&gt;"",OR(#REF!="הכל",מלאי!Z289=#REF!,מלאי!AA289=#REF!,מלאי!AB289=#REF!,מלאי!AC289=#REF!),OR(#REF!="הכל",מלאי!A289=#REF!),OR(#REF!="הכל",מלאי!B289=#REF!),OR(#REF!="הכל",מלאי!F289=#REF!,מלאי!G289=#REF!),OR(#REF!="הכל",מלאי!T289=#REF!),OR(#REF!="הכל",מלאי!Q289=#REF!),OR(#REF!="הכל",מלאי!J289=#REF!),OR(#REF!="הכל",מלאי!L289=#REF!),OR(#REF!="הכל",מלאי!O289=#REF!),OR(#REF!="הכל",מלאי!R289=#REF!),OR(#REF!="הכל",#REF!="",מלאי!W289=#REF!),OR(#REF!="הכל",#REF!="",ISNUMBER(SEARCH(#REF!,מלאי!C289)))),1,0)</f>
        <v>#REF!</v>
      </c>
      <c r="AE289" t="e">
        <f>IF(AND(מלאי!D289&lt;&gt;"",OR(#REF!="הכל",מלאי!Z289=#REF!,מלאי!AA289=#REF!,מלאי!AB289=#REF!,מלאי!AC289=#REF!),OR(#REF!="הכל",מלאי!A289=#REF!),OR(#REF!="הכל",מלאי!B289=#REF!),OR(#REF!="הכל",מלאי!F289=#REF!,מלאי!G289=#REF!),OR(#REF!="הכל",מלאי!T289=#REF!),OR(#REF!="הכל",מלאי!Q289=#REF!),OR(#REF!="הכל",מלאי!J289=#REF!),OR(#REF!="הכל",מלאי!L289=#REF!),OR(#REF!="הכל",מלאי!O289=#REF!),OR(#REF!="הכל",מלאי!R289=#REF!),OR(#REF!="הכל",#REF!="",מלאי!W289=#REF!),OR(#REF!="הכל",#REF!="",ISNUMBER(SEARCH(#REF!,מלאי!C289))),OR(#REF!="הכל",מלאי!#REF!=#REF!)),1,0)</f>
        <v>#REF!</v>
      </c>
      <c r="AF289" t="e">
        <f>IF(AD289=1,COUNTIF($AD$3:$AD289,1),"")</f>
        <v>#REF!</v>
      </c>
      <c r="AG289" t="e">
        <f>IF(AE289=1,COUNTIF($AE$3:$AE289,1),"")</f>
        <v>#REF!</v>
      </c>
    </row>
    <row r="290" spans="1:33" ht="15" hidden="1" customHeight="1" x14ac:dyDescent="0.35">
      <c r="A290" s="5"/>
      <c r="B290" s="5"/>
      <c r="C290" s="5"/>
      <c r="D290" s="5"/>
      <c r="E290" s="5" t="str">
        <f>IFERROR(INDEX(הגדרות!$I$2:$I$47,MATCH(B290,הגדרות!$H$2:$H$47,0)),"")</f>
        <v/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t="str">
        <f>IFERROR(INDEX(הגדרות!$B$2:$B$17,MATCH(H290,הגדרות!$A$2:$A$17,0)),"")</f>
        <v/>
      </c>
      <c r="AA290" t="str">
        <f>IFERROR(INDEX(הגדרות!$C$2:$C$17,MATCH(H290,הגדרות!$A$2:$A$17,0)),"")</f>
        <v/>
      </c>
      <c r="AB290" t="str">
        <f>IFERROR(INDEX(הגדרות!$B$2:$B$17,MATCH(I290,הגדרות!$A$2:$A$17,0)),"")</f>
        <v/>
      </c>
      <c r="AC290" t="str">
        <f>IFERROR(INDEX(הגדרות!$C$2:$C$17,MATCH(I290,הגדרות!$A$2:$A$17,0)),"")</f>
        <v/>
      </c>
      <c r="AD290" t="e">
        <f>IF(AND(מלאי!D290&lt;&gt;"",OR(#REF!="הכל",מלאי!Z290=#REF!,מלאי!AA290=#REF!,מלאי!AB290=#REF!,מלאי!AC290=#REF!),OR(#REF!="הכל",מלאי!A290=#REF!),OR(#REF!="הכל",מלאי!B290=#REF!),OR(#REF!="הכל",מלאי!F290=#REF!,מלאי!G290=#REF!),OR(#REF!="הכל",מלאי!T290=#REF!),OR(#REF!="הכל",מלאי!Q290=#REF!),OR(#REF!="הכל",מלאי!J290=#REF!),OR(#REF!="הכל",מלאי!L290=#REF!),OR(#REF!="הכל",מלאי!O290=#REF!),OR(#REF!="הכל",מלאי!R290=#REF!),OR(#REF!="הכל",#REF!="",מלאי!W290=#REF!),OR(#REF!="הכל",#REF!="",ISNUMBER(SEARCH(#REF!,מלאי!C290)))),1,0)</f>
        <v>#REF!</v>
      </c>
      <c r="AE290" t="e">
        <f>IF(AND(מלאי!D290&lt;&gt;"",OR(#REF!="הכל",מלאי!Z290=#REF!,מלאי!AA290=#REF!,מלאי!AB290=#REF!,מלאי!AC290=#REF!),OR(#REF!="הכל",מלאי!A290=#REF!),OR(#REF!="הכל",מלאי!B290=#REF!),OR(#REF!="הכל",מלאי!F290=#REF!,מלאי!G290=#REF!),OR(#REF!="הכל",מלאי!T290=#REF!),OR(#REF!="הכל",מלאי!Q290=#REF!),OR(#REF!="הכל",מלאי!J290=#REF!),OR(#REF!="הכל",מלאי!L290=#REF!),OR(#REF!="הכל",מלאי!O290=#REF!),OR(#REF!="הכל",מלאי!R290=#REF!),OR(#REF!="הכל",#REF!="",מלאי!W290=#REF!),OR(#REF!="הכל",#REF!="",ISNUMBER(SEARCH(#REF!,מלאי!C290))),OR(#REF!="הכל",מלאי!#REF!=#REF!)),1,0)</f>
        <v>#REF!</v>
      </c>
      <c r="AF290" t="e">
        <f>IF(AD290=1,COUNTIF($AD$3:$AD290,1),"")</f>
        <v>#REF!</v>
      </c>
      <c r="AG290" t="e">
        <f>IF(AE290=1,COUNTIF($AE$3:$AE290,1),"")</f>
        <v>#REF!</v>
      </c>
    </row>
    <row r="291" spans="1:33" ht="15" hidden="1" customHeight="1" x14ac:dyDescent="0.35">
      <c r="A291" s="4"/>
      <c r="B291" s="4"/>
      <c r="C291" s="4"/>
      <c r="D291" s="4"/>
      <c r="E291" s="4" t="str">
        <f>IFERROR(INDEX(הגדרות!$I$2:$I$47,MATCH(B291,הגדרות!$H$2:$H$47,0)),"")</f>
        <v/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t="str">
        <f>IFERROR(INDEX(הגדרות!$B$2:$B$17,MATCH(H291,הגדרות!$A$2:$A$17,0)),"")</f>
        <v/>
      </c>
      <c r="AA291" t="str">
        <f>IFERROR(INDEX(הגדרות!$C$2:$C$17,MATCH(H291,הגדרות!$A$2:$A$17,0)),"")</f>
        <v/>
      </c>
      <c r="AB291" t="str">
        <f>IFERROR(INDEX(הגדרות!$B$2:$B$17,MATCH(I291,הגדרות!$A$2:$A$17,0)),"")</f>
        <v/>
      </c>
      <c r="AC291" t="str">
        <f>IFERROR(INDEX(הגדרות!$C$2:$C$17,MATCH(I291,הגדרות!$A$2:$A$17,0)),"")</f>
        <v/>
      </c>
      <c r="AD291" t="e">
        <f>IF(AND(מלאי!D291&lt;&gt;"",OR(#REF!="הכל",מלאי!Z291=#REF!,מלאי!AA291=#REF!,מלאי!AB291=#REF!,מלאי!AC291=#REF!),OR(#REF!="הכל",מלאי!A291=#REF!),OR(#REF!="הכל",מלאי!B291=#REF!),OR(#REF!="הכל",מלאי!F291=#REF!,מלאי!G291=#REF!),OR(#REF!="הכל",מלאי!T291=#REF!),OR(#REF!="הכל",מלאי!Q291=#REF!),OR(#REF!="הכל",מלאי!J291=#REF!),OR(#REF!="הכל",מלאי!L291=#REF!),OR(#REF!="הכל",מלאי!O291=#REF!),OR(#REF!="הכל",מלאי!R291=#REF!),OR(#REF!="הכל",#REF!="",מלאי!W291=#REF!),OR(#REF!="הכל",#REF!="",ISNUMBER(SEARCH(#REF!,מלאי!C291)))),1,0)</f>
        <v>#REF!</v>
      </c>
      <c r="AE291" t="e">
        <f>IF(AND(מלאי!D291&lt;&gt;"",OR(#REF!="הכל",מלאי!Z291=#REF!,מלאי!AA291=#REF!,מלאי!AB291=#REF!,מלאי!AC291=#REF!),OR(#REF!="הכל",מלאי!A291=#REF!),OR(#REF!="הכל",מלאי!B291=#REF!),OR(#REF!="הכל",מלאי!F291=#REF!,מלאי!G291=#REF!),OR(#REF!="הכל",מלאי!T291=#REF!),OR(#REF!="הכל",מלאי!Q291=#REF!),OR(#REF!="הכל",מלאי!J291=#REF!),OR(#REF!="הכל",מלאי!L291=#REF!),OR(#REF!="הכל",מלאי!O291=#REF!),OR(#REF!="הכל",מלאי!R291=#REF!),OR(#REF!="הכל",#REF!="",מלאי!W291=#REF!),OR(#REF!="הכל",#REF!="",ISNUMBER(SEARCH(#REF!,מלאי!C291))),OR(#REF!="הכל",מלאי!#REF!=#REF!)),1,0)</f>
        <v>#REF!</v>
      </c>
      <c r="AF291" t="e">
        <f>IF(AD291=1,COUNTIF($AD$3:$AD291,1),"")</f>
        <v>#REF!</v>
      </c>
      <c r="AG291" t="e">
        <f>IF(AE291=1,COUNTIF($AE$3:$AE291,1),"")</f>
        <v>#REF!</v>
      </c>
    </row>
    <row r="292" spans="1:33" ht="15" hidden="1" customHeight="1" x14ac:dyDescent="0.35">
      <c r="A292" s="5"/>
      <c r="B292" s="5"/>
      <c r="C292" s="5"/>
      <c r="D292" s="5"/>
      <c r="E292" s="5" t="str">
        <f>IFERROR(INDEX(הגדרות!$I$2:$I$47,MATCH(B292,הגדרות!$H$2:$H$47,0)),"")</f>
        <v/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t="str">
        <f>IFERROR(INDEX(הגדרות!$B$2:$B$17,MATCH(H292,הגדרות!$A$2:$A$17,0)),"")</f>
        <v/>
      </c>
      <c r="AA292" t="str">
        <f>IFERROR(INDEX(הגדרות!$C$2:$C$17,MATCH(H292,הגדרות!$A$2:$A$17,0)),"")</f>
        <v/>
      </c>
      <c r="AB292" t="str">
        <f>IFERROR(INDEX(הגדרות!$B$2:$B$17,MATCH(I292,הגדרות!$A$2:$A$17,0)),"")</f>
        <v/>
      </c>
      <c r="AC292" t="str">
        <f>IFERROR(INDEX(הגדרות!$C$2:$C$17,MATCH(I292,הגדרות!$A$2:$A$17,0)),"")</f>
        <v/>
      </c>
      <c r="AD292" t="e">
        <f>IF(AND(מלאי!D292&lt;&gt;"",OR(#REF!="הכל",מלאי!Z292=#REF!,מלאי!AA292=#REF!,מלאי!AB292=#REF!,מלאי!AC292=#REF!),OR(#REF!="הכל",מלאי!A292=#REF!),OR(#REF!="הכל",מלאי!B292=#REF!),OR(#REF!="הכל",מלאי!F292=#REF!,מלאי!G292=#REF!),OR(#REF!="הכל",מלאי!T292=#REF!),OR(#REF!="הכל",מלאי!Q292=#REF!),OR(#REF!="הכל",מלאי!J292=#REF!),OR(#REF!="הכל",מלאי!L292=#REF!),OR(#REF!="הכל",מלאי!O292=#REF!),OR(#REF!="הכל",מלאי!R292=#REF!),OR(#REF!="הכל",#REF!="",מלאי!W292=#REF!),OR(#REF!="הכל",#REF!="",ISNUMBER(SEARCH(#REF!,מלאי!C292)))),1,0)</f>
        <v>#REF!</v>
      </c>
      <c r="AE292" t="e">
        <f>IF(AND(מלאי!D292&lt;&gt;"",OR(#REF!="הכל",מלאי!Z292=#REF!,מלאי!AA292=#REF!,מלאי!AB292=#REF!,מלאי!AC292=#REF!),OR(#REF!="הכל",מלאי!A292=#REF!),OR(#REF!="הכל",מלאי!B292=#REF!),OR(#REF!="הכל",מלאי!F292=#REF!,מלאי!G292=#REF!),OR(#REF!="הכל",מלאי!T292=#REF!),OR(#REF!="הכל",מלאי!Q292=#REF!),OR(#REF!="הכל",מלאי!J292=#REF!),OR(#REF!="הכל",מלאי!L292=#REF!),OR(#REF!="הכל",מלאי!O292=#REF!),OR(#REF!="הכל",מלאי!R292=#REF!),OR(#REF!="הכל",#REF!="",מלאי!W292=#REF!),OR(#REF!="הכל",#REF!="",ISNUMBER(SEARCH(#REF!,מלאי!C292))),OR(#REF!="הכל",מלאי!#REF!=#REF!)),1,0)</f>
        <v>#REF!</v>
      </c>
      <c r="AF292" t="e">
        <f>IF(AD292=1,COUNTIF($AD$3:$AD292,1),"")</f>
        <v>#REF!</v>
      </c>
      <c r="AG292" t="e">
        <f>IF(AE292=1,COUNTIF($AE$3:$AE292,1),"")</f>
        <v>#REF!</v>
      </c>
    </row>
    <row r="293" spans="1:33" ht="15" hidden="1" customHeight="1" x14ac:dyDescent="0.35">
      <c r="A293" s="4"/>
      <c r="B293" s="4"/>
      <c r="C293" s="4"/>
      <c r="D293" s="4"/>
      <c r="E293" s="4" t="str">
        <f>IFERROR(INDEX(הגדרות!$I$2:$I$47,MATCH(B293,הגדרות!$H$2:$H$47,0)),"")</f>
        <v/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t="str">
        <f>IFERROR(INDEX(הגדרות!$B$2:$B$17,MATCH(H293,הגדרות!$A$2:$A$17,0)),"")</f>
        <v/>
      </c>
      <c r="AA293" t="str">
        <f>IFERROR(INDEX(הגדרות!$C$2:$C$17,MATCH(H293,הגדרות!$A$2:$A$17,0)),"")</f>
        <v/>
      </c>
      <c r="AB293" t="str">
        <f>IFERROR(INDEX(הגדרות!$B$2:$B$17,MATCH(I293,הגדרות!$A$2:$A$17,0)),"")</f>
        <v/>
      </c>
      <c r="AC293" t="str">
        <f>IFERROR(INDEX(הגדרות!$C$2:$C$17,MATCH(I293,הגדרות!$A$2:$A$17,0)),"")</f>
        <v/>
      </c>
      <c r="AD293" t="e">
        <f>IF(AND(מלאי!D293&lt;&gt;"",OR(#REF!="הכל",מלאי!Z293=#REF!,מלאי!AA293=#REF!,מלאי!AB293=#REF!,מלאי!AC293=#REF!),OR(#REF!="הכל",מלאי!A293=#REF!),OR(#REF!="הכל",מלאי!B293=#REF!),OR(#REF!="הכל",מלאי!F293=#REF!,מלאי!G293=#REF!),OR(#REF!="הכל",מלאי!T293=#REF!),OR(#REF!="הכל",מלאי!Q293=#REF!),OR(#REF!="הכל",מלאי!J293=#REF!),OR(#REF!="הכל",מלאי!L293=#REF!),OR(#REF!="הכל",מלאי!O293=#REF!),OR(#REF!="הכל",מלאי!R293=#REF!),OR(#REF!="הכל",#REF!="",מלאי!W293=#REF!),OR(#REF!="הכל",#REF!="",ISNUMBER(SEARCH(#REF!,מלאי!C293)))),1,0)</f>
        <v>#REF!</v>
      </c>
      <c r="AE293" t="e">
        <f>IF(AND(מלאי!D293&lt;&gt;"",OR(#REF!="הכל",מלאי!Z293=#REF!,מלאי!AA293=#REF!,מלאי!AB293=#REF!,מלאי!AC293=#REF!),OR(#REF!="הכל",מלאי!A293=#REF!),OR(#REF!="הכל",מלאי!B293=#REF!),OR(#REF!="הכל",מלאי!F293=#REF!,מלאי!G293=#REF!),OR(#REF!="הכל",מלאי!T293=#REF!),OR(#REF!="הכל",מלאי!Q293=#REF!),OR(#REF!="הכל",מלאי!J293=#REF!),OR(#REF!="הכל",מלאי!L293=#REF!),OR(#REF!="הכל",מלאי!O293=#REF!),OR(#REF!="הכל",מלאי!R293=#REF!),OR(#REF!="הכל",#REF!="",מלאי!W293=#REF!),OR(#REF!="הכל",#REF!="",ISNUMBER(SEARCH(#REF!,מלאי!C293))),OR(#REF!="הכל",מלאי!#REF!=#REF!)),1,0)</f>
        <v>#REF!</v>
      </c>
      <c r="AF293" t="e">
        <f>IF(AD293=1,COUNTIF($AD$3:$AD293,1),"")</f>
        <v>#REF!</v>
      </c>
      <c r="AG293" t="e">
        <f>IF(AE293=1,COUNTIF($AE$3:$AE293,1),"")</f>
        <v>#REF!</v>
      </c>
    </row>
    <row r="294" spans="1:33" ht="15" hidden="1" customHeight="1" x14ac:dyDescent="0.35">
      <c r="A294" s="5"/>
      <c r="B294" s="5"/>
      <c r="C294" s="5"/>
      <c r="D294" s="5"/>
      <c r="E294" s="5" t="str">
        <f>IFERROR(INDEX(הגדרות!$I$2:$I$47,MATCH(B294,הגדרות!$H$2:$H$47,0)),"")</f>
        <v/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t="str">
        <f>IFERROR(INDEX(הגדרות!$B$2:$B$17,MATCH(H294,הגדרות!$A$2:$A$17,0)),"")</f>
        <v/>
      </c>
      <c r="AA294" t="str">
        <f>IFERROR(INDEX(הגדרות!$C$2:$C$17,MATCH(H294,הגדרות!$A$2:$A$17,0)),"")</f>
        <v/>
      </c>
      <c r="AB294" t="str">
        <f>IFERROR(INDEX(הגדרות!$B$2:$B$17,MATCH(I294,הגדרות!$A$2:$A$17,0)),"")</f>
        <v/>
      </c>
      <c r="AC294" t="str">
        <f>IFERROR(INDEX(הגדרות!$C$2:$C$17,MATCH(I294,הגדרות!$A$2:$A$17,0)),"")</f>
        <v/>
      </c>
      <c r="AD294" t="e">
        <f>IF(AND(מלאי!D294&lt;&gt;"",OR(#REF!="הכל",מלאי!Z294=#REF!,מלאי!AA294=#REF!,מלאי!AB294=#REF!,מלאי!AC294=#REF!),OR(#REF!="הכל",מלאי!A294=#REF!),OR(#REF!="הכל",מלאי!B294=#REF!),OR(#REF!="הכל",מלאי!F294=#REF!,מלאי!G294=#REF!),OR(#REF!="הכל",מלאי!T294=#REF!),OR(#REF!="הכל",מלאי!Q294=#REF!),OR(#REF!="הכל",מלאי!J294=#REF!),OR(#REF!="הכל",מלאי!L294=#REF!),OR(#REF!="הכל",מלאי!O294=#REF!),OR(#REF!="הכל",מלאי!R294=#REF!),OR(#REF!="הכל",#REF!="",מלאי!W294=#REF!),OR(#REF!="הכל",#REF!="",ISNUMBER(SEARCH(#REF!,מלאי!C294)))),1,0)</f>
        <v>#REF!</v>
      </c>
      <c r="AE294" t="e">
        <f>IF(AND(מלאי!D294&lt;&gt;"",OR(#REF!="הכל",מלאי!Z294=#REF!,מלאי!AA294=#REF!,מלאי!AB294=#REF!,מלאי!AC294=#REF!),OR(#REF!="הכל",מלאי!A294=#REF!),OR(#REF!="הכל",מלאי!B294=#REF!),OR(#REF!="הכל",מלאי!F294=#REF!,מלאי!G294=#REF!),OR(#REF!="הכל",מלאי!T294=#REF!),OR(#REF!="הכל",מלאי!Q294=#REF!),OR(#REF!="הכל",מלאי!J294=#REF!),OR(#REF!="הכל",מלאי!L294=#REF!),OR(#REF!="הכל",מלאי!O294=#REF!),OR(#REF!="הכל",מלאי!R294=#REF!),OR(#REF!="הכל",#REF!="",מלאי!W294=#REF!),OR(#REF!="הכל",#REF!="",ISNUMBER(SEARCH(#REF!,מלאי!C294))),OR(#REF!="הכל",מלאי!#REF!=#REF!)),1,0)</f>
        <v>#REF!</v>
      </c>
      <c r="AF294" t="e">
        <f>IF(AD294=1,COUNTIF($AD$3:$AD294,1),"")</f>
        <v>#REF!</v>
      </c>
      <c r="AG294" t="e">
        <f>IF(AE294=1,COUNTIF($AE$3:$AE294,1),"")</f>
        <v>#REF!</v>
      </c>
    </row>
    <row r="295" spans="1:33" ht="15" hidden="1" customHeight="1" x14ac:dyDescent="0.35">
      <c r="A295" s="4"/>
      <c r="B295" s="4"/>
      <c r="C295" s="4"/>
      <c r="D295" s="4"/>
      <c r="E295" s="4" t="str">
        <f>IFERROR(INDEX(הגדרות!$I$2:$I$47,MATCH(B295,הגדרות!$H$2:$H$47,0)),"")</f>
        <v/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t="str">
        <f>IFERROR(INDEX(הגדרות!$B$2:$B$17,MATCH(H295,הגדרות!$A$2:$A$17,0)),"")</f>
        <v/>
      </c>
      <c r="AA295" t="str">
        <f>IFERROR(INDEX(הגדרות!$C$2:$C$17,MATCH(H295,הגדרות!$A$2:$A$17,0)),"")</f>
        <v/>
      </c>
      <c r="AB295" t="str">
        <f>IFERROR(INDEX(הגדרות!$B$2:$B$17,MATCH(I295,הגדרות!$A$2:$A$17,0)),"")</f>
        <v/>
      </c>
      <c r="AC295" t="str">
        <f>IFERROR(INDEX(הגדרות!$C$2:$C$17,MATCH(I295,הגדרות!$A$2:$A$17,0)),"")</f>
        <v/>
      </c>
      <c r="AD295" t="e">
        <f>IF(AND(מלאי!D295&lt;&gt;"",OR(#REF!="הכל",מלאי!Z295=#REF!,מלאי!AA295=#REF!,מלאי!AB295=#REF!,מלאי!AC295=#REF!),OR(#REF!="הכל",מלאי!A295=#REF!),OR(#REF!="הכל",מלאי!B295=#REF!),OR(#REF!="הכל",מלאי!F295=#REF!,מלאי!G295=#REF!),OR(#REF!="הכל",מלאי!T295=#REF!),OR(#REF!="הכל",מלאי!Q295=#REF!),OR(#REF!="הכל",מלאי!J295=#REF!),OR(#REF!="הכל",מלאי!L295=#REF!),OR(#REF!="הכל",מלאי!O295=#REF!),OR(#REF!="הכל",מלאי!R295=#REF!),OR(#REF!="הכל",#REF!="",מלאי!W295=#REF!),OR(#REF!="הכל",#REF!="",ISNUMBER(SEARCH(#REF!,מלאי!C295)))),1,0)</f>
        <v>#REF!</v>
      </c>
      <c r="AE295" t="e">
        <f>IF(AND(מלאי!D295&lt;&gt;"",OR(#REF!="הכל",מלאי!Z295=#REF!,מלאי!AA295=#REF!,מלאי!AB295=#REF!,מלאי!AC295=#REF!),OR(#REF!="הכל",מלאי!A295=#REF!),OR(#REF!="הכל",מלאי!B295=#REF!),OR(#REF!="הכל",מלאי!F295=#REF!,מלאי!G295=#REF!),OR(#REF!="הכל",מלאי!T295=#REF!),OR(#REF!="הכל",מלאי!Q295=#REF!),OR(#REF!="הכל",מלאי!J295=#REF!),OR(#REF!="הכל",מלאי!L295=#REF!),OR(#REF!="הכל",מלאי!O295=#REF!),OR(#REF!="הכל",מלאי!R295=#REF!),OR(#REF!="הכל",#REF!="",מלאי!W295=#REF!),OR(#REF!="הכל",#REF!="",ISNUMBER(SEARCH(#REF!,מלאי!C295))),OR(#REF!="הכל",מלאי!#REF!=#REF!)),1,0)</f>
        <v>#REF!</v>
      </c>
      <c r="AF295" t="e">
        <f>IF(AD295=1,COUNTIF($AD$3:$AD295,1),"")</f>
        <v>#REF!</v>
      </c>
      <c r="AG295" t="e">
        <f>IF(AE295=1,COUNTIF($AE$3:$AE295,1),"")</f>
        <v>#REF!</v>
      </c>
    </row>
    <row r="296" spans="1:33" ht="15" hidden="1" customHeight="1" x14ac:dyDescent="0.35">
      <c r="A296" s="5"/>
      <c r="B296" s="5"/>
      <c r="C296" s="5"/>
      <c r="D296" s="5"/>
      <c r="E296" s="5" t="str">
        <f>IFERROR(INDEX(הגדרות!$I$2:$I$47,MATCH(B296,הגדרות!$H$2:$H$47,0)),"")</f>
        <v/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t="str">
        <f>IFERROR(INDEX(הגדרות!$B$2:$B$17,MATCH(H296,הגדרות!$A$2:$A$17,0)),"")</f>
        <v/>
      </c>
      <c r="AA296" t="str">
        <f>IFERROR(INDEX(הגדרות!$C$2:$C$17,MATCH(H296,הגדרות!$A$2:$A$17,0)),"")</f>
        <v/>
      </c>
      <c r="AB296" t="str">
        <f>IFERROR(INDEX(הגדרות!$B$2:$B$17,MATCH(I296,הגדרות!$A$2:$A$17,0)),"")</f>
        <v/>
      </c>
      <c r="AC296" t="str">
        <f>IFERROR(INDEX(הגדרות!$C$2:$C$17,MATCH(I296,הגדרות!$A$2:$A$17,0)),"")</f>
        <v/>
      </c>
      <c r="AD296" t="e">
        <f>IF(AND(מלאי!D296&lt;&gt;"",OR(#REF!="הכל",מלאי!Z296=#REF!,מלאי!AA296=#REF!,מלאי!AB296=#REF!,מלאי!AC296=#REF!),OR(#REF!="הכל",מלאי!A296=#REF!),OR(#REF!="הכל",מלאי!B296=#REF!),OR(#REF!="הכל",מלאי!F296=#REF!,מלאי!G296=#REF!),OR(#REF!="הכל",מלאי!T296=#REF!),OR(#REF!="הכל",מלאי!Q296=#REF!),OR(#REF!="הכל",מלאי!J296=#REF!),OR(#REF!="הכל",מלאי!L296=#REF!),OR(#REF!="הכל",מלאי!O296=#REF!),OR(#REF!="הכל",מלאי!R296=#REF!),OR(#REF!="הכל",#REF!="",מלאי!W296=#REF!),OR(#REF!="הכל",#REF!="",ISNUMBER(SEARCH(#REF!,מלאי!C296)))),1,0)</f>
        <v>#REF!</v>
      </c>
      <c r="AE296" t="e">
        <f>IF(AND(מלאי!D296&lt;&gt;"",OR(#REF!="הכל",מלאי!Z296=#REF!,מלאי!AA296=#REF!,מלאי!AB296=#REF!,מלאי!AC296=#REF!),OR(#REF!="הכל",מלאי!A296=#REF!),OR(#REF!="הכל",מלאי!B296=#REF!),OR(#REF!="הכל",מלאי!F296=#REF!,מלאי!G296=#REF!),OR(#REF!="הכל",מלאי!T296=#REF!),OR(#REF!="הכל",מלאי!Q296=#REF!),OR(#REF!="הכל",מלאי!J296=#REF!),OR(#REF!="הכל",מלאי!L296=#REF!),OR(#REF!="הכל",מלאי!O296=#REF!),OR(#REF!="הכל",מלאי!R296=#REF!),OR(#REF!="הכל",#REF!="",מלאי!W296=#REF!),OR(#REF!="הכל",#REF!="",ISNUMBER(SEARCH(#REF!,מלאי!C296))),OR(#REF!="הכל",מלאי!#REF!=#REF!)),1,0)</f>
        <v>#REF!</v>
      </c>
      <c r="AF296" t="e">
        <f>IF(AD296=1,COUNTIF($AD$3:$AD296,1),"")</f>
        <v>#REF!</v>
      </c>
      <c r="AG296" t="e">
        <f>IF(AE296=1,COUNTIF($AE$3:$AE296,1),"")</f>
        <v>#REF!</v>
      </c>
    </row>
    <row r="297" spans="1:33" ht="15" hidden="1" customHeight="1" x14ac:dyDescent="0.35">
      <c r="A297" s="4"/>
      <c r="B297" s="4"/>
      <c r="C297" s="4"/>
      <c r="D297" s="4"/>
      <c r="E297" s="4" t="str">
        <f>IFERROR(INDEX(הגדרות!$I$2:$I$47,MATCH(B297,הגדרות!$H$2:$H$47,0)),"")</f>
        <v/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t="str">
        <f>IFERROR(INDEX(הגדרות!$B$2:$B$17,MATCH(H297,הגדרות!$A$2:$A$17,0)),"")</f>
        <v/>
      </c>
      <c r="AA297" t="str">
        <f>IFERROR(INDEX(הגדרות!$C$2:$C$17,MATCH(H297,הגדרות!$A$2:$A$17,0)),"")</f>
        <v/>
      </c>
      <c r="AB297" t="str">
        <f>IFERROR(INDEX(הגדרות!$B$2:$B$17,MATCH(I297,הגדרות!$A$2:$A$17,0)),"")</f>
        <v/>
      </c>
      <c r="AC297" t="str">
        <f>IFERROR(INDEX(הגדרות!$C$2:$C$17,MATCH(I297,הגדרות!$A$2:$A$17,0)),"")</f>
        <v/>
      </c>
      <c r="AD297" t="e">
        <f>IF(AND(מלאי!D297&lt;&gt;"",OR(#REF!="הכל",מלאי!Z297=#REF!,מלאי!AA297=#REF!,מלאי!AB297=#REF!,מלאי!AC297=#REF!),OR(#REF!="הכל",מלאי!A297=#REF!),OR(#REF!="הכל",מלאי!B297=#REF!),OR(#REF!="הכל",מלאי!F297=#REF!,מלאי!G297=#REF!),OR(#REF!="הכל",מלאי!T297=#REF!),OR(#REF!="הכל",מלאי!Q297=#REF!),OR(#REF!="הכל",מלאי!J297=#REF!),OR(#REF!="הכל",מלאי!L297=#REF!),OR(#REF!="הכל",מלאי!O297=#REF!),OR(#REF!="הכל",מלאי!R297=#REF!),OR(#REF!="הכל",#REF!="",מלאי!W297=#REF!),OR(#REF!="הכל",#REF!="",ISNUMBER(SEARCH(#REF!,מלאי!C297)))),1,0)</f>
        <v>#REF!</v>
      </c>
      <c r="AE297" t="e">
        <f>IF(AND(מלאי!D297&lt;&gt;"",OR(#REF!="הכל",מלאי!Z297=#REF!,מלאי!AA297=#REF!,מלאי!AB297=#REF!,מלאי!AC297=#REF!),OR(#REF!="הכל",מלאי!A297=#REF!),OR(#REF!="הכל",מלאי!B297=#REF!),OR(#REF!="הכל",מלאי!F297=#REF!,מלאי!G297=#REF!),OR(#REF!="הכל",מלאי!T297=#REF!),OR(#REF!="הכל",מלאי!Q297=#REF!),OR(#REF!="הכל",מלאי!J297=#REF!),OR(#REF!="הכל",מלאי!L297=#REF!),OR(#REF!="הכל",מלאי!O297=#REF!),OR(#REF!="הכל",מלאי!R297=#REF!),OR(#REF!="הכל",#REF!="",מלאי!W297=#REF!),OR(#REF!="הכל",#REF!="",ISNUMBER(SEARCH(#REF!,מלאי!C297))),OR(#REF!="הכל",מלאי!#REF!=#REF!)),1,0)</f>
        <v>#REF!</v>
      </c>
      <c r="AF297" t="e">
        <f>IF(AD297=1,COUNTIF($AD$3:$AD297,1),"")</f>
        <v>#REF!</v>
      </c>
      <c r="AG297" t="e">
        <f>IF(AE297=1,COUNTIF($AE$3:$AE297,1),"")</f>
        <v>#REF!</v>
      </c>
    </row>
    <row r="298" spans="1:33" ht="15" hidden="1" customHeight="1" x14ac:dyDescent="0.35">
      <c r="A298" s="5"/>
      <c r="B298" s="5"/>
      <c r="C298" s="5"/>
      <c r="D298" s="5"/>
      <c r="E298" s="5" t="str">
        <f>IFERROR(INDEX(הגדרות!$I$2:$I$47,MATCH(B298,הגדרות!$H$2:$H$47,0)),"")</f>
        <v/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t="str">
        <f>IFERROR(INDEX(הגדרות!$B$2:$B$17,MATCH(H298,הגדרות!$A$2:$A$17,0)),"")</f>
        <v/>
      </c>
      <c r="AA298" t="str">
        <f>IFERROR(INDEX(הגדרות!$C$2:$C$17,MATCH(H298,הגדרות!$A$2:$A$17,0)),"")</f>
        <v/>
      </c>
      <c r="AB298" t="str">
        <f>IFERROR(INDEX(הגדרות!$B$2:$B$17,MATCH(I298,הגדרות!$A$2:$A$17,0)),"")</f>
        <v/>
      </c>
      <c r="AC298" t="str">
        <f>IFERROR(INDEX(הגדרות!$C$2:$C$17,MATCH(I298,הגדרות!$A$2:$A$17,0)),"")</f>
        <v/>
      </c>
      <c r="AD298" t="e">
        <f>IF(AND(מלאי!D298&lt;&gt;"",OR(#REF!="הכל",מלאי!Z298=#REF!,מלאי!AA298=#REF!,מלאי!AB298=#REF!,מלאי!AC298=#REF!),OR(#REF!="הכל",מלאי!A298=#REF!),OR(#REF!="הכל",מלאי!B298=#REF!),OR(#REF!="הכל",מלאי!F298=#REF!,מלאי!G298=#REF!),OR(#REF!="הכל",מלאי!T298=#REF!),OR(#REF!="הכל",מלאי!Q298=#REF!),OR(#REF!="הכל",מלאי!J298=#REF!),OR(#REF!="הכל",מלאי!L298=#REF!),OR(#REF!="הכל",מלאי!O298=#REF!),OR(#REF!="הכל",מלאי!R298=#REF!),OR(#REF!="הכל",#REF!="",מלאי!W298=#REF!),OR(#REF!="הכל",#REF!="",ISNUMBER(SEARCH(#REF!,מלאי!C298)))),1,0)</f>
        <v>#REF!</v>
      </c>
      <c r="AE298" t="e">
        <f>IF(AND(מלאי!D298&lt;&gt;"",OR(#REF!="הכל",מלאי!Z298=#REF!,מלאי!AA298=#REF!,מלאי!AB298=#REF!,מלאי!AC298=#REF!),OR(#REF!="הכל",מלאי!A298=#REF!),OR(#REF!="הכל",מלאי!B298=#REF!),OR(#REF!="הכל",מלאי!F298=#REF!,מלאי!G298=#REF!),OR(#REF!="הכל",מלאי!T298=#REF!),OR(#REF!="הכל",מלאי!Q298=#REF!),OR(#REF!="הכל",מלאי!J298=#REF!),OR(#REF!="הכל",מלאי!L298=#REF!),OR(#REF!="הכל",מלאי!O298=#REF!),OR(#REF!="הכל",מלאי!R298=#REF!),OR(#REF!="הכל",#REF!="",מלאי!W298=#REF!),OR(#REF!="הכל",#REF!="",ISNUMBER(SEARCH(#REF!,מלאי!C298))),OR(#REF!="הכל",מלאי!#REF!=#REF!)),1,0)</f>
        <v>#REF!</v>
      </c>
      <c r="AF298" t="e">
        <f>IF(AD298=1,COUNTIF($AD$3:$AD298,1),"")</f>
        <v>#REF!</v>
      </c>
      <c r="AG298" t="e">
        <f>IF(AE298=1,COUNTIF($AE$3:$AE298,1),"")</f>
        <v>#REF!</v>
      </c>
    </row>
    <row r="299" spans="1:33" ht="15" hidden="1" customHeight="1" x14ac:dyDescent="0.35">
      <c r="A299" s="4"/>
      <c r="B299" s="4"/>
      <c r="C299" s="4"/>
      <c r="D299" s="4"/>
      <c r="E299" s="4" t="str">
        <f>IFERROR(INDEX(הגדרות!$I$2:$I$47,MATCH(B299,הגדרות!$H$2:$H$47,0)),"")</f>
        <v/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t="str">
        <f>IFERROR(INDEX(הגדרות!$B$2:$B$17,MATCH(H299,הגדרות!$A$2:$A$17,0)),"")</f>
        <v/>
      </c>
      <c r="AA299" t="str">
        <f>IFERROR(INDEX(הגדרות!$C$2:$C$17,MATCH(H299,הגדרות!$A$2:$A$17,0)),"")</f>
        <v/>
      </c>
      <c r="AB299" t="str">
        <f>IFERROR(INDEX(הגדרות!$B$2:$B$17,MATCH(I299,הגדרות!$A$2:$A$17,0)),"")</f>
        <v/>
      </c>
      <c r="AC299" t="str">
        <f>IFERROR(INDEX(הגדרות!$C$2:$C$17,MATCH(I299,הגדרות!$A$2:$A$17,0)),"")</f>
        <v/>
      </c>
      <c r="AD299" t="e">
        <f>IF(AND(מלאי!D299&lt;&gt;"",OR(#REF!="הכל",מלאי!Z299=#REF!,מלאי!AA299=#REF!,מלאי!AB299=#REF!,מלאי!AC299=#REF!),OR(#REF!="הכל",מלאי!A299=#REF!),OR(#REF!="הכל",מלאי!B299=#REF!),OR(#REF!="הכל",מלאי!F299=#REF!,מלאי!G299=#REF!),OR(#REF!="הכל",מלאי!T299=#REF!),OR(#REF!="הכל",מלאי!Q299=#REF!),OR(#REF!="הכל",מלאי!J299=#REF!),OR(#REF!="הכל",מלאי!L299=#REF!),OR(#REF!="הכל",מלאי!O299=#REF!),OR(#REF!="הכל",מלאי!R299=#REF!),OR(#REF!="הכל",#REF!="",מלאי!W299=#REF!),OR(#REF!="הכל",#REF!="",ISNUMBER(SEARCH(#REF!,מלאי!C299)))),1,0)</f>
        <v>#REF!</v>
      </c>
      <c r="AE299" t="e">
        <f>IF(AND(מלאי!D299&lt;&gt;"",OR(#REF!="הכל",מלאי!Z299=#REF!,מלאי!AA299=#REF!,מלאי!AB299=#REF!,מלאי!AC299=#REF!),OR(#REF!="הכל",מלאי!A299=#REF!),OR(#REF!="הכל",מלאי!B299=#REF!),OR(#REF!="הכל",מלאי!F299=#REF!,מלאי!G299=#REF!),OR(#REF!="הכל",מלאי!T299=#REF!),OR(#REF!="הכל",מלאי!Q299=#REF!),OR(#REF!="הכל",מלאי!J299=#REF!),OR(#REF!="הכל",מלאי!L299=#REF!),OR(#REF!="הכל",מלאי!O299=#REF!),OR(#REF!="הכל",מלאי!R299=#REF!),OR(#REF!="הכל",#REF!="",מלאי!W299=#REF!),OR(#REF!="הכל",#REF!="",ISNUMBER(SEARCH(#REF!,מלאי!C299))),OR(#REF!="הכל",מלאי!#REF!=#REF!)),1,0)</f>
        <v>#REF!</v>
      </c>
      <c r="AF299" t="e">
        <f>IF(AD299=1,COUNTIF($AD$3:$AD299,1),"")</f>
        <v>#REF!</v>
      </c>
      <c r="AG299" t="e">
        <f>IF(AE299=1,COUNTIF($AE$3:$AE299,1),"")</f>
        <v>#REF!</v>
      </c>
    </row>
    <row r="300" spans="1:33" ht="15" hidden="1" customHeight="1" x14ac:dyDescent="0.35">
      <c r="A300" s="5"/>
      <c r="B300" s="5"/>
      <c r="C300" s="5"/>
      <c r="D300" s="5"/>
      <c r="E300" s="5" t="str">
        <f>IFERROR(INDEX(הגדרות!$I$2:$I$47,MATCH(B300,הגדרות!$H$2:$H$47,0)),"")</f>
        <v/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t="str">
        <f>IFERROR(INDEX(הגדרות!$B$2:$B$17,MATCH(H300,הגדרות!$A$2:$A$17,0)),"")</f>
        <v/>
      </c>
      <c r="AA300" t="str">
        <f>IFERROR(INDEX(הגדרות!$C$2:$C$17,MATCH(H300,הגדרות!$A$2:$A$17,0)),"")</f>
        <v/>
      </c>
      <c r="AB300" t="str">
        <f>IFERROR(INDEX(הגדרות!$B$2:$B$17,MATCH(I300,הגדרות!$A$2:$A$17,0)),"")</f>
        <v/>
      </c>
      <c r="AC300" t="str">
        <f>IFERROR(INDEX(הגדרות!$C$2:$C$17,MATCH(I300,הגדרות!$A$2:$A$17,0)),"")</f>
        <v/>
      </c>
      <c r="AD300" t="e">
        <f>IF(AND(מלאי!D300&lt;&gt;"",OR(#REF!="הכל",מלאי!Z300=#REF!,מלאי!AA300=#REF!,מלאי!AB300=#REF!,מלאי!AC300=#REF!),OR(#REF!="הכל",מלאי!A300=#REF!),OR(#REF!="הכל",מלאי!B300=#REF!),OR(#REF!="הכל",מלאי!F300=#REF!,מלאי!G300=#REF!),OR(#REF!="הכל",מלאי!T300=#REF!),OR(#REF!="הכל",מלאי!Q300=#REF!),OR(#REF!="הכל",מלאי!J300=#REF!),OR(#REF!="הכל",מלאי!L300=#REF!),OR(#REF!="הכל",מלאי!O300=#REF!),OR(#REF!="הכל",מלאי!R300=#REF!),OR(#REF!="הכל",#REF!="",מלאי!W300=#REF!),OR(#REF!="הכל",#REF!="",ISNUMBER(SEARCH(#REF!,מלאי!C300)))),1,0)</f>
        <v>#REF!</v>
      </c>
      <c r="AE300" t="e">
        <f>IF(AND(מלאי!D300&lt;&gt;"",OR(#REF!="הכל",מלאי!Z300=#REF!,מלאי!AA300=#REF!,מלאי!AB300=#REF!,מלאי!AC300=#REF!),OR(#REF!="הכל",מלאי!A300=#REF!),OR(#REF!="הכל",מלאי!B300=#REF!),OR(#REF!="הכל",מלאי!F300=#REF!,מלאי!G300=#REF!),OR(#REF!="הכל",מלאי!T300=#REF!),OR(#REF!="הכל",מלאי!Q300=#REF!),OR(#REF!="הכל",מלאי!J300=#REF!),OR(#REF!="הכל",מלאי!L300=#REF!),OR(#REF!="הכל",מלאי!O300=#REF!),OR(#REF!="הכל",מלאי!R300=#REF!),OR(#REF!="הכל",#REF!="",מלאי!W300=#REF!),OR(#REF!="הכל",#REF!="",ISNUMBER(SEARCH(#REF!,מלאי!C300))),OR(#REF!="הכל",מלאי!#REF!=#REF!)),1,0)</f>
        <v>#REF!</v>
      </c>
      <c r="AF300" t="e">
        <f>IF(AD300=1,COUNTIF($AD$3:$AD300,1),"")</f>
        <v>#REF!</v>
      </c>
      <c r="AG300" t="e">
        <f>IF(AE300=1,COUNTIF($AE$3:$AE300,1),"")</f>
        <v>#REF!</v>
      </c>
    </row>
    <row r="301" spans="1:33" ht="15" hidden="1" customHeight="1" x14ac:dyDescent="0.35">
      <c r="A301" s="4"/>
      <c r="B301" s="4"/>
      <c r="C301" s="4"/>
      <c r="D301" s="4"/>
      <c r="E301" s="4" t="str">
        <f>IFERROR(INDEX(הגדרות!$I$2:$I$47,MATCH(B301,הגדרות!$H$2:$H$47,0)),"")</f>
        <v/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t="str">
        <f>IFERROR(INDEX(הגדרות!$B$2:$B$17,MATCH(H301,הגדרות!$A$2:$A$17,0)),"")</f>
        <v/>
      </c>
      <c r="AA301" t="str">
        <f>IFERROR(INDEX(הגדרות!$C$2:$C$17,MATCH(H301,הגדרות!$A$2:$A$17,0)),"")</f>
        <v/>
      </c>
      <c r="AB301" t="str">
        <f>IFERROR(INDEX(הגדרות!$B$2:$B$17,MATCH(I301,הגדרות!$A$2:$A$17,0)),"")</f>
        <v/>
      </c>
      <c r="AC301" t="str">
        <f>IFERROR(INDEX(הגדרות!$C$2:$C$17,MATCH(I301,הגדרות!$A$2:$A$17,0)),"")</f>
        <v/>
      </c>
      <c r="AD301" t="e">
        <f>IF(AND(מלאי!D301&lt;&gt;"",OR(#REF!="הכל",מלאי!Z301=#REF!,מלאי!AA301=#REF!,מלאי!AB301=#REF!,מלאי!AC301=#REF!),OR(#REF!="הכל",מלאי!A301=#REF!),OR(#REF!="הכל",מלאי!B301=#REF!),OR(#REF!="הכל",מלאי!F301=#REF!,מלאי!G301=#REF!),OR(#REF!="הכל",מלאי!T301=#REF!),OR(#REF!="הכל",מלאי!Q301=#REF!),OR(#REF!="הכל",מלאי!J301=#REF!),OR(#REF!="הכל",מלאי!L301=#REF!),OR(#REF!="הכל",מלאי!O301=#REF!),OR(#REF!="הכל",מלאי!R301=#REF!),OR(#REF!="הכל",#REF!="",מלאי!W301=#REF!),OR(#REF!="הכל",#REF!="",ISNUMBER(SEARCH(#REF!,מלאי!C301)))),1,0)</f>
        <v>#REF!</v>
      </c>
      <c r="AE301" t="e">
        <f>IF(AND(מלאי!D301&lt;&gt;"",OR(#REF!="הכל",מלאי!Z301=#REF!,מלאי!AA301=#REF!,מלאי!AB301=#REF!,מלאי!AC301=#REF!),OR(#REF!="הכל",מלאי!A301=#REF!),OR(#REF!="הכל",מלאי!B301=#REF!),OR(#REF!="הכל",מלאי!F301=#REF!,מלאי!G301=#REF!),OR(#REF!="הכל",מלאי!T301=#REF!),OR(#REF!="הכל",מלאי!Q301=#REF!),OR(#REF!="הכל",מלאי!J301=#REF!),OR(#REF!="הכל",מלאי!L301=#REF!),OR(#REF!="הכל",מלאי!O301=#REF!),OR(#REF!="הכל",מלאי!R301=#REF!),OR(#REF!="הכל",#REF!="",מלאי!W301=#REF!),OR(#REF!="הכל",#REF!="",ISNUMBER(SEARCH(#REF!,מלאי!C301))),OR(#REF!="הכל",מלאי!#REF!=#REF!)),1,0)</f>
        <v>#REF!</v>
      </c>
      <c r="AF301" t="e">
        <f>IF(AD301=1,COUNTIF($AD$3:$AD301,1),"")</f>
        <v>#REF!</v>
      </c>
      <c r="AG301" t="e">
        <f>IF(AE301=1,COUNTIF($AE$3:$AE301,1),"")</f>
        <v>#REF!</v>
      </c>
    </row>
    <row r="302" spans="1:33" ht="15" hidden="1" customHeight="1" x14ac:dyDescent="0.35">
      <c r="A302" s="5"/>
      <c r="B302" s="5"/>
      <c r="C302" s="5"/>
      <c r="D302" s="5"/>
      <c r="E302" s="5" t="str">
        <f>IFERROR(INDEX(הגדרות!$I$2:$I$47,MATCH(B302,הגדרות!$H$2:$H$47,0)),"")</f>
        <v/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t="str">
        <f>IFERROR(INDEX(הגדרות!$B$2:$B$17,MATCH(H302,הגדרות!$A$2:$A$17,0)),"")</f>
        <v/>
      </c>
      <c r="AA302" t="str">
        <f>IFERROR(INDEX(הגדרות!$C$2:$C$17,MATCH(H302,הגדרות!$A$2:$A$17,0)),"")</f>
        <v/>
      </c>
      <c r="AB302" t="str">
        <f>IFERROR(INDEX(הגדרות!$B$2:$B$17,MATCH(I302,הגדרות!$A$2:$A$17,0)),"")</f>
        <v/>
      </c>
      <c r="AC302" t="str">
        <f>IFERROR(INDEX(הגדרות!$C$2:$C$17,MATCH(I302,הגדרות!$A$2:$A$17,0)),"")</f>
        <v/>
      </c>
      <c r="AD302" t="e">
        <f>IF(AND(מלאי!D302&lt;&gt;"",OR(#REF!="הכל",מלאי!Z302=#REF!,מלאי!AA302=#REF!,מלאי!AB302=#REF!,מלאי!AC302=#REF!),OR(#REF!="הכל",מלאי!A302=#REF!),OR(#REF!="הכל",מלאי!B302=#REF!),OR(#REF!="הכל",מלאי!F302=#REF!,מלאי!G302=#REF!),OR(#REF!="הכל",מלאי!T302=#REF!),OR(#REF!="הכל",מלאי!Q302=#REF!),OR(#REF!="הכל",מלאי!J302=#REF!),OR(#REF!="הכל",מלאי!L302=#REF!),OR(#REF!="הכל",מלאי!O302=#REF!),OR(#REF!="הכל",מלאי!R302=#REF!),OR(#REF!="הכל",#REF!="",מלאי!W302=#REF!),OR(#REF!="הכל",#REF!="",ISNUMBER(SEARCH(#REF!,מלאי!C302)))),1,0)</f>
        <v>#REF!</v>
      </c>
      <c r="AE302" t="e">
        <f>IF(AND(מלאי!D302&lt;&gt;"",OR(#REF!="הכל",מלאי!Z302=#REF!,מלאי!AA302=#REF!,מלאי!AB302=#REF!,מלאי!AC302=#REF!),OR(#REF!="הכל",מלאי!A302=#REF!),OR(#REF!="הכל",מלאי!B302=#REF!),OR(#REF!="הכל",מלאי!F302=#REF!,מלאי!G302=#REF!),OR(#REF!="הכל",מלאי!T302=#REF!),OR(#REF!="הכל",מלאי!Q302=#REF!),OR(#REF!="הכל",מלאי!J302=#REF!),OR(#REF!="הכל",מלאי!L302=#REF!),OR(#REF!="הכל",מלאי!O302=#REF!),OR(#REF!="הכל",מלאי!R302=#REF!),OR(#REF!="הכל",#REF!="",מלאי!W302=#REF!),OR(#REF!="הכל",#REF!="",ISNUMBER(SEARCH(#REF!,מלאי!C302))),OR(#REF!="הכל",מלאי!#REF!=#REF!)),1,0)</f>
        <v>#REF!</v>
      </c>
      <c r="AF302" t="e">
        <f>IF(AD302=1,COUNTIF($AD$3:$AD302,1),"")</f>
        <v>#REF!</v>
      </c>
      <c r="AG302" t="e">
        <f>IF(AE302=1,COUNTIF($AE$3:$AE302,1),"")</f>
        <v>#REF!</v>
      </c>
    </row>
    <row r="303" spans="1:33" ht="15" hidden="1" customHeight="1" x14ac:dyDescent="0.35">
      <c r="A303" s="4"/>
      <c r="B303" s="4"/>
      <c r="C303" s="4"/>
      <c r="D303" s="4"/>
      <c r="E303" s="4" t="str">
        <f>IFERROR(INDEX(הגדרות!$I$2:$I$47,MATCH(B303,הגדרות!$H$2:$H$47,0)),"")</f>
        <v/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t="str">
        <f>IFERROR(INDEX(הגדרות!$B$2:$B$17,MATCH(H303,הגדרות!$A$2:$A$17,0)),"")</f>
        <v/>
      </c>
      <c r="AA303" t="str">
        <f>IFERROR(INDEX(הגדרות!$C$2:$C$17,MATCH(H303,הגדרות!$A$2:$A$17,0)),"")</f>
        <v/>
      </c>
      <c r="AB303" t="str">
        <f>IFERROR(INDEX(הגדרות!$B$2:$B$17,MATCH(I303,הגדרות!$A$2:$A$17,0)),"")</f>
        <v/>
      </c>
      <c r="AC303" t="str">
        <f>IFERROR(INDEX(הגדרות!$C$2:$C$17,MATCH(I303,הגדרות!$A$2:$A$17,0)),"")</f>
        <v/>
      </c>
      <c r="AD303" t="e">
        <f>IF(AND(מלאי!D303&lt;&gt;"",OR(#REF!="הכל",מלאי!Z303=#REF!,מלאי!AA303=#REF!,מלאי!AB303=#REF!,מלאי!AC303=#REF!),OR(#REF!="הכל",מלאי!A303=#REF!),OR(#REF!="הכל",מלאי!B303=#REF!),OR(#REF!="הכל",מלאי!F303=#REF!,מלאי!G303=#REF!),OR(#REF!="הכל",מלאי!T303=#REF!),OR(#REF!="הכל",מלאי!Q303=#REF!),OR(#REF!="הכל",מלאי!J303=#REF!),OR(#REF!="הכל",מלאי!L303=#REF!),OR(#REF!="הכל",מלאי!O303=#REF!),OR(#REF!="הכל",מלאי!R303=#REF!),OR(#REF!="הכל",#REF!="",מלאי!W303=#REF!),OR(#REF!="הכל",#REF!="",ISNUMBER(SEARCH(#REF!,מלאי!C303)))),1,0)</f>
        <v>#REF!</v>
      </c>
      <c r="AE303" t="e">
        <f>IF(AND(מלאי!D303&lt;&gt;"",OR(#REF!="הכל",מלאי!Z303=#REF!,מלאי!AA303=#REF!,מלאי!AB303=#REF!,מלאי!AC303=#REF!),OR(#REF!="הכל",מלאי!A303=#REF!),OR(#REF!="הכל",מלאי!B303=#REF!),OR(#REF!="הכל",מלאי!F303=#REF!,מלאי!G303=#REF!),OR(#REF!="הכל",מלאי!T303=#REF!),OR(#REF!="הכל",מלאי!Q303=#REF!),OR(#REF!="הכל",מלאי!J303=#REF!),OR(#REF!="הכל",מלאי!L303=#REF!),OR(#REF!="הכל",מלאי!O303=#REF!),OR(#REF!="הכל",מלאי!R303=#REF!),OR(#REF!="הכל",#REF!="",מלאי!W303=#REF!),OR(#REF!="הכל",#REF!="",ISNUMBER(SEARCH(#REF!,מלאי!C303))),OR(#REF!="הכל",מלאי!#REF!=#REF!)),1,0)</f>
        <v>#REF!</v>
      </c>
      <c r="AF303" t="e">
        <f>IF(AD303=1,COUNTIF($AD$3:$AD303,1),"")</f>
        <v>#REF!</v>
      </c>
      <c r="AG303" t="e">
        <f>IF(AE303=1,COUNTIF($AE$3:$AE303,1),"")</f>
        <v>#REF!</v>
      </c>
    </row>
    <row r="304" spans="1:33" ht="15" hidden="1" customHeight="1" x14ac:dyDescent="0.35">
      <c r="A304" s="5"/>
      <c r="B304" s="5"/>
      <c r="C304" s="5"/>
      <c r="D304" s="5"/>
      <c r="E304" s="5" t="str">
        <f>IFERROR(INDEX(הגדרות!$I$2:$I$47,MATCH(B304,הגדרות!$H$2:$H$47,0)),"")</f>
        <v/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t="str">
        <f>IFERROR(INDEX(הגדרות!$B$2:$B$17,MATCH(H304,הגדרות!$A$2:$A$17,0)),"")</f>
        <v/>
      </c>
      <c r="AA304" t="str">
        <f>IFERROR(INDEX(הגדרות!$C$2:$C$17,MATCH(H304,הגדרות!$A$2:$A$17,0)),"")</f>
        <v/>
      </c>
      <c r="AB304" t="str">
        <f>IFERROR(INDEX(הגדרות!$B$2:$B$17,MATCH(I304,הגדרות!$A$2:$A$17,0)),"")</f>
        <v/>
      </c>
      <c r="AC304" t="str">
        <f>IFERROR(INDEX(הגדרות!$C$2:$C$17,MATCH(I304,הגדרות!$A$2:$A$17,0)),"")</f>
        <v/>
      </c>
      <c r="AD304" t="e">
        <f>IF(AND(מלאי!D304&lt;&gt;"",OR(#REF!="הכל",מלאי!Z304=#REF!,מלאי!AA304=#REF!,מלאי!AB304=#REF!,מלאי!AC304=#REF!),OR(#REF!="הכל",מלאי!A304=#REF!),OR(#REF!="הכל",מלאי!B304=#REF!),OR(#REF!="הכל",מלאי!F304=#REF!,מלאי!G304=#REF!),OR(#REF!="הכל",מלאי!T304=#REF!),OR(#REF!="הכל",מלאי!Q304=#REF!),OR(#REF!="הכל",מלאי!J304=#REF!),OR(#REF!="הכל",מלאי!L304=#REF!),OR(#REF!="הכל",מלאי!O304=#REF!),OR(#REF!="הכל",מלאי!R304=#REF!),OR(#REF!="הכל",#REF!="",מלאי!W304=#REF!),OR(#REF!="הכל",#REF!="",ISNUMBER(SEARCH(#REF!,מלאי!C304)))),1,0)</f>
        <v>#REF!</v>
      </c>
      <c r="AE304" t="e">
        <f>IF(AND(מלאי!D304&lt;&gt;"",OR(#REF!="הכל",מלאי!Z304=#REF!,מלאי!AA304=#REF!,מלאי!AB304=#REF!,מלאי!AC304=#REF!),OR(#REF!="הכל",מלאי!A304=#REF!),OR(#REF!="הכל",מלאי!B304=#REF!),OR(#REF!="הכל",מלאי!F304=#REF!,מלאי!G304=#REF!),OR(#REF!="הכל",מלאי!T304=#REF!),OR(#REF!="הכל",מלאי!Q304=#REF!),OR(#REF!="הכל",מלאי!J304=#REF!),OR(#REF!="הכל",מלאי!L304=#REF!),OR(#REF!="הכל",מלאי!O304=#REF!),OR(#REF!="הכל",מלאי!R304=#REF!),OR(#REF!="הכל",#REF!="",מלאי!W304=#REF!),OR(#REF!="הכל",#REF!="",ISNUMBER(SEARCH(#REF!,מלאי!C304))),OR(#REF!="הכל",מלאי!#REF!=#REF!)),1,0)</f>
        <v>#REF!</v>
      </c>
      <c r="AF304" t="e">
        <f>IF(AD304=1,COUNTIF($AD$3:$AD304,1),"")</f>
        <v>#REF!</v>
      </c>
      <c r="AG304" t="e">
        <f>IF(AE304=1,COUNTIF($AE$3:$AE304,1),"")</f>
        <v>#REF!</v>
      </c>
    </row>
    <row r="305" spans="1:33" ht="15" hidden="1" customHeight="1" x14ac:dyDescent="0.35">
      <c r="A305" s="4"/>
      <c r="B305" s="4"/>
      <c r="C305" s="4"/>
      <c r="D305" s="4"/>
      <c r="E305" s="4" t="str">
        <f>IFERROR(INDEX(הגדרות!$I$2:$I$47,MATCH(B305,הגדרות!$H$2:$H$47,0)),"")</f>
        <v/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t="str">
        <f>IFERROR(INDEX(הגדרות!$B$2:$B$17,MATCH(H305,הגדרות!$A$2:$A$17,0)),"")</f>
        <v/>
      </c>
      <c r="AA305" t="str">
        <f>IFERROR(INDEX(הגדרות!$C$2:$C$17,MATCH(H305,הגדרות!$A$2:$A$17,0)),"")</f>
        <v/>
      </c>
      <c r="AB305" t="str">
        <f>IFERROR(INDEX(הגדרות!$B$2:$B$17,MATCH(I305,הגדרות!$A$2:$A$17,0)),"")</f>
        <v/>
      </c>
      <c r="AC305" t="str">
        <f>IFERROR(INDEX(הגדרות!$C$2:$C$17,MATCH(I305,הגדרות!$A$2:$A$17,0)),"")</f>
        <v/>
      </c>
      <c r="AD305" t="e">
        <f>IF(AND(מלאי!D305&lt;&gt;"",OR(#REF!="הכל",מלאי!Z305=#REF!,מלאי!AA305=#REF!,מלאי!AB305=#REF!,מלאי!AC305=#REF!),OR(#REF!="הכל",מלאי!A305=#REF!),OR(#REF!="הכל",מלאי!B305=#REF!),OR(#REF!="הכל",מלאי!F305=#REF!,מלאי!G305=#REF!),OR(#REF!="הכל",מלאי!T305=#REF!),OR(#REF!="הכל",מלאי!Q305=#REF!),OR(#REF!="הכל",מלאי!J305=#REF!),OR(#REF!="הכל",מלאי!L305=#REF!),OR(#REF!="הכל",מלאי!O305=#REF!),OR(#REF!="הכל",מלאי!R305=#REF!),OR(#REF!="הכל",#REF!="",מלאי!W305=#REF!),OR(#REF!="הכל",#REF!="",ISNUMBER(SEARCH(#REF!,מלאי!C305)))),1,0)</f>
        <v>#REF!</v>
      </c>
      <c r="AE305" t="e">
        <f>IF(AND(מלאי!D305&lt;&gt;"",OR(#REF!="הכל",מלאי!Z305=#REF!,מלאי!AA305=#REF!,מלאי!AB305=#REF!,מלאי!AC305=#REF!),OR(#REF!="הכל",מלאי!A305=#REF!),OR(#REF!="הכל",מלאי!B305=#REF!),OR(#REF!="הכל",מלאי!F305=#REF!,מלאי!G305=#REF!),OR(#REF!="הכל",מלאי!T305=#REF!),OR(#REF!="הכל",מלאי!Q305=#REF!),OR(#REF!="הכל",מלאי!J305=#REF!),OR(#REF!="הכל",מלאי!L305=#REF!),OR(#REF!="הכל",מלאי!O305=#REF!),OR(#REF!="הכל",מלאי!R305=#REF!),OR(#REF!="הכל",#REF!="",מלאי!W305=#REF!),OR(#REF!="הכל",#REF!="",ISNUMBER(SEARCH(#REF!,מלאי!C305))),OR(#REF!="הכל",מלאי!#REF!=#REF!)),1,0)</f>
        <v>#REF!</v>
      </c>
      <c r="AF305" t="e">
        <f>IF(AD305=1,COUNTIF($AD$3:$AD305,1),"")</f>
        <v>#REF!</v>
      </c>
      <c r="AG305" t="e">
        <f>IF(AE305=1,COUNTIF($AE$3:$AE305,1),"")</f>
        <v>#REF!</v>
      </c>
    </row>
    <row r="306" spans="1:33" ht="15" hidden="1" customHeight="1" x14ac:dyDescent="0.35">
      <c r="A306" s="5"/>
      <c r="B306" s="5"/>
      <c r="C306" s="5"/>
      <c r="D306" s="5"/>
      <c r="E306" s="5" t="str">
        <f>IFERROR(INDEX(הגדרות!$I$2:$I$47,MATCH(B306,הגדרות!$H$2:$H$47,0)),"")</f>
        <v/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t="str">
        <f>IFERROR(INDEX(הגדרות!$B$2:$B$17,MATCH(H306,הגדרות!$A$2:$A$17,0)),"")</f>
        <v/>
      </c>
      <c r="AA306" t="str">
        <f>IFERROR(INDEX(הגדרות!$C$2:$C$17,MATCH(H306,הגדרות!$A$2:$A$17,0)),"")</f>
        <v/>
      </c>
      <c r="AB306" t="str">
        <f>IFERROR(INDEX(הגדרות!$B$2:$B$17,MATCH(I306,הגדרות!$A$2:$A$17,0)),"")</f>
        <v/>
      </c>
      <c r="AC306" t="str">
        <f>IFERROR(INDEX(הגדרות!$C$2:$C$17,MATCH(I306,הגדרות!$A$2:$A$17,0)),"")</f>
        <v/>
      </c>
      <c r="AD306" t="e">
        <f>IF(AND(מלאי!D306&lt;&gt;"",OR(#REF!="הכל",מלאי!Z306=#REF!,מלאי!AA306=#REF!,מלאי!AB306=#REF!,מלאי!AC306=#REF!),OR(#REF!="הכל",מלאי!A306=#REF!),OR(#REF!="הכל",מלאי!B306=#REF!),OR(#REF!="הכל",מלאי!F306=#REF!,מלאי!G306=#REF!),OR(#REF!="הכל",מלאי!T306=#REF!),OR(#REF!="הכל",מלאי!Q306=#REF!),OR(#REF!="הכל",מלאי!J306=#REF!),OR(#REF!="הכל",מלאי!L306=#REF!),OR(#REF!="הכל",מלאי!O306=#REF!),OR(#REF!="הכל",מלאי!R306=#REF!),OR(#REF!="הכל",#REF!="",מלאי!W306=#REF!),OR(#REF!="הכל",#REF!="",ISNUMBER(SEARCH(#REF!,מלאי!C306)))),1,0)</f>
        <v>#REF!</v>
      </c>
      <c r="AE306" t="e">
        <f>IF(AND(מלאי!D306&lt;&gt;"",OR(#REF!="הכל",מלאי!Z306=#REF!,מלאי!AA306=#REF!,מלאי!AB306=#REF!,מלאי!AC306=#REF!),OR(#REF!="הכל",מלאי!A306=#REF!),OR(#REF!="הכל",מלאי!B306=#REF!),OR(#REF!="הכל",מלאי!F306=#REF!,מלאי!G306=#REF!),OR(#REF!="הכל",מלאי!T306=#REF!),OR(#REF!="הכל",מלאי!Q306=#REF!),OR(#REF!="הכל",מלאי!J306=#REF!),OR(#REF!="הכל",מלאי!L306=#REF!),OR(#REF!="הכל",מלאי!O306=#REF!),OR(#REF!="הכל",מלאי!R306=#REF!),OR(#REF!="הכל",#REF!="",מלאי!W306=#REF!),OR(#REF!="הכל",#REF!="",ISNUMBER(SEARCH(#REF!,מלאי!C306))),OR(#REF!="הכל",מלאי!#REF!=#REF!)),1,0)</f>
        <v>#REF!</v>
      </c>
      <c r="AF306" t="e">
        <f>IF(AD306=1,COUNTIF($AD$3:$AD306,1),"")</f>
        <v>#REF!</v>
      </c>
      <c r="AG306" t="e">
        <f>IF(AE306=1,COUNTIF($AE$3:$AE306,1),"")</f>
        <v>#REF!</v>
      </c>
    </row>
    <row r="307" spans="1:33" ht="15" hidden="1" customHeight="1" x14ac:dyDescent="0.35">
      <c r="A307" s="4"/>
      <c r="B307" s="4"/>
      <c r="C307" s="4"/>
      <c r="D307" s="4"/>
      <c r="E307" s="4" t="str">
        <f>IFERROR(INDEX(הגדרות!$I$2:$I$47,MATCH(B307,הגדרות!$H$2:$H$47,0)),"")</f>
        <v/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t="str">
        <f>IFERROR(INDEX(הגדרות!$B$2:$B$17,MATCH(H307,הגדרות!$A$2:$A$17,0)),"")</f>
        <v/>
      </c>
      <c r="AA307" t="str">
        <f>IFERROR(INDEX(הגדרות!$C$2:$C$17,MATCH(H307,הגדרות!$A$2:$A$17,0)),"")</f>
        <v/>
      </c>
      <c r="AB307" t="str">
        <f>IFERROR(INDEX(הגדרות!$B$2:$B$17,MATCH(I307,הגדרות!$A$2:$A$17,0)),"")</f>
        <v/>
      </c>
      <c r="AC307" t="str">
        <f>IFERROR(INDEX(הגדרות!$C$2:$C$17,MATCH(I307,הגדרות!$A$2:$A$17,0)),"")</f>
        <v/>
      </c>
      <c r="AD307" t="e">
        <f>IF(AND(מלאי!D307&lt;&gt;"",OR(#REF!="הכל",מלאי!Z307=#REF!,מלאי!AA307=#REF!,מלאי!AB307=#REF!,מלאי!AC307=#REF!),OR(#REF!="הכל",מלאי!A307=#REF!),OR(#REF!="הכל",מלאי!B307=#REF!),OR(#REF!="הכל",מלאי!F307=#REF!,מלאי!G307=#REF!),OR(#REF!="הכל",מלאי!T307=#REF!),OR(#REF!="הכל",מלאי!Q307=#REF!),OR(#REF!="הכל",מלאי!J307=#REF!),OR(#REF!="הכל",מלאי!L307=#REF!),OR(#REF!="הכל",מלאי!O307=#REF!),OR(#REF!="הכל",מלאי!R307=#REF!),OR(#REF!="הכל",#REF!="",מלאי!W307=#REF!),OR(#REF!="הכל",#REF!="",ISNUMBER(SEARCH(#REF!,מלאי!C307)))),1,0)</f>
        <v>#REF!</v>
      </c>
      <c r="AE307" t="e">
        <f>IF(AND(מלאי!D307&lt;&gt;"",OR(#REF!="הכל",מלאי!Z307=#REF!,מלאי!AA307=#REF!,מלאי!AB307=#REF!,מלאי!AC307=#REF!),OR(#REF!="הכל",מלאי!A307=#REF!),OR(#REF!="הכל",מלאי!B307=#REF!),OR(#REF!="הכל",מלאי!F307=#REF!,מלאי!G307=#REF!),OR(#REF!="הכל",מלאי!T307=#REF!),OR(#REF!="הכל",מלאי!Q307=#REF!),OR(#REF!="הכל",מלאי!J307=#REF!),OR(#REF!="הכל",מלאי!L307=#REF!),OR(#REF!="הכל",מלאי!O307=#REF!),OR(#REF!="הכל",מלאי!R307=#REF!),OR(#REF!="הכל",#REF!="",מלאי!W307=#REF!),OR(#REF!="הכל",#REF!="",ISNUMBER(SEARCH(#REF!,מלאי!C307))),OR(#REF!="הכל",מלאי!#REF!=#REF!)),1,0)</f>
        <v>#REF!</v>
      </c>
      <c r="AF307" t="e">
        <f>IF(AD307=1,COUNTIF($AD$3:$AD307,1),"")</f>
        <v>#REF!</v>
      </c>
      <c r="AG307" t="e">
        <f>IF(AE307=1,COUNTIF($AE$3:$AE307,1),"")</f>
        <v>#REF!</v>
      </c>
    </row>
    <row r="308" spans="1:33" ht="15" hidden="1" customHeight="1" x14ac:dyDescent="0.35">
      <c r="A308" s="5"/>
      <c r="B308" s="5"/>
      <c r="C308" s="5"/>
      <c r="D308" s="5"/>
      <c r="E308" s="5" t="str">
        <f>IFERROR(INDEX(הגדרות!$I$2:$I$47,MATCH(B308,הגדרות!$H$2:$H$47,0)),"")</f>
        <v/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t="str">
        <f>IFERROR(INDEX(הגדרות!$B$2:$B$17,MATCH(H308,הגדרות!$A$2:$A$17,0)),"")</f>
        <v/>
      </c>
      <c r="AA308" t="str">
        <f>IFERROR(INDEX(הגדרות!$C$2:$C$17,MATCH(H308,הגדרות!$A$2:$A$17,0)),"")</f>
        <v/>
      </c>
      <c r="AB308" t="str">
        <f>IFERROR(INDEX(הגדרות!$B$2:$B$17,MATCH(I308,הגדרות!$A$2:$A$17,0)),"")</f>
        <v/>
      </c>
      <c r="AC308" t="str">
        <f>IFERROR(INDEX(הגדרות!$C$2:$C$17,MATCH(I308,הגדרות!$A$2:$A$17,0)),"")</f>
        <v/>
      </c>
      <c r="AD308" t="e">
        <f>IF(AND(מלאי!D308&lt;&gt;"",OR(#REF!="הכל",מלאי!Z308=#REF!,מלאי!AA308=#REF!,מלאי!AB308=#REF!,מלאי!AC308=#REF!),OR(#REF!="הכל",מלאי!A308=#REF!),OR(#REF!="הכל",מלאי!B308=#REF!),OR(#REF!="הכל",מלאי!F308=#REF!,מלאי!G308=#REF!),OR(#REF!="הכל",מלאי!T308=#REF!),OR(#REF!="הכל",מלאי!Q308=#REF!),OR(#REF!="הכל",מלאי!J308=#REF!),OR(#REF!="הכל",מלאי!L308=#REF!),OR(#REF!="הכל",מלאי!O308=#REF!),OR(#REF!="הכל",מלאי!R308=#REF!),OR(#REF!="הכל",#REF!="",מלאי!W308=#REF!),OR(#REF!="הכל",#REF!="",ISNUMBER(SEARCH(#REF!,מלאי!C308)))),1,0)</f>
        <v>#REF!</v>
      </c>
      <c r="AE308" t="e">
        <f>IF(AND(מלאי!D308&lt;&gt;"",OR(#REF!="הכל",מלאי!Z308=#REF!,מלאי!AA308=#REF!,מלאי!AB308=#REF!,מלאי!AC308=#REF!),OR(#REF!="הכל",מלאי!A308=#REF!),OR(#REF!="הכל",מלאי!B308=#REF!),OR(#REF!="הכל",מלאי!F308=#REF!,מלאי!G308=#REF!),OR(#REF!="הכל",מלאי!T308=#REF!),OR(#REF!="הכל",מלאי!Q308=#REF!),OR(#REF!="הכל",מלאי!J308=#REF!),OR(#REF!="הכל",מלאי!L308=#REF!),OR(#REF!="הכל",מלאי!O308=#REF!),OR(#REF!="הכל",מלאי!R308=#REF!),OR(#REF!="הכל",#REF!="",מלאי!W308=#REF!),OR(#REF!="הכל",#REF!="",ISNUMBER(SEARCH(#REF!,מלאי!C308))),OR(#REF!="הכל",מלאי!#REF!=#REF!)),1,0)</f>
        <v>#REF!</v>
      </c>
      <c r="AF308" t="e">
        <f>IF(AD308=1,COUNTIF($AD$3:$AD308,1),"")</f>
        <v>#REF!</v>
      </c>
      <c r="AG308" t="e">
        <f>IF(AE308=1,COUNTIF($AE$3:$AE308,1),"")</f>
        <v>#REF!</v>
      </c>
    </row>
    <row r="309" spans="1:33" ht="15" hidden="1" customHeight="1" x14ac:dyDescent="0.35">
      <c r="A309" s="4"/>
      <c r="B309" s="4"/>
      <c r="C309" s="4"/>
      <c r="D309" s="4"/>
      <c r="E309" s="4" t="str">
        <f>IFERROR(INDEX(הגדרות!$I$2:$I$47,MATCH(B309,הגדרות!$H$2:$H$47,0)),"")</f>
        <v/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t="str">
        <f>IFERROR(INDEX(הגדרות!$B$2:$B$17,MATCH(H309,הגדרות!$A$2:$A$17,0)),"")</f>
        <v/>
      </c>
      <c r="AA309" t="str">
        <f>IFERROR(INDEX(הגדרות!$C$2:$C$17,MATCH(H309,הגדרות!$A$2:$A$17,0)),"")</f>
        <v/>
      </c>
      <c r="AB309" t="str">
        <f>IFERROR(INDEX(הגדרות!$B$2:$B$17,MATCH(I309,הגדרות!$A$2:$A$17,0)),"")</f>
        <v/>
      </c>
      <c r="AC309" t="str">
        <f>IFERROR(INDEX(הגדרות!$C$2:$C$17,MATCH(I309,הגדרות!$A$2:$A$17,0)),"")</f>
        <v/>
      </c>
      <c r="AD309" t="e">
        <f>IF(AND(מלאי!D309&lt;&gt;"",OR(#REF!="הכל",מלאי!Z309=#REF!,מלאי!AA309=#REF!,מלאי!AB309=#REF!,מלאי!AC309=#REF!),OR(#REF!="הכל",מלאי!A309=#REF!),OR(#REF!="הכל",מלאי!B309=#REF!),OR(#REF!="הכל",מלאי!F309=#REF!,מלאי!G309=#REF!),OR(#REF!="הכל",מלאי!T309=#REF!),OR(#REF!="הכל",מלאי!Q309=#REF!),OR(#REF!="הכל",מלאי!J309=#REF!),OR(#REF!="הכל",מלאי!L309=#REF!),OR(#REF!="הכל",מלאי!O309=#REF!),OR(#REF!="הכל",מלאי!R309=#REF!),OR(#REF!="הכל",#REF!="",מלאי!W309=#REF!),OR(#REF!="הכל",#REF!="",ISNUMBER(SEARCH(#REF!,מלאי!C309)))),1,0)</f>
        <v>#REF!</v>
      </c>
      <c r="AE309" t="e">
        <f>IF(AND(מלאי!D309&lt;&gt;"",OR(#REF!="הכל",מלאי!Z309=#REF!,מלאי!AA309=#REF!,מלאי!AB309=#REF!,מלאי!AC309=#REF!),OR(#REF!="הכל",מלאי!A309=#REF!),OR(#REF!="הכל",מלאי!B309=#REF!),OR(#REF!="הכל",מלאי!F309=#REF!,מלאי!G309=#REF!),OR(#REF!="הכל",מלאי!T309=#REF!),OR(#REF!="הכל",מלאי!Q309=#REF!),OR(#REF!="הכל",מלאי!J309=#REF!),OR(#REF!="הכל",מלאי!L309=#REF!),OR(#REF!="הכל",מלאי!O309=#REF!),OR(#REF!="הכל",מלאי!R309=#REF!),OR(#REF!="הכל",#REF!="",מלאי!W309=#REF!),OR(#REF!="הכל",#REF!="",ISNUMBER(SEARCH(#REF!,מלאי!C309))),OR(#REF!="הכל",מלאי!#REF!=#REF!)),1,0)</f>
        <v>#REF!</v>
      </c>
      <c r="AF309" t="e">
        <f>IF(AD309=1,COUNTIF($AD$3:$AD309,1),"")</f>
        <v>#REF!</v>
      </c>
      <c r="AG309" t="e">
        <f>IF(AE309=1,COUNTIF($AE$3:$AE309,1),"")</f>
        <v>#REF!</v>
      </c>
    </row>
    <row r="310" spans="1:33" ht="15" hidden="1" customHeight="1" x14ac:dyDescent="0.35">
      <c r="A310" s="5"/>
      <c r="B310" s="5"/>
      <c r="C310" s="5"/>
      <c r="D310" s="5"/>
      <c r="E310" s="5" t="str">
        <f>IFERROR(INDEX(הגדרות!$I$2:$I$47,MATCH(B310,הגדרות!$H$2:$H$47,0)),"")</f>
        <v/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t="str">
        <f>IFERROR(INDEX(הגדרות!$B$2:$B$17,MATCH(H310,הגדרות!$A$2:$A$17,0)),"")</f>
        <v/>
      </c>
      <c r="AA310" t="str">
        <f>IFERROR(INDEX(הגדרות!$C$2:$C$17,MATCH(H310,הגדרות!$A$2:$A$17,0)),"")</f>
        <v/>
      </c>
      <c r="AB310" t="str">
        <f>IFERROR(INDEX(הגדרות!$B$2:$B$17,MATCH(I310,הגדרות!$A$2:$A$17,0)),"")</f>
        <v/>
      </c>
      <c r="AC310" t="str">
        <f>IFERROR(INDEX(הגדרות!$C$2:$C$17,MATCH(I310,הגדרות!$A$2:$A$17,0)),"")</f>
        <v/>
      </c>
      <c r="AD310" t="e">
        <f>IF(AND(מלאי!D310&lt;&gt;"",OR(#REF!="הכל",מלאי!Z310=#REF!,מלאי!AA310=#REF!,מלאי!AB310=#REF!,מלאי!AC310=#REF!),OR(#REF!="הכל",מלאי!A310=#REF!),OR(#REF!="הכל",מלאי!B310=#REF!),OR(#REF!="הכל",מלאי!F310=#REF!,מלאי!G310=#REF!),OR(#REF!="הכל",מלאי!T310=#REF!),OR(#REF!="הכל",מלאי!Q310=#REF!),OR(#REF!="הכל",מלאי!J310=#REF!),OR(#REF!="הכל",מלאי!L310=#REF!),OR(#REF!="הכל",מלאי!O310=#REF!),OR(#REF!="הכל",מלאי!R310=#REF!),OR(#REF!="הכל",#REF!="",מלאי!W310=#REF!),OR(#REF!="הכל",#REF!="",ISNUMBER(SEARCH(#REF!,מלאי!C310)))),1,0)</f>
        <v>#REF!</v>
      </c>
      <c r="AE310" t="e">
        <f>IF(AND(מלאי!D310&lt;&gt;"",OR(#REF!="הכל",מלאי!Z310=#REF!,מלאי!AA310=#REF!,מלאי!AB310=#REF!,מלאי!AC310=#REF!),OR(#REF!="הכל",מלאי!A310=#REF!),OR(#REF!="הכל",מלאי!B310=#REF!),OR(#REF!="הכל",מלאי!F310=#REF!,מלאי!G310=#REF!),OR(#REF!="הכל",מלאי!T310=#REF!),OR(#REF!="הכל",מלאי!Q310=#REF!),OR(#REF!="הכל",מלאי!J310=#REF!),OR(#REF!="הכל",מלאי!L310=#REF!),OR(#REF!="הכל",מלאי!O310=#REF!),OR(#REF!="הכל",מלאי!R310=#REF!),OR(#REF!="הכל",#REF!="",מלאי!W310=#REF!),OR(#REF!="הכל",#REF!="",ISNUMBER(SEARCH(#REF!,מלאי!C310))),OR(#REF!="הכל",מלאי!#REF!=#REF!)),1,0)</f>
        <v>#REF!</v>
      </c>
      <c r="AF310" t="e">
        <f>IF(AD310=1,COUNTIF($AD$3:$AD310,1),"")</f>
        <v>#REF!</v>
      </c>
      <c r="AG310" t="e">
        <f>IF(AE310=1,COUNTIF($AE$3:$AE310,1),"")</f>
        <v>#REF!</v>
      </c>
    </row>
    <row r="311" spans="1:33" ht="15" hidden="1" customHeight="1" x14ac:dyDescent="0.35">
      <c r="A311" s="4"/>
      <c r="B311" s="4"/>
      <c r="C311" s="4"/>
      <c r="D311" s="4"/>
      <c r="E311" s="4" t="str">
        <f>IFERROR(INDEX(הגדרות!$I$2:$I$47,MATCH(B311,הגדרות!$H$2:$H$47,0)),"")</f>
        <v/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t="str">
        <f>IFERROR(INDEX(הגדרות!$B$2:$B$17,MATCH(H311,הגדרות!$A$2:$A$17,0)),"")</f>
        <v/>
      </c>
      <c r="AA311" t="str">
        <f>IFERROR(INDEX(הגדרות!$C$2:$C$17,MATCH(H311,הגדרות!$A$2:$A$17,0)),"")</f>
        <v/>
      </c>
      <c r="AB311" t="str">
        <f>IFERROR(INDEX(הגדרות!$B$2:$B$17,MATCH(I311,הגדרות!$A$2:$A$17,0)),"")</f>
        <v/>
      </c>
      <c r="AC311" t="str">
        <f>IFERROR(INDEX(הגדרות!$C$2:$C$17,MATCH(I311,הגדרות!$A$2:$A$17,0)),"")</f>
        <v/>
      </c>
      <c r="AD311" t="e">
        <f>IF(AND(מלאי!D311&lt;&gt;"",OR(#REF!="הכל",מלאי!Z311=#REF!,מלאי!AA311=#REF!,מלאי!AB311=#REF!,מלאי!AC311=#REF!),OR(#REF!="הכל",מלאי!A311=#REF!),OR(#REF!="הכל",מלאי!B311=#REF!),OR(#REF!="הכל",מלאי!F311=#REF!,מלאי!G311=#REF!),OR(#REF!="הכל",מלאי!T311=#REF!),OR(#REF!="הכל",מלאי!Q311=#REF!),OR(#REF!="הכל",מלאי!J311=#REF!),OR(#REF!="הכל",מלאי!L311=#REF!),OR(#REF!="הכל",מלאי!O311=#REF!),OR(#REF!="הכל",מלאי!R311=#REF!),OR(#REF!="הכל",#REF!="",מלאי!W311=#REF!),OR(#REF!="הכל",#REF!="",ISNUMBER(SEARCH(#REF!,מלאי!C311)))),1,0)</f>
        <v>#REF!</v>
      </c>
      <c r="AE311" t="e">
        <f>IF(AND(מלאי!D311&lt;&gt;"",OR(#REF!="הכל",מלאי!Z311=#REF!,מלאי!AA311=#REF!,מלאי!AB311=#REF!,מלאי!AC311=#REF!),OR(#REF!="הכל",מלאי!A311=#REF!),OR(#REF!="הכל",מלאי!B311=#REF!),OR(#REF!="הכל",מלאי!F311=#REF!,מלאי!G311=#REF!),OR(#REF!="הכל",מלאי!T311=#REF!),OR(#REF!="הכל",מלאי!Q311=#REF!),OR(#REF!="הכל",מלאי!J311=#REF!),OR(#REF!="הכל",מלאי!L311=#REF!),OR(#REF!="הכל",מלאי!O311=#REF!),OR(#REF!="הכל",מלאי!R311=#REF!),OR(#REF!="הכל",#REF!="",מלאי!W311=#REF!),OR(#REF!="הכל",#REF!="",ISNUMBER(SEARCH(#REF!,מלאי!C311))),OR(#REF!="הכל",מלאי!#REF!=#REF!)),1,0)</f>
        <v>#REF!</v>
      </c>
      <c r="AF311" t="e">
        <f>IF(AD311=1,COUNTIF($AD$3:$AD311,1),"")</f>
        <v>#REF!</v>
      </c>
      <c r="AG311" t="e">
        <f>IF(AE311=1,COUNTIF($AE$3:$AE311,1),"")</f>
        <v>#REF!</v>
      </c>
    </row>
    <row r="312" spans="1:33" ht="15" hidden="1" customHeight="1" x14ac:dyDescent="0.35">
      <c r="A312" s="5"/>
      <c r="B312" s="5"/>
      <c r="C312" s="5"/>
      <c r="D312" s="5"/>
      <c r="E312" s="5" t="str">
        <f>IFERROR(INDEX(הגדרות!$I$2:$I$47,MATCH(B312,הגדרות!$H$2:$H$47,0)),"")</f>
        <v/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t="str">
        <f>IFERROR(INDEX(הגדרות!$B$2:$B$17,MATCH(H312,הגדרות!$A$2:$A$17,0)),"")</f>
        <v/>
      </c>
      <c r="AA312" t="str">
        <f>IFERROR(INDEX(הגדרות!$C$2:$C$17,MATCH(H312,הגדרות!$A$2:$A$17,0)),"")</f>
        <v/>
      </c>
      <c r="AB312" t="str">
        <f>IFERROR(INDEX(הגדרות!$B$2:$B$17,MATCH(I312,הגדרות!$A$2:$A$17,0)),"")</f>
        <v/>
      </c>
      <c r="AC312" t="str">
        <f>IFERROR(INDEX(הגדרות!$C$2:$C$17,MATCH(I312,הגדרות!$A$2:$A$17,0)),"")</f>
        <v/>
      </c>
      <c r="AD312" t="e">
        <f>IF(AND(מלאי!D312&lt;&gt;"",OR(#REF!="הכל",מלאי!Z312=#REF!,מלאי!AA312=#REF!,מלאי!AB312=#REF!,מלאי!AC312=#REF!),OR(#REF!="הכל",מלאי!A312=#REF!),OR(#REF!="הכל",מלאי!B312=#REF!),OR(#REF!="הכל",מלאי!F312=#REF!,מלאי!G312=#REF!),OR(#REF!="הכל",מלאי!T312=#REF!),OR(#REF!="הכל",מלאי!Q312=#REF!),OR(#REF!="הכל",מלאי!J312=#REF!),OR(#REF!="הכל",מלאי!L312=#REF!),OR(#REF!="הכל",מלאי!O312=#REF!),OR(#REF!="הכל",מלאי!R312=#REF!),OR(#REF!="הכל",#REF!="",מלאי!W312=#REF!),OR(#REF!="הכל",#REF!="",ISNUMBER(SEARCH(#REF!,מלאי!C312)))),1,0)</f>
        <v>#REF!</v>
      </c>
      <c r="AE312" t="e">
        <f>IF(AND(מלאי!D312&lt;&gt;"",OR(#REF!="הכל",מלאי!Z312=#REF!,מלאי!AA312=#REF!,מלאי!AB312=#REF!,מלאי!AC312=#REF!),OR(#REF!="הכל",מלאי!A312=#REF!),OR(#REF!="הכל",מלאי!B312=#REF!),OR(#REF!="הכל",מלאי!F312=#REF!,מלאי!G312=#REF!),OR(#REF!="הכל",מלאי!T312=#REF!),OR(#REF!="הכל",מלאי!Q312=#REF!),OR(#REF!="הכל",מלאי!J312=#REF!),OR(#REF!="הכל",מלאי!L312=#REF!),OR(#REF!="הכל",מלאי!O312=#REF!),OR(#REF!="הכל",מלאי!R312=#REF!),OR(#REF!="הכל",#REF!="",מלאי!W312=#REF!),OR(#REF!="הכל",#REF!="",ISNUMBER(SEARCH(#REF!,מלאי!C312))),OR(#REF!="הכל",מלאי!#REF!=#REF!)),1,0)</f>
        <v>#REF!</v>
      </c>
      <c r="AF312" t="e">
        <f>IF(AD312=1,COUNTIF($AD$3:$AD312,1),"")</f>
        <v>#REF!</v>
      </c>
      <c r="AG312" t="e">
        <f>IF(AE312=1,COUNTIF($AE$3:$AE312,1),"")</f>
        <v>#REF!</v>
      </c>
    </row>
    <row r="313" spans="1:33" ht="15" hidden="1" customHeight="1" x14ac:dyDescent="0.35">
      <c r="A313" s="4"/>
      <c r="B313" s="4"/>
      <c r="C313" s="4"/>
      <c r="D313" s="4"/>
      <c r="E313" s="4" t="str">
        <f>IFERROR(INDEX(הגדרות!$I$2:$I$47,MATCH(B313,הגדרות!$H$2:$H$47,0)),"")</f>
        <v/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t="str">
        <f>IFERROR(INDEX(הגדרות!$B$2:$B$17,MATCH(H313,הגדרות!$A$2:$A$17,0)),"")</f>
        <v/>
      </c>
      <c r="AA313" t="str">
        <f>IFERROR(INDEX(הגדרות!$C$2:$C$17,MATCH(H313,הגדרות!$A$2:$A$17,0)),"")</f>
        <v/>
      </c>
      <c r="AB313" t="str">
        <f>IFERROR(INDEX(הגדרות!$B$2:$B$17,MATCH(I313,הגדרות!$A$2:$A$17,0)),"")</f>
        <v/>
      </c>
      <c r="AC313" t="str">
        <f>IFERROR(INDEX(הגדרות!$C$2:$C$17,MATCH(I313,הגדרות!$A$2:$A$17,0)),"")</f>
        <v/>
      </c>
      <c r="AD313" t="e">
        <f>IF(AND(מלאי!D313&lt;&gt;"",OR(#REF!="הכל",מלאי!Z313=#REF!,מלאי!AA313=#REF!,מלאי!AB313=#REF!,מלאי!AC313=#REF!),OR(#REF!="הכל",מלאי!A313=#REF!),OR(#REF!="הכל",מלאי!B313=#REF!),OR(#REF!="הכל",מלאי!F313=#REF!,מלאי!G313=#REF!),OR(#REF!="הכל",מלאי!T313=#REF!),OR(#REF!="הכל",מלאי!Q313=#REF!),OR(#REF!="הכל",מלאי!J313=#REF!),OR(#REF!="הכל",מלאי!L313=#REF!),OR(#REF!="הכל",מלאי!O313=#REF!),OR(#REF!="הכל",מלאי!R313=#REF!),OR(#REF!="הכל",#REF!="",מלאי!W313=#REF!),OR(#REF!="הכל",#REF!="",ISNUMBER(SEARCH(#REF!,מלאי!C313)))),1,0)</f>
        <v>#REF!</v>
      </c>
      <c r="AE313" t="e">
        <f>IF(AND(מלאי!D313&lt;&gt;"",OR(#REF!="הכל",מלאי!Z313=#REF!,מלאי!AA313=#REF!,מלאי!AB313=#REF!,מלאי!AC313=#REF!),OR(#REF!="הכל",מלאי!A313=#REF!),OR(#REF!="הכל",מלאי!B313=#REF!),OR(#REF!="הכל",מלאי!F313=#REF!,מלאי!G313=#REF!),OR(#REF!="הכל",מלאי!T313=#REF!),OR(#REF!="הכל",מלאי!Q313=#REF!),OR(#REF!="הכל",מלאי!J313=#REF!),OR(#REF!="הכל",מלאי!L313=#REF!),OR(#REF!="הכל",מלאי!O313=#REF!),OR(#REF!="הכל",מלאי!R313=#REF!),OR(#REF!="הכל",#REF!="",מלאי!W313=#REF!),OR(#REF!="הכל",#REF!="",ISNUMBER(SEARCH(#REF!,מלאי!C313))),OR(#REF!="הכל",מלאי!#REF!=#REF!)),1,0)</f>
        <v>#REF!</v>
      </c>
      <c r="AF313" t="e">
        <f>IF(AD313=1,COUNTIF($AD$3:$AD313,1),"")</f>
        <v>#REF!</v>
      </c>
      <c r="AG313" t="e">
        <f>IF(AE313=1,COUNTIF($AE$3:$AE313,1),"")</f>
        <v>#REF!</v>
      </c>
    </row>
    <row r="314" spans="1:33" ht="15" hidden="1" customHeight="1" x14ac:dyDescent="0.35">
      <c r="A314" s="5"/>
      <c r="B314" s="5"/>
      <c r="C314" s="5"/>
      <c r="D314" s="5"/>
      <c r="E314" s="5" t="str">
        <f>IFERROR(INDEX(הגדרות!$I$2:$I$47,MATCH(B314,הגדרות!$H$2:$H$47,0)),"")</f>
        <v/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t="str">
        <f>IFERROR(INDEX(הגדרות!$B$2:$B$17,MATCH(H314,הגדרות!$A$2:$A$17,0)),"")</f>
        <v/>
      </c>
      <c r="AA314" t="str">
        <f>IFERROR(INDEX(הגדרות!$C$2:$C$17,MATCH(H314,הגדרות!$A$2:$A$17,0)),"")</f>
        <v/>
      </c>
      <c r="AB314" t="str">
        <f>IFERROR(INDEX(הגדרות!$B$2:$B$17,MATCH(I314,הגדרות!$A$2:$A$17,0)),"")</f>
        <v/>
      </c>
      <c r="AC314" t="str">
        <f>IFERROR(INDEX(הגדרות!$C$2:$C$17,MATCH(I314,הגדרות!$A$2:$A$17,0)),"")</f>
        <v/>
      </c>
      <c r="AD314" t="e">
        <f>IF(AND(מלאי!D314&lt;&gt;"",OR(#REF!="הכל",מלאי!Z314=#REF!,מלאי!AA314=#REF!,מלאי!AB314=#REF!,מלאי!AC314=#REF!),OR(#REF!="הכל",מלאי!A314=#REF!),OR(#REF!="הכל",מלאי!B314=#REF!),OR(#REF!="הכל",מלאי!F314=#REF!,מלאי!G314=#REF!),OR(#REF!="הכל",מלאי!T314=#REF!),OR(#REF!="הכל",מלאי!Q314=#REF!),OR(#REF!="הכל",מלאי!J314=#REF!),OR(#REF!="הכל",מלאי!L314=#REF!),OR(#REF!="הכל",מלאי!O314=#REF!),OR(#REF!="הכל",מלאי!R314=#REF!),OR(#REF!="הכל",#REF!="",מלאי!W314=#REF!),OR(#REF!="הכל",#REF!="",ISNUMBER(SEARCH(#REF!,מלאי!C314)))),1,0)</f>
        <v>#REF!</v>
      </c>
      <c r="AE314" t="e">
        <f>IF(AND(מלאי!D314&lt;&gt;"",OR(#REF!="הכל",מלאי!Z314=#REF!,מלאי!AA314=#REF!,מלאי!AB314=#REF!,מלאי!AC314=#REF!),OR(#REF!="הכל",מלאי!A314=#REF!),OR(#REF!="הכל",מלאי!B314=#REF!),OR(#REF!="הכל",מלאי!F314=#REF!,מלאי!G314=#REF!),OR(#REF!="הכל",מלאי!T314=#REF!),OR(#REF!="הכל",מלאי!Q314=#REF!),OR(#REF!="הכל",מלאי!J314=#REF!),OR(#REF!="הכל",מלאי!L314=#REF!),OR(#REF!="הכל",מלאי!O314=#REF!),OR(#REF!="הכל",מלאי!R314=#REF!),OR(#REF!="הכל",#REF!="",מלאי!W314=#REF!),OR(#REF!="הכל",#REF!="",ISNUMBER(SEARCH(#REF!,מלאי!C314))),OR(#REF!="הכל",מלאי!#REF!=#REF!)),1,0)</f>
        <v>#REF!</v>
      </c>
      <c r="AF314" t="e">
        <f>IF(AD314=1,COUNTIF($AD$3:$AD314,1),"")</f>
        <v>#REF!</v>
      </c>
      <c r="AG314" t="e">
        <f>IF(AE314=1,COUNTIF($AE$3:$AE314,1),"")</f>
        <v>#REF!</v>
      </c>
    </row>
    <row r="315" spans="1:33" ht="15" hidden="1" customHeight="1" x14ac:dyDescent="0.35">
      <c r="A315" s="4"/>
      <c r="B315" s="4"/>
      <c r="C315" s="4"/>
      <c r="D315" s="4"/>
      <c r="E315" s="4" t="str">
        <f>IFERROR(INDEX(הגדרות!$I$2:$I$47,MATCH(B315,הגדרות!$H$2:$H$47,0)),"")</f>
        <v/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t="str">
        <f>IFERROR(INDEX(הגדרות!$B$2:$B$17,MATCH(H315,הגדרות!$A$2:$A$17,0)),"")</f>
        <v/>
      </c>
      <c r="AA315" t="str">
        <f>IFERROR(INDEX(הגדרות!$C$2:$C$17,MATCH(H315,הגדרות!$A$2:$A$17,0)),"")</f>
        <v/>
      </c>
      <c r="AB315" t="str">
        <f>IFERROR(INDEX(הגדרות!$B$2:$B$17,MATCH(I315,הגדרות!$A$2:$A$17,0)),"")</f>
        <v/>
      </c>
      <c r="AC315" t="str">
        <f>IFERROR(INDEX(הגדרות!$C$2:$C$17,MATCH(I315,הגדרות!$A$2:$A$17,0)),"")</f>
        <v/>
      </c>
      <c r="AD315" t="e">
        <f>IF(AND(מלאי!D315&lt;&gt;"",OR(#REF!="הכל",מלאי!Z315=#REF!,מלאי!AA315=#REF!,מלאי!AB315=#REF!,מלאי!AC315=#REF!),OR(#REF!="הכל",מלאי!A315=#REF!),OR(#REF!="הכל",מלאי!B315=#REF!),OR(#REF!="הכל",מלאי!F315=#REF!,מלאי!G315=#REF!),OR(#REF!="הכל",מלאי!T315=#REF!),OR(#REF!="הכל",מלאי!Q315=#REF!),OR(#REF!="הכל",מלאי!J315=#REF!),OR(#REF!="הכל",מלאי!L315=#REF!),OR(#REF!="הכל",מלאי!O315=#REF!),OR(#REF!="הכל",מלאי!R315=#REF!),OR(#REF!="הכל",#REF!="",מלאי!W315=#REF!),OR(#REF!="הכל",#REF!="",ISNUMBER(SEARCH(#REF!,מלאי!C315)))),1,0)</f>
        <v>#REF!</v>
      </c>
      <c r="AE315" t="e">
        <f>IF(AND(מלאי!D315&lt;&gt;"",OR(#REF!="הכל",מלאי!Z315=#REF!,מלאי!AA315=#REF!,מלאי!AB315=#REF!,מלאי!AC315=#REF!),OR(#REF!="הכל",מלאי!A315=#REF!),OR(#REF!="הכל",מלאי!B315=#REF!),OR(#REF!="הכל",מלאי!F315=#REF!,מלאי!G315=#REF!),OR(#REF!="הכל",מלאי!T315=#REF!),OR(#REF!="הכל",מלאי!Q315=#REF!),OR(#REF!="הכל",מלאי!J315=#REF!),OR(#REF!="הכל",מלאי!L315=#REF!),OR(#REF!="הכל",מלאי!O315=#REF!),OR(#REF!="הכל",מלאי!R315=#REF!),OR(#REF!="הכל",#REF!="",מלאי!W315=#REF!),OR(#REF!="הכל",#REF!="",ISNUMBER(SEARCH(#REF!,מלאי!C315))),OR(#REF!="הכל",מלאי!#REF!=#REF!)),1,0)</f>
        <v>#REF!</v>
      </c>
      <c r="AF315" t="e">
        <f>IF(AD315=1,COUNTIF($AD$3:$AD315,1),"")</f>
        <v>#REF!</v>
      </c>
      <c r="AG315" t="e">
        <f>IF(AE315=1,COUNTIF($AE$3:$AE315,1),"")</f>
        <v>#REF!</v>
      </c>
    </row>
    <row r="316" spans="1:33" ht="15" hidden="1" customHeight="1" x14ac:dyDescent="0.35">
      <c r="A316" s="5"/>
      <c r="B316" s="5"/>
      <c r="C316" s="5"/>
      <c r="D316" s="5"/>
      <c r="E316" s="5" t="str">
        <f>IFERROR(INDEX(הגדרות!$I$2:$I$47,MATCH(B316,הגדרות!$H$2:$H$47,0)),"")</f>
        <v/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t="str">
        <f>IFERROR(INDEX(הגדרות!$B$2:$B$17,MATCH(H316,הגדרות!$A$2:$A$17,0)),"")</f>
        <v/>
      </c>
      <c r="AA316" t="str">
        <f>IFERROR(INDEX(הגדרות!$C$2:$C$17,MATCH(H316,הגדרות!$A$2:$A$17,0)),"")</f>
        <v/>
      </c>
      <c r="AB316" t="str">
        <f>IFERROR(INDEX(הגדרות!$B$2:$B$17,MATCH(I316,הגדרות!$A$2:$A$17,0)),"")</f>
        <v/>
      </c>
      <c r="AC316" t="str">
        <f>IFERROR(INDEX(הגדרות!$C$2:$C$17,MATCH(I316,הגדרות!$A$2:$A$17,0)),"")</f>
        <v/>
      </c>
      <c r="AD316" t="e">
        <f>IF(AND(מלאי!D316&lt;&gt;"",OR(#REF!="הכל",מלאי!Z316=#REF!,מלאי!AA316=#REF!,מלאי!AB316=#REF!,מלאי!AC316=#REF!),OR(#REF!="הכל",מלאי!A316=#REF!),OR(#REF!="הכל",מלאי!B316=#REF!),OR(#REF!="הכל",מלאי!F316=#REF!,מלאי!G316=#REF!),OR(#REF!="הכל",מלאי!T316=#REF!),OR(#REF!="הכל",מלאי!Q316=#REF!),OR(#REF!="הכל",מלאי!J316=#REF!),OR(#REF!="הכל",מלאי!L316=#REF!),OR(#REF!="הכל",מלאי!O316=#REF!),OR(#REF!="הכל",מלאי!R316=#REF!),OR(#REF!="הכל",#REF!="",מלאי!W316=#REF!),OR(#REF!="הכל",#REF!="",ISNUMBER(SEARCH(#REF!,מלאי!C316)))),1,0)</f>
        <v>#REF!</v>
      </c>
      <c r="AE316" t="e">
        <f>IF(AND(מלאי!D316&lt;&gt;"",OR(#REF!="הכל",מלאי!Z316=#REF!,מלאי!AA316=#REF!,מלאי!AB316=#REF!,מלאי!AC316=#REF!),OR(#REF!="הכל",מלאי!A316=#REF!),OR(#REF!="הכל",מלאי!B316=#REF!),OR(#REF!="הכל",מלאי!F316=#REF!,מלאי!G316=#REF!),OR(#REF!="הכל",מלאי!T316=#REF!),OR(#REF!="הכל",מלאי!Q316=#REF!),OR(#REF!="הכל",מלאי!J316=#REF!),OR(#REF!="הכל",מלאי!L316=#REF!),OR(#REF!="הכל",מלאי!O316=#REF!),OR(#REF!="הכל",מלאי!R316=#REF!),OR(#REF!="הכל",#REF!="",מלאי!W316=#REF!),OR(#REF!="הכל",#REF!="",ISNUMBER(SEARCH(#REF!,מלאי!C316))),OR(#REF!="הכל",מלאי!#REF!=#REF!)),1,0)</f>
        <v>#REF!</v>
      </c>
      <c r="AF316" t="e">
        <f>IF(AD316=1,COUNTIF($AD$3:$AD316,1),"")</f>
        <v>#REF!</v>
      </c>
      <c r="AG316" t="e">
        <f>IF(AE316=1,COUNTIF($AE$3:$AE316,1),"")</f>
        <v>#REF!</v>
      </c>
    </row>
    <row r="317" spans="1:33" ht="15" hidden="1" customHeight="1" x14ac:dyDescent="0.35">
      <c r="A317" s="4"/>
      <c r="B317" s="4"/>
      <c r="C317" s="4"/>
      <c r="D317" s="4"/>
      <c r="E317" s="4" t="str">
        <f>IFERROR(INDEX(הגדרות!$I$2:$I$47,MATCH(B317,הגדרות!$H$2:$H$47,0)),"")</f>
        <v/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t="str">
        <f>IFERROR(INDEX(הגדרות!$B$2:$B$17,MATCH(H317,הגדרות!$A$2:$A$17,0)),"")</f>
        <v/>
      </c>
      <c r="AA317" t="str">
        <f>IFERROR(INDEX(הגדרות!$C$2:$C$17,MATCH(H317,הגדרות!$A$2:$A$17,0)),"")</f>
        <v/>
      </c>
      <c r="AB317" t="str">
        <f>IFERROR(INDEX(הגדרות!$B$2:$B$17,MATCH(I317,הגדרות!$A$2:$A$17,0)),"")</f>
        <v/>
      </c>
      <c r="AC317" t="str">
        <f>IFERROR(INDEX(הגדרות!$C$2:$C$17,MATCH(I317,הגדרות!$A$2:$A$17,0)),"")</f>
        <v/>
      </c>
      <c r="AD317" t="e">
        <f>IF(AND(מלאי!D317&lt;&gt;"",OR(#REF!="הכל",מלאי!Z317=#REF!,מלאי!AA317=#REF!,מלאי!AB317=#REF!,מלאי!AC317=#REF!),OR(#REF!="הכל",מלאי!A317=#REF!),OR(#REF!="הכל",מלאי!B317=#REF!),OR(#REF!="הכל",מלאי!F317=#REF!,מלאי!G317=#REF!),OR(#REF!="הכל",מלאי!T317=#REF!),OR(#REF!="הכל",מלאי!Q317=#REF!),OR(#REF!="הכל",מלאי!J317=#REF!),OR(#REF!="הכל",מלאי!L317=#REF!),OR(#REF!="הכל",מלאי!O317=#REF!),OR(#REF!="הכל",מלאי!R317=#REF!),OR(#REF!="הכל",#REF!="",מלאי!W317=#REF!),OR(#REF!="הכל",#REF!="",ISNUMBER(SEARCH(#REF!,מלאי!C317)))),1,0)</f>
        <v>#REF!</v>
      </c>
      <c r="AE317" t="e">
        <f>IF(AND(מלאי!D317&lt;&gt;"",OR(#REF!="הכל",מלאי!Z317=#REF!,מלאי!AA317=#REF!,מלאי!AB317=#REF!,מלאי!AC317=#REF!),OR(#REF!="הכל",מלאי!A317=#REF!),OR(#REF!="הכל",מלאי!B317=#REF!),OR(#REF!="הכל",מלאי!F317=#REF!,מלאי!G317=#REF!),OR(#REF!="הכל",מלאי!T317=#REF!),OR(#REF!="הכל",מלאי!Q317=#REF!),OR(#REF!="הכל",מלאי!J317=#REF!),OR(#REF!="הכל",מלאי!L317=#REF!),OR(#REF!="הכל",מלאי!O317=#REF!),OR(#REF!="הכל",מלאי!R317=#REF!),OR(#REF!="הכל",#REF!="",מלאי!W317=#REF!),OR(#REF!="הכל",#REF!="",ISNUMBER(SEARCH(#REF!,מלאי!C317))),OR(#REF!="הכל",מלאי!#REF!=#REF!)),1,0)</f>
        <v>#REF!</v>
      </c>
      <c r="AF317" t="e">
        <f>IF(AD317=1,COUNTIF($AD$3:$AD317,1),"")</f>
        <v>#REF!</v>
      </c>
      <c r="AG317" t="e">
        <f>IF(AE317=1,COUNTIF($AE$3:$AE317,1),"")</f>
        <v>#REF!</v>
      </c>
    </row>
    <row r="318" spans="1:33" ht="15" hidden="1" customHeight="1" x14ac:dyDescent="0.35">
      <c r="A318" s="5"/>
      <c r="B318" s="5"/>
      <c r="C318" s="5"/>
      <c r="D318" s="5"/>
      <c r="E318" s="5" t="str">
        <f>IFERROR(INDEX(הגדרות!$I$2:$I$47,MATCH(B318,הגדרות!$H$2:$H$47,0)),"")</f>
        <v/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t="str">
        <f>IFERROR(INDEX(הגדרות!$B$2:$B$17,MATCH(H318,הגדרות!$A$2:$A$17,0)),"")</f>
        <v/>
      </c>
      <c r="AA318" t="str">
        <f>IFERROR(INDEX(הגדרות!$C$2:$C$17,MATCH(H318,הגדרות!$A$2:$A$17,0)),"")</f>
        <v/>
      </c>
      <c r="AB318" t="str">
        <f>IFERROR(INDEX(הגדרות!$B$2:$B$17,MATCH(I318,הגדרות!$A$2:$A$17,0)),"")</f>
        <v/>
      </c>
      <c r="AC318" t="str">
        <f>IFERROR(INDEX(הגדרות!$C$2:$C$17,MATCH(I318,הגדרות!$A$2:$A$17,0)),"")</f>
        <v/>
      </c>
      <c r="AD318" t="e">
        <f>IF(AND(מלאי!D318&lt;&gt;"",OR(#REF!="הכל",מלאי!Z318=#REF!,מלאי!AA318=#REF!,מלאי!AB318=#REF!,מלאי!AC318=#REF!),OR(#REF!="הכל",מלאי!A318=#REF!),OR(#REF!="הכל",מלאי!B318=#REF!),OR(#REF!="הכל",מלאי!F318=#REF!,מלאי!G318=#REF!),OR(#REF!="הכל",מלאי!T318=#REF!),OR(#REF!="הכל",מלאי!Q318=#REF!),OR(#REF!="הכל",מלאי!J318=#REF!),OR(#REF!="הכל",מלאי!L318=#REF!),OR(#REF!="הכל",מלאי!O318=#REF!),OR(#REF!="הכל",מלאי!R318=#REF!),OR(#REF!="הכל",#REF!="",מלאי!W318=#REF!),OR(#REF!="הכל",#REF!="",ISNUMBER(SEARCH(#REF!,מלאי!C318)))),1,0)</f>
        <v>#REF!</v>
      </c>
      <c r="AE318" t="e">
        <f>IF(AND(מלאי!D318&lt;&gt;"",OR(#REF!="הכל",מלאי!Z318=#REF!,מלאי!AA318=#REF!,מלאי!AB318=#REF!,מלאי!AC318=#REF!),OR(#REF!="הכל",מלאי!A318=#REF!),OR(#REF!="הכל",מלאי!B318=#REF!),OR(#REF!="הכל",מלאי!F318=#REF!,מלאי!G318=#REF!),OR(#REF!="הכל",מלאי!T318=#REF!),OR(#REF!="הכל",מלאי!Q318=#REF!),OR(#REF!="הכל",מלאי!J318=#REF!),OR(#REF!="הכל",מלאי!L318=#REF!),OR(#REF!="הכל",מלאי!O318=#REF!),OR(#REF!="הכל",מלאי!R318=#REF!),OR(#REF!="הכל",#REF!="",מלאי!W318=#REF!),OR(#REF!="הכל",#REF!="",ISNUMBER(SEARCH(#REF!,מלאי!C318))),OR(#REF!="הכל",מלאי!#REF!=#REF!)),1,0)</f>
        <v>#REF!</v>
      </c>
      <c r="AF318" t="e">
        <f>IF(AD318=1,COUNTIF($AD$3:$AD318,1),"")</f>
        <v>#REF!</v>
      </c>
      <c r="AG318" t="e">
        <f>IF(AE318=1,COUNTIF($AE$3:$AE318,1),"")</f>
        <v>#REF!</v>
      </c>
    </row>
    <row r="319" spans="1:33" ht="15" hidden="1" customHeight="1" x14ac:dyDescent="0.35">
      <c r="A319" s="4"/>
      <c r="B319" s="4"/>
      <c r="C319" s="4"/>
      <c r="D319" s="4"/>
      <c r="E319" s="4" t="str">
        <f>IFERROR(INDEX(הגדרות!$I$2:$I$47,MATCH(B319,הגדרות!$H$2:$H$47,0)),"")</f>
        <v/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t="str">
        <f>IFERROR(INDEX(הגדרות!$B$2:$B$17,MATCH(H319,הגדרות!$A$2:$A$17,0)),"")</f>
        <v/>
      </c>
      <c r="AA319" t="str">
        <f>IFERROR(INDEX(הגדרות!$C$2:$C$17,MATCH(H319,הגדרות!$A$2:$A$17,0)),"")</f>
        <v/>
      </c>
      <c r="AB319" t="str">
        <f>IFERROR(INDEX(הגדרות!$B$2:$B$17,MATCH(I319,הגדרות!$A$2:$A$17,0)),"")</f>
        <v/>
      </c>
      <c r="AC319" t="str">
        <f>IFERROR(INDEX(הגדרות!$C$2:$C$17,MATCH(I319,הגדרות!$A$2:$A$17,0)),"")</f>
        <v/>
      </c>
      <c r="AD319" t="e">
        <f>IF(AND(מלאי!D319&lt;&gt;"",OR(#REF!="הכל",מלאי!Z319=#REF!,מלאי!AA319=#REF!,מלאי!AB319=#REF!,מלאי!AC319=#REF!),OR(#REF!="הכל",מלאי!A319=#REF!),OR(#REF!="הכל",מלאי!B319=#REF!),OR(#REF!="הכל",מלאי!F319=#REF!,מלאי!G319=#REF!),OR(#REF!="הכל",מלאי!T319=#REF!),OR(#REF!="הכל",מלאי!Q319=#REF!),OR(#REF!="הכל",מלאי!J319=#REF!),OR(#REF!="הכל",מלאי!L319=#REF!),OR(#REF!="הכל",מלאי!O319=#REF!),OR(#REF!="הכל",מלאי!R319=#REF!),OR(#REF!="הכל",#REF!="",מלאי!W319=#REF!),OR(#REF!="הכל",#REF!="",ISNUMBER(SEARCH(#REF!,מלאי!C319)))),1,0)</f>
        <v>#REF!</v>
      </c>
      <c r="AE319" t="e">
        <f>IF(AND(מלאי!D319&lt;&gt;"",OR(#REF!="הכל",מלאי!Z319=#REF!,מלאי!AA319=#REF!,מלאי!AB319=#REF!,מלאי!AC319=#REF!),OR(#REF!="הכל",מלאי!A319=#REF!),OR(#REF!="הכל",מלאי!B319=#REF!),OR(#REF!="הכל",מלאי!F319=#REF!,מלאי!G319=#REF!),OR(#REF!="הכל",מלאי!T319=#REF!),OR(#REF!="הכל",מלאי!Q319=#REF!),OR(#REF!="הכל",מלאי!J319=#REF!),OR(#REF!="הכל",מלאי!L319=#REF!),OR(#REF!="הכל",מלאי!O319=#REF!),OR(#REF!="הכל",מלאי!R319=#REF!),OR(#REF!="הכל",#REF!="",מלאי!W319=#REF!),OR(#REF!="הכל",#REF!="",ISNUMBER(SEARCH(#REF!,מלאי!C319))),OR(#REF!="הכל",מלאי!#REF!=#REF!)),1,0)</f>
        <v>#REF!</v>
      </c>
      <c r="AF319" t="e">
        <f>IF(AD319=1,COUNTIF($AD$3:$AD319,1),"")</f>
        <v>#REF!</v>
      </c>
      <c r="AG319" t="e">
        <f>IF(AE319=1,COUNTIF($AE$3:$AE319,1),"")</f>
        <v>#REF!</v>
      </c>
    </row>
    <row r="320" spans="1:33" ht="15" hidden="1" customHeight="1" x14ac:dyDescent="0.35">
      <c r="A320" s="5"/>
      <c r="B320" s="5"/>
      <c r="C320" s="5"/>
      <c r="D320" s="5"/>
      <c r="E320" s="5" t="str">
        <f>IFERROR(INDEX(הגדרות!$I$2:$I$47,MATCH(B320,הגדרות!$H$2:$H$47,0)),"")</f>
        <v/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t="str">
        <f>IFERROR(INDEX(הגדרות!$B$2:$B$17,MATCH(H320,הגדרות!$A$2:$A$17,0)),"")</f>
        <v/>
      </c>
      <c r="AA320" t="str">
        <f>IFERROR(INDEX(הגדרות!$C$2:$C$17,MATCH(H320,הגדרות!$A$2:$A$17,0)),"")</f>
        <v/>
      </c>
      <c r="AB320" t="str">
        <f>IFERROR(INDEX(הגדרות!$B$2:$B$17,MATCH(I320,הגדרות!$A$2:$A$17,0)),"")</f>
        <v/>
      </c>
      <c r="AC320" t="str">
        <f>IFERROR(INDEX(הגדרות!$C$2:$C$17,MATCH(I320,הגדרות!$A$2:$A$17,0)),"")</f>
        <v/>
      </c>
      <c r="AD320" t="e">
        <f>IF(AND(מלאי!D320&lt;&gt;"",OR(#REF!="הכל",מלאי!Z320=#REF!,מלאי!AA320=#REF!,מלאי!AB320=#REF!,מלאי!AC320=#REF!),OR(#REF!="הכל",מלאי!A320=#REF!),OR(#REF!="הכל",מלאי!B320=#REF!),OR(#REF!="הכל",מלאי!F320=#REF!,מלאי!G320=#REF!),OR(#REF!="הכל",מלאי!T320=#REF!),OR(#REF!="הכל",מלאי!Q320=#REF!),OR(#REF!="הכל",מלאי!J320=#REF!),OR(#REF!="הכל",מלאי!L320=#REF!),OR(#REF!="הכל",מלאי!O320=#REF!),OR(#REF!="הכל",מלאי!R320=#REF!),OR(#REF!="הכל",#REF!="",מלאי!W320=#REF!),OR(#REF!="הכל",#REF!="",ISNUMBER(SEARCH(#REF!,מלאי!C320)))),1,0)</f>
        <v>#REF!</v>
      </c>
      <c r="AE320" t="e">
        <f>IF(AND(מלאי!D320&lt;&gt;"",OR(#REF!="הכל",מלאי!Z320=#REF!,מלאי!AA320=#REF!,מלאי!AB320=#REF!,מלאי!AC320=#REF!),OR(#REF!="הכל",מלאי!A320=#REF!),OR(#REF!="הכל",מלאי!B320=#REF!),OR(#REF!="הכל",מלאי!F320=#REF!,מלאי!G320=#REF!),OR(#REF!="הכל",מלאי!T320=#REF!),OR(#REF!="הכל",מלאי!Q320=#REF!),OR(#REF!="הכל",מלאי!J320=#REF!),OR(#REF!="הכל",מלאי!L320=#REF!),OR(#REF!="הכל",מלאי!O320=#REF!),OR(#REF!="הכל",מלאי!R320=#REF!),OR(#REF!="הכל",#REF!="",מלאי!W320=#REF!),OR(#REF!="הכל",#REF!="",ISNUMBER(SEARCH(#REF!,מלאי!C320))),OR(#REF!="הכל",מלאי!#REF!=#REF!)),1,0)</f>
        <v>#REF!</v>
      </c>
      <c r="AF320" t="e">
        <f>IF(AD320=1,COUNTIF($AD$3:$AD320,1),"")</f>
        <v>#REF!</v>
      </c>
      <c r="AG320" t="e">
        <f>IF(AE320=1,COUNTIF($AE$3:$AE320,1),"")</f>
        <v>#REF!</v>
      </c>
    </row>
    <row r="321" spans="1:33" ht="15" hidden="1" customHeight="1" x14ac:dyDescent="0.35">
      <c r="A321" s="4"/>
      <c r="B321" s="4"/>
      <c r="C321" s="4"/>
      <c r="D321" s="4"/>
      <c r="E321" s="4" t="str">
        <f>IFERROR(INDEX(הגדרות!$I$2:$I$47,MATCH(B321,הגדרות!$H$2:$H$47,0)),"")</f>
        <v/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t="str">
        <f>IFERROR(INDEX(הגדרות!$B$2:$B$17,MATCH(H321,הגדרות!$A$2:$A$17,0)),"")</f>
        <v/>
      </c>
      <c r="AA321" t="str">
        <f>IFERROR(INDEX(הגדרות!$C$2:$C$17,MATCH(H321,הגדרות!$A$2:$A$17,0)),"")</f>
        <v/>
      </c>
      <c r="AB321" t="str">
        <f>IFERROR(INDEX(הגדרות!$B$2:$B$17,MATCH(I321,הגדרות!$A$2:$A$17,0)),"")</f>
        <v/>
      </c>
      <c r="AC321" t="str">
        <f>IFERROR(INDEX(הגדרות!$C$2:$C$17,MATCH(I321,הגדרות!$A$2:$A$17,0)),"")</f>
        <v/>
      </c>
      <c r="AD321" t="e">
        <f>IF(AND(מלאי!D321&lt;&gt;"",OR(#REF!="הכל",מלאי!Z321=#REF!,מלאי!AA321=#REF!,מלאי!AB321=#REF!,מלאי!AC321=#REF!),OR(#REF!="הכל",מלאי!A321=#REF!),OR(#REF!="הכל",מלאי!B321=#REF!),OR(#REF!="הכל",מלאי!F321=#REF!,מלאי!G321=#REF!),OR(#REF!="הכל",מלאי!T321=#REF!),OR(#REF!="הכל",מלאי!Q321=#REF!),OR(#REF!="הכל",מלאי!J321=#REF!),OR(#REF!="הכל",מלאי!L321=#REF!),OR(#REF!="הכל",מלאי!O321=#REF!),OR(#REF!="הכל",מלאי!R321=#REF!),OR(#REF!="הכל",#REF!="",מלאי!W321=#REF!),OR(#REF!="הכל",#REF!="",ISNUMBER(SEARCH(#REF!,מלאי!C321)))),1,0)</f>
        <v>#REF!</v>
      </c>
      <c r="AE321" t="e">
        <f>IF(AND(מלאי!D321&lt;&gt;"",OR(#REF!="הכל",מלאי!Z321=#REF!,מלאי!AA321=#REF!,מלאי!AB321=#REF!,מלאי!AC321=#REF!),OR(#REF!="הכל",מלאי!A321=#REF!),OR(#REF!="הכל",מלאי!B321=#REF!),OR(#REF!="הכל",מלאי!F321=#REF!,מלאי!G321=#REF!),OR(#REF!="הכל",מלאי!T321=#REF!),OR(#REF!="הכל",מלאי!Q321=#REF!),OR(#REF!="הכל",מלאי!J321=#REF!),OR(#REF!="הכל",מלאי!L321=#REF!),OR(#REF!="הכל",מלאי!O321=#REF!),OR(#REF!="הכל",מלאי!R321=#REF!),OR(#REF!="הכל",#REF!="",מלאי!W321=#REF!),OR(#REF!="הכל",#REF!="",ISNUMBER(SEARCH(#REF!,מלאי!C321))),OR(#REF!="הכל",מלאי!#REF!=#REF!)),1,0)</f>
        <v>#REF!</v>
      </c>
      <c r="AF321" t="e">
        <f>IF(AD321=1,COUNTIF($AD$3:$AD321,1),"")</f>
        <v>#REF!</v>
      </c>
      <c r="AG321" t="e">
        <f>IF(AE321=1,COUNTIF($AE$3:$AE321,1),"")</f>
        <v>#REF!</v>
      </c>
    </row>
    <row r="322" spans="1:33" ht="15" hidden="1" customHeight="1" x14ac:dyDescent="0.35">
      <c r="A322" s="5"/>
      <c r="B322" s="5"/>
      <c r="C322" s="5"/>
      <c r="D322" s="5"/>
      <c r="E322" s="5" t="str">
        <f>IFERROR(INDEX(הגדרות!$I$2:$I$47,MATCH(B322,הגדרות!$H$2:$H$47,0)),"")</f>
        <v/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t="str">
        <f>IFERROR(INDEX(הגדרות!$B$2:$B$17,MATCH(H322,הגדרות!$A$2:$A$17,0)),"")</f>
        <v/>
      </c>
      <c r="AA322" t="str">
        <f>IFERROR(INDEX(הגדרות!$C$2:$C$17,MATCH(H322,הגדרות!$A$2:$A$17,0)),"")</f>
        <v/>
      </c>
      <c r="AB322" t="str">
        <f>IFERROR(INDEX(הגדרות!$B$2:$B$17,MATCH(I322,הגדרות!$A$2:$A$17,0)),"")</f>
        <v/>
      </c>
      <c r="AC322" t="str">
        <f>IFERROR(INDEX(הגדרות!$C$2:$C$17,MATCH(I322,הגדרות!$A$2:$A$17,0)),"")</f>
        <v/>
      </c>
      <c r="AD322" t="e">
        <f>IF(AND(מלאי!D322&lt;&gt;"",OR(#REF!="הכל",מלאי!Z322=#REF!,מלאי!AA322=#REF!,מלאי!AB322=#REF!,מלאי!AC322=#REF!),OR(#REF!="הכל",מלאי!A322=#REF!),OR(#REF!="הכל",מלאי!B322=#REF!),OR(#REF!="הכל",מלאי!F322=#REF!,מלאי!G322=#REF!),OR(#REF!="הכל",מלאי!T322=#REF!),OR(#REF!="הכל",מלאי!Q322=#REF!),OR(#REF!="הכל",מלאי!J322=#REF!),OR(#REF!="הכל",מלאי!L322=#REF!),OR(#REF!="הכל",מלאי!O322=#REF!),OR(#REF!="הכל",מלאי!R322=#REF!),OR(#REF!="הכל",#REF!="",מלאי!W322=#REF!),OR(#REF!="הכל",#REF!="",ISNUMBER(SEARCH(#REF!,מלאי!C322)))),1,0)</f>
        <v>#REF!</v>
      </c>
      <c r="AE322" t="e">
        <f>IF(AND(מלאי!D322&lt;&gt;"",OR(#REF!="הכל",מלאי!Z322=#REF!,מלאי!AA322=#REF!,מלאי!AB322=#REF!,מלאי!AC322=#REF!),OR(#REF!="הכל",מלאי!A322=#REF!),OR(#REF!="הכל",מלאי!B322=#REF!),OR(#REF!="הכל",מלאי!F322=#REF!,מלאי!G322=#REF!),OR(#REF!="הכל",מלאי!T322=#REF!),OR(#REF!="הכל",מלאי!Q322=#REF!),OR(#REF!="הכל",מלאי!J322=#REF!),OR(#REF!="הכל",מלאי!L322=#REF!),OR(#REF!="הכל",מלאי!O322=#REF!),OR(#REF!="הכל",מלאי!R322=#REF!),OR(#REF!="הכל",#REF!="",מלאי!W322=#REF!),OR(#REF!="הכל",#REF!="",ISNUMBER(SEARCH(#REF!,מלאי!C322))),OR(#REF!="הכל",מלאי!#REF!=#REF!)),1,0)</f>
        <v>#REF!</v>
      </c>
      <c r="AF322" t="e">
        <f>IF(AD322=1,COUNTIF($AD$3:$AD322,1),"")</f>
        <v>#REF!</v>
      </c>
      <c r="AG322" t="e">
        <f>IF(AE322=1,COUNTIF($AE$3:$AE322,1),"")</f>
        <v>#REF!</v>
      </c>
    </row>
    <row r="323" spans="1:33" ht="15" hidden="1" customHeight="1" x14ac:dyDescent="0.35">
      <c r="A323" s="4"/>
      <c r="B323" s="4"/>
      <c r="C323" s="4"/>
      <c r="D323" s="4"/>
      <c r="E323" s="4" t="str">
        <f>IFERROR(INDEX(הגדרות!$I$2:$I$47,MATCH(B323,הגדרות!$H$2:$H$47,0)),"")</f>
        <v/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t="str">
        <f>IFERROR(INDEX(הגדרות!$B$2:$B$17,MATCH(H323,הגדרות!$A$2:$A$17,0)),"")</f>
        <v/>
      </c>
      <c r="AA323" t="str">
        <f>IFERROR(INDEX(הגדרות!$C$2:$C$17,MATCH(H323,הגדרות!$A$2:$A$17,0)),"")</f>
        <v/>
      </c>
      <c r="AB323" t="str">
        <f>IFERROR(INDEX(הגדרות!$B$2:$B$17,MATCH(I323,הגדרות!$A$2:$A$17,0)),"")</f>
        <v/>
      </c>
      <c r="AC323" t="str">
        <f>IFERROR(INDEX(הגדרות!$C$2:$C$17,MATCH(I323,הגדרות!$A$2:$A$17,0)),"")</f>
        <v/>
      </c>
      <c r="AD323" t="e">
        <f>IF(AND(מלאי!D323&lt;&gt;"",OR(#REF!="הכל",מלאי!Z323=#REF!,מלאי!AA323=#REF!,מלאי!AB323=#REF!,מלאי!AC323=#REF!),OR(#REF!="הכל",מלאי!A323=#REF!),OR(#REF!="הכל",מלאי!B323=#REF!),OR(#REF!="הכל",מלאי!F323=#REF!,מלאי!G323=#REF!),OR(#REF!="הכל",מלאי!T323=#REF!),OR(#REF!="הכל",מלאי!Q323=#REF!),OR(#REF!="הכל",מלאי!J323=#REF!),OR(#REF!="הכל",מלאי!L323=#REF!),OR(#REF!="הכל",מלאי!O323=#REF!),OR(#REF!="הכל",מלאי!R323=#REF!),OR(#REF!="הכל",#REF!="",מלאי!W323=#REF!),OR(#REF!="הכל",#REF!="",ISNUMBER(SEARCH(#REF!,מלאי!C323)))),1,0)</f>
        <v>#REF!</v>
      </c>
      <c r="AE323" t="e">
        <f>IF(AND(מלאי!D323&lt;&gt;"",OR(#REF!="הכל",מלאי!Z323=#REF!,מלאי!AA323=#REF!,מלאי!AB323=#REF!,מלאי!AC323=#REF!),OR(#REF!="הכל",מלאי!A323=#REF!),OR(#REF!="הכל",מלאי!B323=#REF!),OR(#REF!="הכל",מלאי!F323=#REF!,מלאי!G323=#REF!),OR(#REF!="הכל",מלאי!T323=#REF!),OR(#REF!="הכל",מלאי!Q323=#REF!),OR(#REF!="הכל",מלאי!J323=#REF!),OR(#REF!="הכל",מלאי!L323=#REF!),OR(#REF!="הכל",מלאי!O323=#REF!),OR(#REF!="הכל",מלאי!R323=#REF!),OR(#REF!="הכל",#REF!="",מלאי!W323=#REF!),OR(#REF!="הכל",#REF!="",ISNUMBER(SEARCH(#REF!,מלאי!C323))),OR(#REF!="הכל",מלאי!#REF!=#REF!)),1,0)</f>
        <v>#REF!</v>
      </c>
      <c r="AF323" t="e">
        <f>IF(AD323=1,COUNTIF($AD$3:$AD323,1),"")</f>
        <v>#REF!</v>
      </c>
      <c r="AG323" t="e">
        <f>IF(AE323=1,COUNTIF($AE$3:$AE323,1),"")</f>
        <v>#REF!</v>
      </c>
    </row>
    <row r="324" spans="1:33" ht="15" hidden="1" customHeight="1" x14ac:dyDescent="0.35">
      <c r="A324" s="5"/>
      <c r="B324" s="5"/>
      <c r="C324" s="5"/>
      <c r="D324" s="5"/>
      <c r="E324" s="5" t="str">
        <f>IFERROR(INDEX(הגדרות!$I$2:$I$47,MATCH(B324,הגדרות!$H$2:$H$47,0)),"")</f>
        <v/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t="str">
        <f>IFERROR(INDEX(הגדרות!$B$2:$B$17,MATCH(H324,הגדרות!$A$2:$A$17,0)),"")</f>
        <v/>
      </c>
      <c r="AA324" t="str">
        <f>IFERROR(INDEX(הגדרות!$C$2:$C$17,MATCH(H324,הגדרות!$A$2:$A$17,0)),"")</f>
        <v/>
      </c>
      <c r="AB324" t="str">
        <f>IFERROR(INDEX(הגדרות!$B$2:$B$17,MATCH(I324,הגדרות!$A$2:$A$17,0)),"")</f>
        <v/>
      </c>
      <c r="AC324" t="str">
        <f>IFERROR(INDEX(הגדרות!$C$2:$C$17,MATCH(I324,הגדרות!$A$2:$A$17,0)),"")</f>
        <v/>
      </c>
      <c r="AD324" t="e">
        <f>IF(AND(מלאי!D324&lt;&gt;"",OR(#REF!="הכל",מלאי!Z324=#REF!,מלאי!AA324=#REF!,מלאי!AB324=#REF!,מלאי!AC324=#REF!),OR(#REF!="הכל",מלאי!A324=#REF!),OR(#REF!="הכל",מלאי!B324=#REF!),OR(#REF!="הכל",מלאי!F324=#REF!,מלאי!G324=#REF!),OR(#REF!="הכל",מלאי!T324=#REF!),OR(#REF!="הכל",מלאי!Q324=#REF!),OR(#REF!="הכל",מלאי!J324=#REF!),OR(#REF!="הכל",מלאי!L324=#REF!),OR(#REF!="הכל",מלאי!O324=#REF!),OR(#REF!="הכל",מלאי!R324=#REF!),OR(#REF!="הכל",#REF!="",מלאי!W324=#REF!),OR(#REF!="הכל",#REF!="",ISNUMBER(SEARCH(#REF!,מלאי!C324)))),1,0)</f>
        <v>#REF!</v>
      </c>
      <c r="AE324" t="e">
        <f>IF(AND(מלאי!D324&lt;&gt;"",OR(#REF!="הכל",מלאי!Z324=#REF!,מלאי!AA324=#REF!,מלאי!AB324=#REF!,מלאי!AC324=#REF!),OR(#REF!="הכל",מלאי!A324=#REF!),OR(#REF!="הכל",מלאי!B324=#REF!),OR(#REF!="הכל",מלאי!F324=#REF!,מלאי!G324=#REF!),OR(#REF!="הכל",מלאי!T324=#REF!),OR(#REF!="הכל",מלאי!Q324=#REF!),OR(#REF!="הכל",מלאי!J324=#REF!),OR(#REF!="הכל",מלאי!L324=#REF!),OR(#REF!="הכל",מלאי!O324=#REF!),OR(#REF!="הכל",מלאי!R324=#REF!),OR(#REF!="הכל",#REF!="",מלאי!W324=#REF!),OR(#REF!="הכל",#REF!="",ISNUMBER(SEARCH(#REF!,מלאי!C324))),OR(#REF!="הכל",מלאי!#REF!=#REF!)),1,0)</f>
        <v>#REF!</v>
      </c>
      <c r="AF324" t="e">
        <f>IF(AD324=1,COUNTIF($AD$3:$AD324,1),"")</f>
        <v>#REF!</v>
      </c>
      <c r="AG324" t="e">
        <f>IF(AE324=1,COUNTIF($AE$3:$AE324,1),"")</f>
        <v>#REF!</v>
      </c>
    </row>
    <row r="325" spans="1:33" ht="15" hidden="1" customHeight="1" x14ac:dyDescent="0.35">
      <c r="A325" s="4"/>
      <c r="B325" s="4"/>
      <c r="C325" s="4"/>
      <c r="D325" s="4"/>
      <c r="E325" s="4" t="str">
        <f>IFERROR(INDEX(הגדרות!$I$2:$I$47,MATCH(B325,הגדרות!$H$2:$H$47,0)),"")</f>
        <v/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t="str">
        <f>IFERROR(INDEX(הגדרות!$B$2:$B$17,MATCH(H325,הגדרות!$A$2:$A$17,0)),"")</f>
        <v/>
      </c>
      <c r="AA325" t="str">
        <f>IFERROR(INDEX(הגדרות!$C$2:$C$17,MATCH(H325,הגדרות!$A$2:$A$17,0)),"")</f>
        <v/>
      </c>
      <c r="AB325" t="str">
        <f>IFERROR(INDEX(הגדרות!$B$2:$B$17,MATCH(I325,הגדרות!$A$2:$A$17,0)),"")</f>
        <v/>
      </c>
      <c r="AC325" t="str">
        <f>IFERROR(INDEX(הגדרות!$C$2:$C$17,MATCH(I325,הגדרות!$A$2:$A$17,0)),"")</f>
        <v/>
      </c>
      <c r="AD325" t="e">
        <f>IF(AND(מלאי!D325&lt;&gt;"",OR(#REF!="הכל",מלאי!Z325=#REF!,מלאי!AA325=#REF!,מלאי!AB325=#REF!,מלאי!AC325=#REF!),OR(#REF!="הכל",מלאי!A325=#REF!),OR(#REF!="הכל",מלאי!B325=#REF!),OR(#REF!="הכל",מלאי!F325=#REF!,מלאי!G325=#REF!),OR(#REF!="הכל",מלאי!T325=#REF!),OR(#REF!="הכל",מלאי!Q325=#REF!),OR(#REF!="הכל",מלאי!J325=#REF!),OR(#REF!="הכל",מלאי!L325=#REF!),OR(#REF!="הכל",מלאי!O325=#REF!),OR(#REF!="הכל",מלאי!R325=#REF!),OR(#REF!="הכל",#REF!="",מלאי!W325=#REF!),OR(#REF!="הכל",#REF!="",ISNUMBER(SEARCH(#REF!,מלאי!C325)))),1,0)</f>
        <v>#REF!</v>
      </c>
      <c r="AE325" t="e">
        <f>IF(AND(מלאי!D325&lt;&gt;"",OR(#REF!="הכל",מלאי!Z325=#REF!,מלאי!AA325=#REF!,מלאי!AB325=#REF!,מלאי!AC325=#REF!),OR(#REF!="הכל",מלאי!A325=#REF!),OR(#REF!="הכל",מלאי!B325=#REF!),OR(#REF!="הכל",מלאי!F325=#REF!,מלאי!G325=#REF!),OR(#REF!="הכל",מלאי!T325=#REF!),OR(#REF!="הכל",מלאי!Q325=#REF!),OR(#REF!="הכל",מלאי!J325=#REF!),OR(#REF!="הכל",מלאי!L325=#REF!),OR(#REF!="הכל",מלאי!O325=#REF!),OR(#REF!="הכל",מלאי!R325=#REF!),OR(#REF!="הכל",#REF!="",מלאי!W325=#REF!),OR(#REF!="הכל",#REF!="",ISNUMBER(SEARCH(#REF!,מלאי!C325))),OR(#REF!="הכל",מלאי!#REF!=#REF!)),1,0)</f>
        <v>#REF!</v>
      </c>
      <c r="AF325" t="e">
        <f>IF(AD325=1,COUNTIF($AD$3:$AD325,1),"")</f>
        <v>#REF!</v>
      </c>
      <c r="AG325" t="e">
        <f>IF(AE325=1,COUNTIF($AE$3:$AE325,1),"")</f>
        <v>#REF!</v>
      </c>
    </row>
    <row r="326" spans="1:33" ht="15" hidden="1" customHeight="1" x14ac:dyDescent="0.35">
      <c r="A326" s="5"/>
      <c r="B326" s="5"/>
      <c r="C326" s="5"/>
      <c r="D326" s="5"/>
      <c r="E326" s="5" t="str">
        <f>IFERROR(INDEX(הגדרות!$I$2:$I$47,MATCH(B326,הגדרות!$H$2:$H$47,0)),"")</f>
        <v/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t="str">
        <f>IFERROR(INDEX(הגדרות!$B$2:$B$17,MATCH(H326,הגדרות!$A$2:$A$17,0)),"")</f>
        <v/>
      </c>
      <c r="AA326" t="str">
        <f>IFERROR(INDEX(הגדרות!$C$2:$C$17,MATCH(H326,הגדרות!$A$2:$A$17,0)),"")</f>
        <v/>
      </c>
      <c r="AB326" t="str">
        <f>IFERROR(INDEX(הגדרות!$B$2:$B$17,MATCH(I326,הגדרות!$A$2:$A$17,0)),"")</f>
        <v/>
      </c>
      <c r="AC326" t="str">
        <f>IFERROR(INDEX(הגדרות!$C$2:$C$17,MATCH(I326,הגדרות!$A$2:$A$17,0)),"")</f>
        <v/>
      </c>
      <c r="AD326" t="e">
        <f>IF(AND(מלאי!D326&lt;&gt;"",OR(#REF!="הכל",מלאי!Z326=#REF!,מלאי!AA326=#REF!,מלאי!AB326=#REF!,מלאי!AC326=#REF!),OR(#REF!="הכל",מלאי!A326=#REF!),OR(#REF!="הכל",מלאי!B326=#REF!),OR(#REF!="הכל",מלאי!F326=#REF!,מלאי!G326=#REF!),OR(#REF!="הכל",מלאי!T326=#REF!),OR(#REF!="הכל",מלאי!Q326=#REF!),OR(#REF!="הכל",מלאי!J326=#REF!),OR(#REF!="הכל",מלאי!L326=#REF!),OR(#REF!="הכל",מלאי!O326=#REF!),OR(#REF!="הכל",מלאי!R326=#REF!),OR(#REF!="הכל",#REF!="",מלאי!W326=#REF!),OR(#REF!="הכל",#REF!="",ISNUMBER(SEARCH(#REF!,מלאי!C326)))),1,0)</f>
        <v>#REF!</v>
      </c>
      <c r="AE326" t="e">
        <f>IF(AND(מלאי!D326&lt;&gt;"",OR(#REF!="הכל",מלאי!Z326=#REF!,מלאי!AA326=#REF!,מלאי!AB326=#REF!,מלאי!AC326=#REF!),OR(#REF!="הכל",מלאי!A326=#REF!),OR(#REF!="הכל",מלאי!B326=#REF!),OR(#REF!="הכל",מלאי!F326=#REF!,מלאי!G326=#REF!),OR(#REF!="הכל",מלאי!T326=#REF!),OR(#REF!="הכל",מלאי!Q326=#REF!),OR(#REF!="הכל",מלאי!J326=#REF!),OR(#REF!="הכל",מלאי!L326=#REF!),OR(#REF!="הכל",מלאי!O326=#REF!),OR(#REF!="הכל",מלאי!R326=#REF!),OR(#REF!="הכל",#REF!="",מלאי!W326=#REF!),OR(#REF!="הכל",#REF!="",ISNUMBER(SEARCH(#REF!,מלאי!C326))),OR(#REF!="הכל",מלאי!#REF!=#REF!)),1,0)</f>
        <v>#REF!</v>
      </c>
      <c r="AF326" t="e">
        <f>IF(AD326=1,COUNTIF($AD$3:$AD326,1),"")</f>
        <v>#REF!</v>
      </c>
      <c r="AG326" t="e">
        <f>IF(AE326=1,COUNTIF($AE$3:$AE326,1),"")</f>
        <v>#REF!</v>
      </c>
    </row>
    <row r="327" spans="1:33" ht="15" hidden="1" customHeight="1" x14ac:dyDescent="0.35">
      <c r="A327" s="4"/>
      <c r="B327" s="4"/>
      <c r="C327" s="4"/>
      <c r="D327" s="4"/>
      <c r="E327" s="4" t="str">
        <f>IFERROR(INDEX(הגדרות!$I$2:$I$47,MATCH(B327,הגדרות!$H$2:$H$47,0)),"")</f>
        <v/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t="str">
        <f>IFERROR(INDEX(הגדרות!$B$2:$B$17,MATCH(H327,הגדרות!$A$2:$A$17,0)),"")</f>
        <v/>
      </c>
      <c r="AA327" t="str">
        <f>IFERROR(INDEX(הגדרות!$C$2:$C$17,MATCH(H327,הגדרות!$A$2:$A$17,0)),"")</f>
        <v/>
      </c>
      <c r="AB327" t="str">
        <f>IFERROR(INDEX(הגדרות!$B$2:$B$17,MATCH(I327,הגדרות!$A$2:$A$17,0)),"")</f>
        <v/>
      </c>
      <c r="AC327" t="str">
        <f>IFERROR(INDEX(הגדרות!$C$2:$C$17,MATCH(I327,הגדרות!$A$2:$A$17,0)),"")</f>
        <v/>
      </c>
      <c r="AD327" t="e">
        <f>IF(AND(מלאי!D327&lt;&gt;"",OR(#REF!="הכל",מלאי!Z327=#REF!,מלאי!AA327=#REF!,מלאי!AB327=#REF!,מלאי!AC327=#REF!),OR(#REF!="הכל",מלאי!A327=#REF!),OR(#REF!="הכל",מלאי!B327=#REF!),OR(#REF!="הכל",מלאי!F327=#REF!,מלאי!G327=#REF!),OR(#REF!="הכל",מלאי!T327=#REF!),OR(#REF!="הכל",מלאי!Q327=#REF!),OR(#REF!="הכל",מלאי!J327=#REF!),OR(#REF!="הכל",מלאי!L327=#REF!),OR(#REF!="הכל",מלאי!O327=#REF!),OR(#REF!="הכל",מלאי!R327=#REF!),OR(#REF!="הכל",#REF!="",מלאי!W327=#REF!),OR(#REF!="הכל",#REF!="",ISNUMBER(SEARCH(#REF!,מלאי!C327)))),1,0)</f>
        <v>#REF!</v>
      </c>
      <c r="AE327" t="e">
        <f>IF(AND(מלאי!D327&lt;&gt;"",OR(#REF!="הכל",מלאי!Z327=#REF!,מלאי!AA327=#REF!,מלאי!AB327=#REF!,מלאי!AC327=#REF!),OR(#REF!="הכל",מלאי!A327=#REF!),OR(#REF!="הכל",מלאי!B327=#REF!),OR(#REF!="הכל",מלאי!F327=#REF!,מלאי!G327=#REF!),OR(#REF!="הכל",מלאי!T327=#REF!),OR(#REF!="הכל",מלאי!Q327=#REF!),OR(#REF!="הכל",מלאי!J327=#REF!),OR(#REF!="הכל",מלאי!L327=#REF!),OR(#REF!="הכל",מלאי!O327=#REF!),OR(#REF!="הכל",מלאי!R327=#REF!),OR(#REF!="הכל",#REF!="",מלאי!W327=#REF!),OR(#REF!="הכל",#REF!="",ISNUMBER(SEARCH(#REF!,מלאי!C327))),OR(#REF!="הכל",מלאי!#REF!=#REF!)),1,0)</f>
        <v>#REF!</v>
      </c>
      <c r="AF327" t="e">
        <f>IF(AD327=1,COUNTIF($AD$3:$AD327,1),"")</f>
        <v>#REF!</v>
      </c>
      <c r="AG327" t="e">
        <f>IF(AE327=1,COUNTIF($AE$3:$AE327,1),"")</f>
        <v>#REF!</v>
      </c>
    </row>
    <row r="328" spans="1:33" ht="15" hidden="1" customHeight="1" x14ac:dyDescent="0.35">
      <c r="A328" s="5"/>
      <c r="B328" s="5"/>
      <c r="C328" s="5"/>
      <c r="D328" s="5"/>
      <c r="E328" s="5" t="str">
        <f>IFERROR(INDEX(הגדרות!$I$2:$I$47,MATCH(B328,הגדרות!$H$2:$H$47,0)),"")</f>
        <v/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t="str">
        <f>IFERROR(INDEX(הגדרות!$B$2:$B$17,MATCH(H328,הגדרות!$A$2:$A$17,0)),"")</f>
        <v/>
      </c>
      <c r="AA328" t="str">
        <f>IFERROR(INDEX(הגדרות!$C$2:$C$17,MATCH(H328,הגדרות!$A$2:$A$17,0)),"")</f>
        <v/>
      </c>
      <c r="AB328" t="str">
        <f>IFERROR(INDEX(הגדרות!$B$2:$B$17,MATCH(I328,הגדרות!$A$2:$A$17,0)),"")</f>
        <v/>
      </c>
      <c r="AC328" t="str">
        <f>IFERROR(INDEX(הגדרות!$C$2:$C$17,MATCH(I328,הגדרות!$A$2:$A$17,0)),"")</f>
        <v/>
      </c>
      <c r="AD328" t="e">
        <f>IF(AND(מלאי!D328&lt;&gt;"",OR(#REF!="הכל",מלאי!Z328=#REF!,מלאי!AA328=#REF!,מלאי!AB328=#REF!,מלאי!AC328=#REF!),OR(#REF!="הכל",מלאי!A328=#REF!),OR(#REF!="הכל",מלאי!B328=#REF!),OR(#REF!="הכל",מלאי!F328=#REF!,מלאי!G328=#REF!),OR(#REF!="הכל",מלאי!T328=#REF!),OR(#REF!="הכל",מלאי!Q328=#REF!),OR(#REF!="הכל",מלאי!J328=#REF!),OR(#REF!="הכל",מלאי!L328=#REF!),OR(#REF!="הכל",מלאי!O328=#REF!),OR(#REF!="הכל",מלאי!R328=#REF!),OR(#REF!="הכל",#REF!="",מלאי!W328=#REF!),OR(#REF!="הכל",#REF!="",ISNUMBER(SEARCH(#REF!,מלאי!C328)))),1,0)</f>
        <v>#REF!</v>
      </c>
      <c r="AE328" t="e">
        <f>IF(AND(מלאי!D328&lt;&gt;"",OR(#REF!="הכל",מלאי!Z328=#REF!,מלאי!AA328=#REF!,מלאי!AB328=#REF!,מלאי!AC328=#REF!),OR(#REF!="הכל",מלאי!A328=#REF!),OR(#REF!="הכל",מלאי!B328=#REF!),OR(#REF!="הכל",מלאי!F328=#REF!,מלאי!G328=#REF!),OR(#REF!="הכל",מלאי!T328=#REF!),OR(#REF!="הכל",מלאי!Q328=#REF!),OR(#REF!="הכל",מלאי!J328=#REF!),OR(#REF!="הכל",מלאי!L328=#REF!),OR(#REF!="הכל",מלאי!O328=#REF!),OR(#REF!="הכל",מלאי!R328=#REF!),OR(#REF!="הכל",#REF!="",מלאי!W328=#REF!),OR(#REF!="הכל",#REF!="",ISNUMBER(SEARCH(#REF!,מלאי!C328))),OR(#REF!="הכל",מלאי!#REF!=#REF!)),1,0)</f>
        <v>#REF!</v>
      </c>
      <c r="AF328" t="e">
        <f>IF(AD328=1,COUNTIF($AD$3:$AD328,1),"")</f>
        <v>#REF!</v>
      </c>
      <c r="AG328" t="e">
        <f>IF(AE328=1,COUNTIF($AE$3:$AE328,1),"")</f>
        <v>#REF!</v>
      </c>
    </row>
    <row r="329" spans="1:33" ht="15" hidden="1" customHeight="1" x14ac:dyDescent="0.35">
      <c r="A329" s="4"/>
      <c r="B329" s="4"/>
      <c r="C329" s="4"/>
      <c r="D329" s="4"/>
      <c r="E329" s="4" t="str">
        <f>IFERROR(INDEX(הגדרות!$I$2:$I$47,MATCH(B329,הגדרות!$H$2:$H$47,0)),"")</f>
        <v/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t="str">
        <f>IFERROR(INDEX(הגדרות!$B$2:$B$17,MATCH(H329,הגדרות!$A$2:$A$17,0)),"")</f>
        <v/>
      </c>
      <c r="AA329" t="str">
        <f>IFERROR(INDEX(הגדרות!$C$2:$C$17,MATCH(H329,הגדרות!$A$2:$A$17,0)),"")</f>
        <v/>
      </c>
      <c r="AB329" t="str">
        <f>IFERROR(INDEX(הגדרות!$B$2:$B$17,MATCH(I329,הגדרות!$A$2:$A$17,0)),"")</f>
        <v/>
      </c>
      <c r="AC329" t="str">
        <f>IFERROR(INDEX(הגדרות!$C$2:$C$17,MATCH(I329,הגדרות!$A$2:$A$17,0)),"")</f>
        <v/>
      </c>
      <c r="AD329" t="e">
        <f>IF(AND(מלאי!D329&lt;&gt;"",OR(#REF!="הכל",מלאי!Z329=#REF!,מלאי!AA329=#REF!,מלאי!AB329=#REF!,מלאי!AC329=#REF!),OR(#REF!="הכל",מלאי!A329=#REF!),OR(#REF!="הכל",מלאי!B329=#REF!),OR(#REF!="הכל",מלאי!F329=#REF!,מלאי!G329=#REF!),OR(#REF!="הכל",מלאי!T329=#REF!),OR(#REF!="הכל",מלאי!Q329=#REF!),OR(#REF!="הכל",מלאי!J329=#REF!),OR(#REF!="הכל",מלאי!L329=#REF!),OR(#REF!="הכל",מלאי!O329=#REF!),OR(#REF!="הכל",מלאי!R329=#REF!),OR(#REF!="הכל",#REF!="",מלאי!W329=#REF!),OR(#REF!="הכל",#REF!="",ISNUMBER(SEARCH(#REF!,מלאי!C329)))),1,0)</f>
        <v>#REF!</v>
      </c>
      <c r="AE329" t="e">
        <f>IF(AND(מלאי!D329&lt;&gt;"",OR(#REF!="הכל",מלאי!Z329=#REF!,מלאי!AA329=#REF!,מלאי!AB329=#REF!,מלאי!AC329=#REF!),OR(#REF!="הכל",מלאי!A329=#REF!),OR(#REF!="הכל",מלאי!B329=#REF!),OR(#REF!="הכל",מלאי!F329=#REF!,מלאי!G329=#REF!),OR(#REF!="הכל",מלאי!T329=#REF!),OR(#REF!="הכל",מלאי!Q329=#REF!),OR(#REF!="הכל",מלאי!J329=#REF!),OR(#REF!="הכל",מלאי!L329=#REF!),OR(#REF!="הכל",מלאי!O329=#REF!),OR(#REF!="הכל",מלאי!R329=#REF!),OR(#REF!="הכל",#REF!="",מלאי!W329=#REF!),OR(#REF!="הכל",#REF!="",ISNUMBER(SEARCH(#REF!,מלאי!C329))),OR(#REF!="הכל",מלאי!#REF!=#REF!)),1,0)</f>
        <v>#REF!</v>
      </c>
      <c r="AF329" t="e">
        <f>IF(AD329=1,COUNTIF($AD$3:$AD329,1),"")</f>
        <v>#REF!</v>
      </c>
      <c r="AG329" t="e">
        <f>IF(AE329=1,COUNTIF($AE$3:$AE329,1),"")</f>
        <v>#REF!</v>
      </c>
    </row>
    <row r="330" spans="1:33" ht="15" hidden="1" customHeight="1" x14ac:dyDescent="0.35">
      <c r="A330" s="5"/>
      <c r="B330" s="5"/>
      <c r="C330" s="5"/>
      <c r="D330" s="5"/>
      <c r="E330" s="5" t="str">
        <f>IFERROR(INDEX(הגדרות!$I$2:$I$47,MATCH(B330,הגדרות!$H$2:$H$47,0)),"")</f>
        <v/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t="str">
        <f>IFERROR(INDEX(הגדרות!$B$2:$B$17,MATCH(H330,הגדרות!$A$2:$A$17,0)),"")</f>
        <v/>
      </c>
      <c r="AA330" t="str">
        <f>IFERROR(INDEX(הגדרות!$C$2:$C$17,MATCH(H330,הגדרות!$A$2:$A$17,0)),"")</f>
        <v/>
      </c>
      <c r="AB330" t="str">
        <f>IFERROR(INDEX(הגדרות!$B$2:$B$17,MATCH(I330,הגדרות!$A$2:$A$17,0)),"")</f>
        <v/>
      </c>
      <c r="AC330" t="str">
        <f>IFERROR(INDEX(הגדרות!$C$2:$C$17,MATCH(I330,הגדרות!$A$2:$A$17,0)),"")</f>
        <v/>
      </c>
      <c r="AD330" t="e">
        <f>IF(AND(מלאי!D330&lt;&gt;"",OR(#REF!="הכל",מלאי!Z330=#REF!,מלאי!AA330=#REF!,מלאי!AB330=#REF!,מלאי!AC330=#REF!),OR(#REF!="הכל",מלאי!A330=#REF!),OR(#REF!="הכל",מלאי!B330=#REF!),OR(#REF!="הכל",מלאי!F330=#REF!,מלאי!G330=#REF!),OR(#REF!="הכל",מלאי!T330=#REF!),OR(#REF!="הכל",מלאי!Q330=#REF!),OR(#REF!="הכל",מלאי!J330=#REF!),OR(#REF!="הכל",מלאי!L330=#REF!),OR(#REF!="הכל",מלאי!O330=#REF!),OR(#REF!="הכל",מלאי!R330=#REF!),OR(#REF!="הכל",#REF!="",מלאי!W330=#REF!),OR(#REF!="הכל",#REF!="",ISNUMBER(SEARCH(#REF!,מלאי!C330)))),1,0)</f>
        <v>#REF!</v>
      </c>
      <c r="AE330" t="e">
        <f>IF(AND(מלאי!D330&lt;&gt;"",OR(#REF!="הכל",מלאי!Z330=#REF!,מלאי!AA330=#REF!,מלאי!AB330=#REF!,מלאי!AC330=#REF!),OR(#REF!="הכל",מלאי!A330=#REF!),OR(#REF!="הכל",מלאי!B330=#REF!),OR(#REF!="הכל",מלאי!F330=#REF!,מלאי!G330=#REF!),OR(#REF!="הכל",מלאי!T330=#REF!),OR(#REF!="הכל",מלאי!Q330=#REF!),OR(#REF!="הכל",מלאי!J330=#REF!),OR(#REF!="הכל",מלאי!L330=#REF!),OR(#REF!="הכל",מלאי!O330=#REF!),OR(#REF!="הכל",מלאי!R330=#REF!),OR(#REF!="הכל",#REF!="",מלאי!W330=#REF!),OR(#REF!="הכל",#REF!="",ISNUMBER(SEARCH(#REF!,מלאי!C330))),OR(#REF!="הכל",מלאי!#REF!=#REF!)),1,0)</f>
        <v>#REF!</v>
      </c>
      <c r="AF330" t="e">
        <f>IF(AD330=1,COUNTIF($AD$3:$AD330,1),"")</f>
        <v>#REF!</v>
      </c>
      <c r="AG330" t="e">
        <f>IF(AE330=1,COUNTIF($AE$3:$AE330,1),"")</f>
        <v>#REF!</v>
      </c>
    </row>
    <row r="331" spans="1:33" ht="15" hidden="1" customHeight="1" x14ac:dyDescent="0.35">
      <c r="A331" s="4"/>
      <c r="B331" s="4"/>
      <c r="C331" s="4"/>
      <c r="D331" s="4"/>
      <c r="E331" s="4" t="str">
        <f>IFERROR(INDEX(הגדרות!$I$2:$I$47,MATCH(B331,הגדרות!$H$2:$H$47,0)),"")</f>
        <v/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t="str">
        <f>IFERROR(INDEX(הגדרות!$B$2:$B$17,MATCH(H331,הגדרות!$A$2:$A$17,0)),"")</f>
        <v/>
      </c>
      <c r="AA331" t="str">
        <f>IFERROR(INDEX(הגדרות!$C$2:$C$17,MATCH(H331,הגדרות!$A$2:$A$17,0)),"")</f>
        <v/>
      </c>
      <c r="AB331" t="str">
        <f>IFERROR(INDEX(הגדרות!$B$2:$B$17,MATCH(I331,הגדרות!$A$2:$A$17,0)),"")</f>
        <v/>
      </c>
      <c r="AC331" t="str">
        <f>IFERROR(INDEX(הגדרות!$C$2:$C$17,MATCH(I331,הגדרות!$A$2:$A$17,0)),"")</f>
        <v/>
      </c>
      <c r="AD331" t="e">
        <f>IF(AND(מלאי!D331&lt;&gt;"",OR(#REF!="הכל",מלאי!Z331=#REF!,מלאי!AA331=#REF!,מלאי!AB331=#REF!,מלאי!AC331=#REF!),OR(#REF!="הכל",מלאי!A331=#REF!),OR(#REF!="הכל",מלאי!B331=#REF!),OR(#REF!="הכל",מלאי!F331=#REF!,מלאי!G331=#REF!),OR(#REF!="הכל",מלאי!T331=#REF!),OR(#REF!="הכל",מלאי!Q331=#REF!),OR(#REF!="הכל",מלאי!J331=#REF!),OR(#REF!="הכל",מלאי!L331=#REF!),OR(#REF!="הכל",מלאי!O331=#REF!),OR(#REF!="הכל",מלאי!R331=#REF!),OR(#REF!="הכל",#REF!="",מלאי!W331=#REF!),OR(#REF!="הכל",#REF!="",ISNUMBER(SEARCH(#REF!,מלאי!C331)))),1,0)</f>
        <v>#REF!</v>
      </c>
      <c r="AE331" t="e">
        <f>IF(AND(מלאי!D331&lt;&gt;"",OR(#REF!="הכל",מלאי!Z331=#REF!,מלאי!AA331=#REF!,מלאי!AB331=#REF!,מלאי!AC331=#REF!),OR(#REF!="הכל",מלאי!A331=#REF!),OR(#REF!="הכל",מלאי!B331=#REF!),OR(#REF!="הכל",מלאי!F331=#REF!,מלאי!G331=#REF!),OR(#REF!="הכל",מלאי!T331=#REF!),OR(#REF!="הכל",מלאי!Q331=#REF!),OR(#REF!="הכל",מלאי!J331=#REF!),OR(#REF!="הכל",מלאי!L331=#REF!),OR(#REF!="הכל",מלאי!O331=#REF!),OR(#REF!="הכל",מלאי!R331=#REF!),OR(#REF!="הכל",#REF!="",מלאי!W331=#REF!),OR(#REF!="הכל",#REF!="",ISNUMBER(SEARCH(#REF!,מלאי!C331))),OR(#REF!="הכל",מלאי!#REF!=#REF!)),1,0)</f>
        <v>#REF!</v>
      </c>
      <c r="AF331" t="e">
        <f>IF(AD331=1,COUNTIF($AD$3:$AD331,1),"")</f>
        <v>#REF!</v>
      </c>
      <c r="AG331" t="e">
        <f>IF(AE331=1,COUNTIF($AE$3:$AE331,1),"")</f>
        <v>#REF!</v>
      </c>
    </row>
    <row r="332" spans="1:33" ht="15" hidden="1" customHeight="1" x14ac:dyDescent="0.35">
      <c r="A332" s="5"/>
      <c r="B332" s="5"/>
      <c r="C332" s="5"/>
      <c r="D332" s="5"/>
      <c r="E332" s="5" t="str">
        <f>IFERROR(INDEX(הגדרות!$I$2:$I$47,MATCH(B332,הגדרות!$H$2:$H$47,0)),"")</f>
        <v/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t="str">
        <f>IFERROR(INDEX(הגדרות!$B$2:$B$17,MATCH(H332,הגדרות!$A$2:$A$17,0)),"")</f>
        <v/>
      </c>
      <c r="AA332" t="str">
        <f>IFERROR(INDEX(הגדרות!$C$2:$C$17,MATCH(H332,הגדרות!$A$2:$A$17,0)),"")</f>
        <v/>
      </c>
      <c r="AB332" t="str">
        <f>IFERROR(INDEX(הגדרות!$B$2:$B$17,MATCH(I332,הגדרות!$A$2:$A$17,0)),"")</f>
        <v/>
      </c>
      <c r="AC332" t="str">
        <f>IFERROR(INDEX(הגדרות!$C$2:$C$17,MATCH(I332,הגדרות!$A$2:$A$17,0)),"")</f>
        <v/>
      </c>
      <c r="AD332" t="e">
        <f>IF(AND(מלאי!D332&lt;&gt;"",OR(#REF!="הכל",מלאי!Z332=#REF!,מלאי!AA332=#REF!,מלאי!AB332=#REF!,מלאי!AC332=#REF!),OR(#REF!="הכל",מלאי!A332=#REF!),OR(#REF!="הכל",מלאי!B332=#REF!),OR(#REF!="הכל",מלאי!F332=#REF!,מלאי!G332=#REF!),OR(#REF!="הכל",מלאי!T332=#REF!),OR(#REF!="הכל",מלאי!Q332=#REF!),OR(#REF!="הכל",מלאי!J332=#REF!),OR(#REF!="הכל",מלאי!L332=#REF!),OR(#REF!="הכל",מלאי!O332=#REF!),OR(#REF!="הכל",מלאי!R332=#REF!),OR(#REF!="הכל",#REF!="",מלאי!W332=#REF!),OR(#REF!="הכל",#REF!="",ISNUMBER(SEARCH(#REF!,מלאי!C332)))),1,0)</f>
        <v>#REF!</v>
      </c>
      <c r="AE332" t="e">
        <f>IF(AND(מלאי!D332&lt;&gt;"",OR(#REF!="הכל",מלאי!Z332=#REF!,מלאי!AA332=#REF!,מלאי!AB332=#REF!,מלאי!AC332=#REF!),OR(#REF!="הכל",מלאי!A332=#REF!),OR(#REF!="הכל",מלאי!B332=#REF!),OR(#REF!="הכל",מלאי!F332=#REF!,מלאי!G332=#REF!),OR(#REF!="הכל",מלאי!T332=#REF!),OR(#REF!="הכל",מלאי!Q332=#REF!),OR(#REF!="הכל",מלאי!J332=#REF!),OR(#REF!="הכל",מלאי!L332=#REF!),OR(#REF!="הכל",מלאי!O332=#REF!),OR(#REF!="הכל",מלאי!R332=#REF!),OR(#REF!="הכל",#REF!="",מלאי!W332=#REF!),OR(#REF!="הכל",#REF!="",ISNUMBER(SEARCH(#REF!,מלאי!C332))),OR(#REF!="הכל",מלאי!#REF!=#REF!)),1,0)</f>
        <v>#REF!</v>
      </c>
      <c r="AF332" t="e">
        <f>IF(AD332=1,COUNTIF($AD$3:$AD332,1),"")</f>
        <v>#REF!</v>
      </c>
      <c r="AG332" t="e">
        <f>IF(AE332=1,COUNTIF($AE$3:$AE332,1),"")</f>
        <v>#REF!</v>
      </c>
    </row>
    <row r="333" spans="1:33" ht="15" hidden="1" customHeight="1" x14ac:dyDescent="0.35">
      <c r="A333" s="4"/>
      <c r="B333" s="4"/>
      <c r="C333" s="4"/>
      <c r="D333" s="4"/>
      <c r="E333" s="4" t="str">
        <f>IFERROR(INDEX(הגדרות!$I$2:$I$47,MATCH(B333,הגדרות!$H$2:$H$47,0)),"")</f>
        <v/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t="str">
        <f>IFERROR(INDEX(הגדרות!$B$2:$B$17,MATCH(H333,הגדרות!$A$2:$A$17,0)),"")</f>
        <v/>
      </c>
      <c r="AA333" t="str">
        <f>IFERROR(INDEX(הגדרות!$C$2:$C$17,MATCH(H333,הגדרות!$A$2:$A$17,0)),"")</f>
        <v/>
      </c>
      <c r="AB333" t="str">
        <f>IFERROR(INDEX(הגדרות!$B$2:$B$17,MATCH(I333,הגדרות!$A$2:$A$17,0)),"")</f>
        <v/>
      </c>
      <c r="AC333" t="str">
        <f>IFERROR(INDEX(הגדרות!$C$2:$C$17,MATCH(I333,הגדרות!$A$2:$A$17,0)),"")</f>
        <v/>
      </c>
      <c r="AD333" t="e">
        <f>IF(AND(מלאי!D333&lt;&gt;"",OR(#REF!="הכל",מלאי!Z333=#REF!,מלאי!AA333=#REF!,מלאי!AB333=#REF!,מלאי!AC333=#REF!),OR(#REF!="הכל",מלאי!A333=#REF!),OR(#REF!="הכל",מלאי!B333=#REF!),OR(#REF!="הכל",מלאי!F333=#REF!,מלאי!G333=#REF!),OR(#REF!="הכל",מלאי!T333=#REF!),OR(#REF!="הכל",מלאי!Q333=#REF!),OR(#REF!="הכל",מלאי!J333=#REF!),OR(#REF!="הכל",מלאי!L333=#REF!),OR(#REF!="הכל",מלאי!O333=#REF!),OR(#REF!="הכל",מלאי!R333=#REF!),OR(#REF!="הכל",#REF!="",מלאי!W333=#REF!),OR(#REF!="הכל",#REF!="",ISNUMBER(SEARCH(#REF!,מלאי!C333)))),1,0)</f>
        <v>#REF!</v>
      </c>
      <c r="AE333" t="e">
        <f>IF(AND(מלאי!D333&lt;&gt;"",OR(#REF!="הכל",מלאי!Z333=#REF!,מלאי!AA333=#REF!,מלאי!AB333=#REF!,מלאי!AC333=#REF!),OR(#REF!="הכל",מלאי!A333=#REF!),OR(#REF!="הכל",מלאי!B333=#REF!),OR(#REF!="הכל",מלאי!F333=#REF!,מלאי!G333=#REF!),OR(#REF!="הכל",מלאי!T333=#REF!),OR(#REF!="הכל",מלאי!Q333=#REF!),OR(#REF!="הכל",מלאי!J333=#REF!),OR(#REF!="הכל",מלאי!L333=#REF!),OR(#REF!="הכל",מלאי!O333=#REF!),OR(#REF!="הכל",מלאי!R333=#REF!),OR(#REF!="הכל",#REF!="",מלאי!W333=#REF!),OR(#REF!="הכל",#REF!="",ISNUMBER(SEARCH(#REF!,מלאי!C333))),OR(#REF!="הכל",מלאי!#REF!=#REF!)),1,0)</f>
        <v>#REF!</v>
      </c>
      <c r="AF333" t="e">
        <f>IF(AD333=1,COUNTIF($AD$3:$AD333,1),"")</f>
        <v>#REF!</v>
      </c>
      <c r="AG333" t="e">
        <f>IF(AE333=1,COUNTIF($AE$3:$AE333,1),"")</f>
        <v>#REF!</v>
      </c>
    </row>
    <row r="334" spans="1:33" ht="15" hidden="1" customHeight="1" x14ac:dyDescent="0.35">
      <c r="A334" s="5"/>
      <c r="B334" s="5"/>
      <c r="C334" s="5"/>
      <c r="D334" s="5"/>
      <c r="E334" s="5" t="str">
        <f>IFERROR(INDEX(הגדרות!$I$2:$I$47,MATCH(B334,הגדרות!$H$2:$H$47,0)),"")</f>
        <v/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t="str">
        <f>IFERROR(INDEX(הגדרות!$B$2:$B$17,MATCH(H334,הגדרות!$A$2:$A$17,0)),"")</f>
        <v/>
      </c>
      <c r="AA334" t="str">
        <f>IFERROR(INDEX(הגדרות!$C$2:$C$17,MATCH(H334,הגדרות!$A$2:$A$17,0)),"")</f>
        <v/>
      </c>
      <c r="AB334" t="str">
        <f>IFERROR(INDEX(הגדרות!$B$2:$B$17,MATCH(I334,הגדרות!$A$2:$A$17,0)),"")</f>
        <v/>
      </c>
      <c r="AC334" t="str">
        <f>IFERROR(INDEX(הגדרות!$C$2:$C$17,MATCH(I334,הגדרות!$A$2:$A$17,0)),"")</f>
        <v/>
      </c>
      <c r="AD334" t="e">
        <f>IF(AND(מלאי!D334&lt;&gt;"",OR(#REF!="הכל",מלאי!Z334=#REF!,מלאי!AA334=#REF!,מלאי!AB334=#REF!,מלאי!AC334=#REF!),OR(#REF!="הכל",מלאי!A334=#REF!),OR(#REF!="הכל",מלאי!B334=#REF!),OR(#REF!="הכל",מלאי!F334=#REF!,מלאי!G334=#REF!),OR(#REF!="הכל",מלאי!T334=#REF!),OR(#REF!="הכל",מלאי!Q334=#REF!),OR(#REF!="הכל",מלאי!J334=#REF!),OR(#REF!="הכל",מלאי!L334=#REF!),OR(#REF!="הכל",מלאי!O334=#REF!),OR(#REF!="הכל",מלאי!R334=#REF!),OR(#REF!="הכל",#REF!="",מלאי!W334=#REF!),OR(#REF!="הכל",#REF!="",ISNUMBER(SEARCH(#REF!,מלאי!C334)))),1,0)</f>
        <v>#REF!</v>
      </c>
      <c r="AE334" t="e">
        <f>IF(AND(מלאי!D334&lt;&gt;"",OR(#REF!="הכל",מלאי!Z334=#REF!,מלאי!AA334=#REF!,מלאי!AB334=#REF!,מלאי!AC334=#REF!),OR(#REF!="הכל",מלאי!A334=#REF!),OR(#REF!="הכל",מלאי!B334=#REF!),OR(#REF!="הכל",מלאי!F334=#REF!,מלאי!G334=#REF!),OR(#REF!="הכל",מלאי!T334=#REF!),OR(#REF!="הכל",מלאי!Q334=#REF!),OR(#REF!="הכל",מלאי!J334=#REF!),OR(#REF!="הכל",מלאי!L334=#REF!),OR(#REF!="הכל",מלאי!O334=#REF!),OR(#REF!="הכל",מלאי!R334=#REF!),OR(#REF!="הכל",#REF!="",מלאי!W334=#REF!),OR(#REF!="הכל",#REF!="",ISNUMBER(SEARCH(#REF!,מלאי!C334))),OR(#REF!="הכל",מלאי!#REF!=#REF!)),1,0)</f>
        <v>#REF!</v>
      </c>
      <c r="AF334" t="e">
        <f>IF(AD334=1,COUNTIF($AD$3:$AD334,1),"")</f>
        <v>#REF!</v>
      </c>
      <c r="AG334" t="e">
        <f>IF(AE334=1,COUNTIF($AE$3:$AE334,1),"")</f>
        <v>#REF!</v>
      </c>
    </row>
    <row r="335" spans="1:33" ht="15" hidden="1" customHeight="1" x14ac:dyDescent="0.35">
      <c r="A335" s="4"/>
      <c r="B335" s="4"/>
      <c r="C335" s="4"/>
      <c r="D335" s="4"/>
      <c r="E335" s="4" t="str">
        <f>IFERROR(INDEX(הגדרות!$I$2:$I$47,MATCH(B335,הגדרות!$H$2:$H$47,0)),"")</f>
        <v/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t="str">
        <f>IFERROR(INDEX(הגדרות!$B$2:$B$17,MATCH(H335,הגדרות!$A$2:$A$17,0)),"")</f>
        <v/>
      </c>
      <c r="AA335" t="str">
        <f>IFERROR(INDEX(הגדרות!$C$2:$C$17,MATCH(H335,הגדרות!$A$2:$A$17,0)),"")</f>
        <v/>
      </c>
      <c r="AB335" t="str">
        <f>IFERROR(INDEX(הגדרות!$B$2:$B$17,MATCH(I335,הגדרות!$A$2:$A$17,0)),"")</f>
        <v/>
      </c>
      <c r="AC335" t="str">
        <f>IFERROR(INDEX(הגדרות!$C$2:$C$17,MATCH(I335,הגדרות!$A$2:$A$17,0)),"")</f>
        <v/>
      </c>
      <c r="AD335" t="e">
        <f>IF(AND(מלאי!D335&lt;&gt;"",OR(#REF!="הכל",מלאי!Z335=#REF!,מלאי!AA335=#REF!,מלאי!AB335=#REF!,מלאי!AC335=#REF!),OR(#REF!="הכל",מלאי!A335=#REF!),OR(#REF!="הכל",מלאי!B335=#REF!),OR(#REF!="הכל",מלאי!F335=#REF!,מלאי!G335=#REF!),OR(#REF!="הכל",מלאי!T335=#REF!),OR(#REF!="הכל",מלאי!Q335=#REF!),OR(#REF!="הכל",מלאי!J335=#REF!),OR(#REF!="הכל",מלאי!L335=#REF!),OR(#REF!="הכל",מלאי!O335=#REF!),OR(#REF!="הכל",מלאי!R335=#REF!),OR(#REF!="הכל",#REF!="",מלאי!W335=#REF!),OR(#REF!="הכל",#REF!="",ISNUMBER(SEARCH(#REF!,מלאי!C335)))),1,0)</f>
        <v>#REF!</v>
      </c>
      <c r="AE335" t="e">
        <f>IF(AND(מלאי!D335&lt;&gt;"",OR(#REF!="הכל",מלאי!Z335=#REF!,מלאי!AA335=#REF!,מלאי!AB335=#REF!,מלאי!AC335=#REF!),OR(#REF!="הכל",מלאי!A335=#REF!),OR(#REF!="הכל",מלאי!B335=#REF!),OR(#REF!="הכל",מלאי!F335=#REF!,מלאי!G335=#REF!),OR(#REF!="הכל",מלאי!T335=#REF!),OR(#REF!="הכל",מלאי!Q335=#REF!),OR(#REF!="הכל",מלאי!J335=#REF!),OR(#REF!="הכל",מלאי!L335=#REF!),OR(#REF!="הכל",מלאי!O335=#REF!),OR(#REF!="הכל",מלאי!R335=#REF!),OR(#REF!="הכל",#REF!="",מלאי!W335=#REF!),OR(#REF!="הכל",#REF!="",ISNUMBER(SEARCH(#REF!,מלאי!C335))),OR(#REF!="הכל",מלאי!#REF!=#REF!)),1,0)</f>
        <v>#REF!</v>
      </c>
      <c r="AF335" t="e">
        <f>IF(AD335=1,COUNTIF($AD$3:$AD335,1),"")</f>
        <v>#REF!</v>
      </c>
      <c r="AG335" t="e">
        <f>IF(AE335=1,COUNTIF($AE$3:$AE335,1),"")</f>
        <v>#REF!</v>
      </c>
    </row>
    <row r="336" spans="1:33" ht="15" hidden="1" customHeight="1" x14ac:dyDescent="0.35">
      <c r="A336" s="5"/>
      <c r="B336" s="5"/>
      <c r="C336" s="5"/>
      <c r="D336" s="5"/>
      <c r="E336" s="5" t="str">
        <f>IFERROR(INDEX(הגדרות!$I$2:$I$47,MATCH(B336,הגדרות!$H$2:$H$47,0)),"")</f>
        <v/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t="str">
        <f>IFERROR(INDEX(הגדרות!$B$2:$B$17,MATCH(H336,הגדרות!$A$2:$A$17,0)),"")</f>
        <v/>
      </c>
      <c r="AA336" t="str">
        <f>IFERROR(INDEX(הגדרות!$C$2:$C$17,MATCH(H336,הגדרות!$A$2:$A$17,0)),"")</f>
        <v/>
      </c>
      <c r="AB336" t="str">
        <f>IFERROR(INDEX(הגדרות!$B$2:$B$17,MATCH(I336,הגדרות!$A$2:$A$17,0)),"")</f>
        <v/>
      </c>
      <c r="AC336" t="str">
        <f>IFERROR(INDEX(הגדרות!$C$2:$C$17,MATCH(I336,הגדרות!$A$2:$A$17,0)),"")</f>
        <v/>
      </c>
      <c r="AD336" t="e">
        <f>IF(AND(מלאי!D336&lt;&gt;"",OR(#REF!="הכל",מלאי!Z336=#REF!,מלאי!AA336=#REF!,מלאי!AB336=#REF!,מלאי!AC336=#REF!),OR(#REF!="הכל",מלאי!A336=#REF!),OR(#REF!="הכל",מלאי!B336=#REF!),OR(#REF!="הכל",מלאי!F336=#REF!,מלאי!G336=#REF!),OR(#REF!="הכל",מלאי!T336=#REF!),OR(#REF!="הכל",מלאי!Q336=#REF!),OR(#REF!="הכל",מלאי!J336=#REF!),OR(#REF!="הכל",מלאי!L336=#REF!),OR(#REF!="הכל",מלאי!O336=#REF!),OR(#REF!="הכל",מלאי!R336=#REF!),OR(#REF!="הכל",#REF!="",מלאי!W336=#REF!),OR(#REF!="הכל",#REF!="",ISNUMBER(SEARCH(#REF!,מלאי!C336)))),1,0)</f>
        <v>#REF!</v>
      </c>
      <c r="AE336" t="e">
        <f>IF(AND(מלאי!D336&lt;&gt;"",OR(#REF!="הכל",מלאי!Z336=#REF!,מלאי!AA336=#REF!,מלאי!AB336=#REF!,מלאי!AC336=#REF!),OR(#REF!="הכל",מלאי!A336=#REF!),OR(#REF!="הכל",מלאי!B336=#REF!),OR(#REF!="הכל",מלאי!F336=#REF!,מלאי!G336=#REF!),OR(#REF!="הכל",מלאי!T336=#REF!),OR(#REF!="הכל",מלאי!Q336=#REF!),OR(#REF!="הכל",מלאי!J336=#REF!),OR(#REF!="הכל",מלאי!L336=#REF!),OR(#REF!="הכל",מלאי!O336=#REF!),OR(#REF!="הכל",מלאי!R336=#REF!),OR(#REF!="הכל",#REF!="",מלאי!W336=#REF!),OR(#REF!="הכל",#REF!="",ISNUMBER(SEARCH(#REF!,מלאי!C336))),OR(#REF!="הכל",מלאי!#REF!=#REF!)),1,0)</f>
        <v>#REF!</v>
      </c>
      <c r="AF336" t="e">
        <f>IF(AD336=1,COUNTIF($AD$3:$AD336,1),"")</f>
        <v>#REF!</v>
      </c>
      <c r="AG336" t="e">
        <f>IF(AE336=1,COUNTIF($AE$3:$AE336,1),"")</f>
        <v>#REF!</v>
      </c>
    </row>
    <row r="337" spans="1:33" ht="15" hidden="1" customHeight="1" x14ac:dyDescent="0.35">
      <c r="A337" s="4"/>
      <c r="B337" s="4"/>
      <c r="C337" s="4"/>
      <c r="D337" s="4"/>
      <c r="E337" s="4" t="str">
        <f>IFERROR(INDEX(הגדרות!$I$2:$I$47,MATCH(B337,הגדרות!$H$2:$H$47,0)),"")</f>
        <v/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t="str">
        <f>IFERROR(INDEX(הגדרות!$B$2:$B$17,MATCH(H337,הגדרות!$A$2:$A$17,0)),"")</f>
        <v/>
      </c>
      <c r="AA337" t="str">
        <f>IFERROR(INDEX(הגדרות!$C$2:$C$17,MATCH(H337,הגדרות!$A$2:$A$17,0)),"")</f>
        <v/>
      </c>
      <c r="AB337" t="str">
        <f>IFERROR(INDEX(הגדרות!$B$2:$B$17,MATCH(I337,הגדרות!$A$2:$A$17,0)),"")</f>
        <v/>
      </c>
      <c r="AC337" t="str">
        <f>IFERROR(INDEX(הגדרות!$C$2:$C$17,MATCH(I337,הגדרות!$A$2:$A$17,0)),"")</f>
        <v/>
      </c>
      <c r="AD337" t="e">
        <f>IF(AND(מלאי!D337&lt;&gt;"",OR(#REF!="הכל",מלאי!Z337=#REF!,מלאי!AA337=#REF!,מלאי!AB337=#REF!,מלאי!AC337=#REF!),OR(#REF!="הכל",מלאי!A337=#REF!),OR(#REF!="הכל",מלאי!B337=#REF!),OR(#REF!="הכל",מלאי!F337=#REF!,מלאי!G337=#REF!),OR(#REF!="הכל",מלאי!T337=#REF!),OR(#REF!="הכל",מלאי!Q337=#REF!),OR(#REF!="הכל",מלאי!J337=#REF!),OR(#REF!="הכל",מלאי!L337=#REF!),OR(#REF!="הכל",מלאי!O337=#REF!),OR(#REF!="הכל",מלאי!R337=#REF!),OR(#REF!="הכל",#REF!="",מלאי!W337=#REF!),OR(#REF!="הכל",#REF!="",ISNUMBER(SEARCH(#REF!,מלאי!C337)))),1,0)</f>
        <v>#REF!</v>
      </c>
      <c r="AE337" t="e">
        <f>IF(AND(מלאי!D337&lt;&gt;"",OR(#REF!="הכל",מלאי!Z337=#REF!,מלאי!AA337=#REF!,מלאי!AB337=#REF!,מלאי!AC337=#REF!),OR(#REF!="הכל",מלאי!A337=#REF!),OR(#REF!="הכל",מלאי!B337=#REF!),OR(#REF!="הכל",מלאי!F337=#REF!,מלאי!G337=#REF!),OR(#REF!="הכל",מלאי!T337=#REF!),OR(#REF!="הכל",מלאי!Q337=#REF!),OR(#REF!="הכל",מלאי!J337=#REF!),OR(#REF!="הכל",מלאי!L337=#REF!),OR(#REF!="הכל",מלאי!O337=#REF!),OR(#REF!="הכל",מלאי!R337=#REF!),OR(#REF!="הכל",#REF!="",מלאי!W337=#REF!),OR(#REF!="הכל",#REF!="",ISNUMBER(SEARCH(#REF!,מלאי!C337))),OR(#REF!="הכל",מלאי!#REF!=#REF!)),1,0)</f>
        <v>#REF!</v>
      </c>
      <c r="AF337" t="e">
        <f>IF(AD337=1,COUNTIF($AD$3:$AD337,1),"")</f>
        <v>#REF!</v>
      </c>
      <c r="AG337" t="e">
        <f>IF(AE337=1,COUNTIF($AE$3:$AE337,1),"")</f>
        <v>#REF!</v>
      </c>
    </row>
    <row r="338" spans="1:33" ht="15" hidden="1" customHeight="1" x14ac:dyDescent="0.35">
      <c r="A338" s="5"/>
      <c r="B338" s="5"/>
      <c r="C338" s="5"/>
      <c r="D338" s="5"/>
      <c r="E338" s="5" t="str">
        <f>IFERROR(INDEX(הגדרות!$I$2:$I$47,MATCH(B338,הגדרות!$H$2:$H$47,0)),"")</f>
        <v/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t="str">
        <f>IFERROR(INDEX(הגדרות!$B$2:$B$17,MATCH(H338,הגדרות!$A$2:$A$17,0)),"")</f>
        <v/>
      </c>
      <c r="AA338" t="str">
        <f>IFERROR(INDEX(הגדרות!$C$2:$C$17,MATCH(H338,הגדרות!$A$2:$A$17,0)),"")</f>
        <v/>
      </c>
      <c r="AB338" t="str">
        <f>IFERROR(INDEX(הגדרות!$B$2:$B$17,MATCH(I338,הגדרות!$A$2:$A$17,0)),"")</f>
        <v/>
      </c>
      <c r="AC338" t="str">
        <f>IFERROR(INDEX(הגדרות!$C$2:$C$17,MATCH(I338,הגדרות!$A$2:$A$17,0)),"")</f>
        <v/>
      </c>
      <c r="AD338" t="e">
        <f>IF(AND(מלאי!D338&lt;&gt;"",OR(#REF!="הכל",מלאי!Z338=#REF!,מלאי!AA338=#REF!,מלאי!AB338=#REF!,מלאי!AC338=#REF!),OR(#REF!="הכל",מלאי!A338=#REF!),OR(#REF!="הכל",מלאי!B338=#REF!),OR(#REF!="הכל",מלאי!F338=#REF!,מלאי!G338=#REF!),OR(#REF!="הכל",מלאי!T338=#REF!),OR(#REF!="הכל",מלאי!Q338=#REF!),OR(#REF!="הכל",מלאי!J338=#REF!),OR(#REF!="הכל",מלאי!L338=#REF!),OR(#REF!="הכל",מלאי!O338=#REF!),OR(#REF!="הכל",מלאי!R338=#REF!),OR(#REF!="הכל",#REF!="",מלאי!W338=#REF!),OR(#REF!="הכל",#REF!="",ISNUMBER(SEARCH(#REF!,מלאי!C338)))),1,0)</f>
        <v>#REF!</v>
      </c>
      <c r="AE338" t="e">
        <f>IF(AND(מלאי!D338&lt;&gt;"",OR(#REF!="הכל",מלאי!Z338=#REF!,מלאי!AA338=#REF!,מלאי!AB338=#REF!,מלאי!AC338=#REF!),OR(#REF!="הכל",מלאי!A338=#REF!),OR(#REF!="הכל",מלאי!B338=#REF!),OR(#REF!="הכל",מלאי!F338=#REF!,מלאי!G338=#REF!),OR(#REF!="הכל",מלאי!T338=#REF!),OR(#REF!="הכל",מלאי!Q338=#REF!),OR(#REF!="הכל",מלאי!J338=#REF!),OR(#REF!="הכל",מלאי!L338=#REF!),OR(#REF!="הכל",מלאי!O338=#REF!),OR(#REF!="הכל",מלאי!R338=#REF!),OR(#REF!="הכל",#REF!="",מלאי!W338=#REF!),OR(#REF!="הכל",#REF!="",ISNUMBER(SEARCH(#REF!,מלאי!C338))),OR(#REF!="הכל",מלאי!#REF!=#REF!)),1,0)</f>
        <v>#REF!</v>
      </c>
      <c r="AF338" t="e">
        <f>IF(AD338=1,COUNTIF($AD$3:$AD338,1),"")</f>
        <v>#REF!</v>
      </c>
      <c r="AG338" t="e">
        <f>IF(AE338=1,COUNTIF($AE$3:$AE338,1),"")</f>
        <v>#REF!</v>
      </c>
    </row>
    <row r="339" spans="1:33" ht="15" hidden="1" customHeight="1" x14ac:dyDescent="0.35">
      <c r="A339" s="4"/>
      <c r="B339" s="4"/>
      <c r="C339" s="4"/>
      <c r="D339" s="4"/>
      <c r="E339" s="4" t="str">
        <f>IFERROR(INDEX(הגדרות!$I$2:$I$47,MATCH(B339,הגדרות!$H$2:$H$47,0)),"")</f>
        <v/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t="str">
        <f>IFERROR(INDEX(הגדרות!$B$2:$B$17,MATCH(H339,הגדרות!$A$2:$A$17,0)),"")</f>
        <v/>
      </c>
      <c r="AA339" t="str">
        <f>IFERROR(INDEX(הגדרות!$C$2:$C$17,MATCH(H339,הגדרות!$A$2:$A$17,0)),"")</f>
        <v/>
      </c>
      <c r="AB339" t="str">
        <f>IFERROR(INDEX(הגדרות!$B$2:$B$17,MATCH(I339,הגדרות!$A$2:$A$17,0)),"")</f>
        <v/>
      </c>
      <c r="AC339" t="str">
        <f>IFERROR(INDEX(הגדרות!$C$2:$C$17,MATCH(I339,הגדרות!$A$2:$A$17,0)),"")</f>
        <v/>
      </c>
      <c r="AD339" t="e">
        <f>IF(AND(מלאי!D339&lt;&gt;"",OR(#REF!="הכל",מלאי!Z339=#REF!,מלאי!AA339=#REF!,מלאי!AB339=#REF!,מלאי!AC339=#REF!),OR(#REF!="הכל",מלאי!A339=#REF!),OR(#REF!="הכל",מלאי!B339=#REF!),OR(#REF!="הכל",מלאי!F339=#REF!,מלאי!G339=#REF!),OR(#REF!="הכל",מלאי!T339=#REF!),OR(#REF!="הכל",מלאי!Q339=#REF!),OR(#REF!="הכל",מלאי!J339=#REF!),OR(#REF!="הכל",מלאי!L339=#REF!),OR(#REF!="הכל",מלאי!O339=#REF!),OR(#REF!="הכל",מלאי!R339=#REF!),OR(#REF!="הכל",#REF!="",מלאי!W339=#REF!),OR(#REF!="הכל",#REF!="",ISNUMBER(SEARCH(#REF!,מלאי!C339)))),1,0)</f>
        <v>#REF!</v>
      </c>
      <c r="AE339" t="e">
        <f>IF(AND(מלאי!D339&lt;&gt;"",OR(#REF!="הכל",מלאי!Z339=#REF!,מלאי!AA339=#REF!,מלאי!AB339=#REF!,מלאי!AC339=#REF!),OR(#REF!="הכל",מלאי!A339=#REF!),OR(#REF!="הכל",מלאי!B339=#REF!),OR(#REF!="הכל",מלאי!F339=#REF!,מלאי!G339=#REF!),OR(#REF!="הכל",מלאי!T339=#REF!),OR(#REF!="הכל",מלאי!Q339=#REF!),OR(#REF!="הכל",מלאי!J339=#REF!),OR(#REF!="הכל",מלאי!L339=#REF!),OR(#REF!="הכל",מלאי!O339=#REF!),OR(#REF!="הכל",מלאי!R339=#REF!),OR(#REF!="הכל",#REF!="",מלאי!W339=#REF!),OR(#REF!="הכל",#REF!="",ISNUMBER(SEARCH(#REF!,מלאי!C339))),OR(#REF!="הכל",מלאי!#REF!=#REF!)),1,0)</f>
        <v>#REF!</v>
      </c>
      <c r="AF339" t="e">
        <f>IF(AD339=1,COUNTIF($AD$3:$AD339,1),"")</f>
        <v>#REF!</v>
      </c>
      <c r="AG339" t="e">
        <f>IF(AE339=1,COUNTIF($AE$3:$AE339,1),"")</f>
        <v>#REF!</v>
      </c>
    </row>
    <row r="340" spans="1:33" ht="15" hidden="1" customHeight="1" x14ac:dyDescent="0.35">
      <c r="A340" s="5"/>
      <c r="B340" s="5"/>
      <c r="C340" s="5"/>
      <c r="D340" s="5"/>
      <c r="E340" s="5" t="str">
        <f>IFERROR(INDEX(הגדרות!$I$2:$I$47,MATCH(B340,הגדרות!$H$2:$H$47,0)),"")</f>
        <v/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t="str">
        <f>IFERROR(INDEX(הגדרות!$B$2:$B$17,MATCH(H340,הגדרות!$A$2:$A$17,0)),"")</f>
        <v/>
      </c>
      <c r="AA340" t="str">
        <f>IFERROR(INDEX(הגדרות!$C$2:$C$17,MATCH(H340,הגדרות!$A$2:$A$17,0)),"")</f>
        <v/>
      </c>
      <c r="AB340" t="str">
        <f>IFERROR(INDEX(הגדרות!$B$2:$B$17,MATCH(I340,הגדרות!$A$2:$A$17,0)),"")</f>
        <v/>
      </c>
      <c r="AC340" t="str">
        <f>IFERROR(INDEX(הגדרות!$C$2:$C$17,MATCH(I340,הגדרות!$A$2:$A$17,0)),"")</f>
        <v/>
      </c>
      <c r="AD340" t="e">
        <f>IF(AND(מלאי!D340&lt;&gt;"",OR(#REF!="הכל",מלאי!Z340=#REF!,מלאי!AA340=#REF!,מלאי!AB340=#REF!,מלאי!AC340=#REF!),OR(#REF!="הכל",מלאי!A340=#REF!),OR(#REF!="הכל",מלאי!B340=#REF!),OR(#REF!="הכל",מלאי!F340=#REF!,מלאי!G340=#REF!),OR(#REF!="הכל",מלאי!T340=#REF!),OR(#REF!="הכל",מלאי!Q340=#REF!),OR(#REF!="הכל",מלאי!J340=#REF!),OR(#REF!="הכל",מלאי!L340=#REF!),OR(#REF!="הכל",מלאי!O340=#REF!),OR(#REF!="הכל",מלאי!R340=#REF!),OR(#REF!="הכל",#REF!="",מלאי!W340=#REF!),OR(#REF!="הכל",#REF!="",ISNUMBER(SEARCH(#REF!,מלאי!C340)))),1,0)</f>
        <v>#REF!</v>
      </c>
      <c r="AE340" t="e">
        <f>IF(AND(מלאי!D340&lt;&gt;"",OR(#REF!="הכל",מלאי!Z340=#REF!,מלאי!AA340=#REF!,מלאי!AB340=#REF!,מלאי!AC340=#REF!),OR(#REF!="הכל",מלאי!A340=#REF!),OR(#REF!="הכל",מלאי!B340=#REF!),OR(#REF!="הכל",מלאי!F340=#REF!,מלאי!G340=#REF!),OR(#REF!="הכל",מלאי!T340=#REF!),OR(#REF!="הכל",מלאי!Q340=#REF!),OR(#REF!="הכל",מלאי!J340=#REF!),OR(#REF!="הכל",מלאי!L340=#REF!),OR(#REF!="הכל",מלאי!O340=#REF!),OR(#REF!="הכל",מלאי!R340=#REF!),OR(#REF!="הכל",#REF!="",מלאי!W340=#REF!),OR(#REF!="הכל",#REF!="",ISNUMBER(SEARCH(#REF!,מלאי!C340))),OR(#REF!="הכל",מלאי!#REF!=#REF!)),1,0)</f>
        <v>#REF!</v>
      </c>
      <c r="AF340" t="e">
        <f>IF(AD340=1,COUNTIF($AD$3:$AD340,1),"")</f>
        <v>#REF!</v>
      </c>
      <c r="AG340" t="e">
        <f>IF(AE340=1,COUNTIF($AE$3:$AE340,1),"")</f>
        <v>#REF!</v>
      </c>
    </row>
    <row r="341" spans="1:33" ht="15" hidden="1" customHeight="1" x14ac:dyDescent="0.35">
      <c r="A341" s="4"/>
      <c r="B341" s="4"/>
      <c r="C341" s="4"/>
      <c r="D341" s="4"/>
      <c r="E341" s="4" t="str">
        <f>IFERROR(INDEX(הגדרות!$I$2:$I$47,MATCH(B341,הגדרות!$H$2:$H$47,0)),"")</f>
        <v/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t="str">
        <f>IFERROR(INDEX(הגדרות!$B$2:$B$17,MATCH(H341,הגדרות!$A$2:$A$17,0)),"")</f>
        <v/>
      </c>
      <c r="AA341" t="str">
        <f>IFERROR(INDEX(הגדרות!$C$2:$C$17,MATCH(H341,הגדרות!$A$2:$A$17,0)),"")</f>
        <v/>
      </c>
      <c r="AB341" t="str">
        <f>IFERROR(INDEX(הגדרות!$B$2:$B$17,MATCH(I341,הגדרות!$A$2:$A$17,0)),"")</f>
        <v/>
      </c>
      <c r="AC341" t="str">
        <f>IFERROR(INDEX(הגדרות!$C$2:$C$17,MATCH(I341,הגדרות!$A$2:$A$17,0)),"")</f>
        <v/>
      </c>
      <c r="AD341" t="e">
        <f>IF(AND(מלאי!D341&lt;&gt;"",OR(#REF!="הכל",מלאי!Z341=#REF!,מלאי!AA341=#REF!,מלאי!AB341=#REF!,מלאי!AC341=#REF!),OR(#REF!="הכל",מלאי!A341=#REF!),OR(#REF!="הכל",מלאי!B341=#REF!),OR(#REF!="הכל",מלאי!F341=#REF!,מלאי!G341=#REF!),OR(#REF!="הכל",מלאי!T341=#REF!),OR(#REF!="הכל",מלאי!Q341=#REF!),OR(#REF!="הכל",מלאי!J341=#REF!),OR(#REF!="הכל",מלאי!L341=#REF!),OR(#REF!="הכל",מלאי!O341=#REF!),OR(#REF!="הכל",מלאי!R341=#REF!),OR(#REF!="הכל",#REF!="",מלאי!W341=#REF!),OR(#REF!="הכל",#REF!="",ISNUMBER(SEARCH(#REF!,מלאי!C341)))),1,0)</f>
        <v>#REF!</v>
      </c>
      <c r="AE341" t="e">
        <f>IF(AND(מלאי!D341&lt;&gt;"",OR(#REF!="הכל",מלאי!Z341=#REF!,מלאי!AA341=#REF!,מלאי!AB341=#REF!,מלאי!AC341=#REF!),OR(#REF!="הכל",מלאי!A341=#REF!),OR(#REF!="הכל",מלאי!B341=#REF!),OR(#REF!="הכל",מלאי!F341=#REF!,מלאי!G341=#REF!),OR(#REF!="הכל",מלאי!T341=#REF!),OR(#REF!="הכל",מלאי!Q341=#REF!),OR(#REF!="הכל",מלאי!J341=#REF!),OR(#REF!="הכל",מלאי!L341=#REF!),OR(#REF!="הכל",מלאי!O341=#REF!),OR(#REF!="הכל",מלאי!R341=#REF!),OR(#REF!="הכל",#REF!="",מלאי!W341=#REF!),OR(#REF!="הכל",#REF!="",ISNUMBER(SEARCH(#REF!,מלאי!C341))),OR(#REF!="הכל",מלאי!#REF!=#REF!)),1,0)</f>
        <v>#REF!</v>
      </c>
      <c r="AF341" t="e">
        <f>IF(AD341=1,COUNTIF($AD$3:$AD341,1),"")</f>
        <v>#REF!</v>
      </c>
      <c r="AG341" t="e">
        <f>IF(AE341=1,COUNTIF($AE$3:$AE341,1),"")</f>
        <v>#REF!</v>
      </c>
    </row>
    <row r="342" spans="1:33" ht="15" hidden="1" customHeight="1" x14ac:dyDescent="0.35">
      <c r="A342" s="5"/>
      <c r="B342" s="5"/>
      <c r="C342" s="5"/>
      <c r="D342" s="5"/>
      <c r="E342" s="5" t="str">
        <f>IFERROR(INDEX(הגדרות!$I$2:$I$47,MATCH(B342,הגדרות!$H$2:$H$47,0)),"")</f>
        <v/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t="str">
        <f>IFERROR(INDEX(הגדרות!$B$2:$B$17,MATCH(H342,הגדרות!$A$2:$A$17,0)),"")</f>
        <v/>
      </c>
      <c r="AA342" t="str">
        <f>IFERROR(INDEX(הגדרות!$C$2:$C$17,MATCH(H342,הגדרות!$A$2:$A$17,0)),"")</f>
        <v/>
      </c>
      <c r="AB342" t="str">
        <f>IFERROR(INDEX(הגדרות!$B$2:$B$17,MATCH(I342,הגדרות!$A$2:$A$17,0)),"")</f>
        <v/>
      </c>
      <c r="AC342" t="str">
        <f>IFERROR(INDEX(הגדרות!$C$2:$C$17,MATCH(I342,הגדרות!$A$2:$A$17,0)),"")</f>
        <v/>
      </c>
      <c r="AD342" t="e">
        <f>IF(AND(מלאי!D342&lt;&gt;"",OR(#REF!="הכל",מלאי!Z342=#REF!,מלאי!AA342=#REF!,מלאי!AB342=#REF!,מלאי!AC342=#REF!),OR(#REF!="הכל",מלאי!A342=#REF!),OR(#REF!="הכל",מלאי!B342=#REF!),OR(#REF!="הכל",מלאי!F342=#REF!,מלאי!G342=#REF!),OR(#REF!="הכל",מלאי!T342=#REF!),OR(#REF!="הכל",מלאי!Q342=#REF!),OR(#REF!="הכל",מלאי!J342=#REF!),OR(#REF!="הכל",מלאי!L342=#REF!),OR(#REF!="הכל",מלאי!O342=#REF!),OR(#REF!="הכל",מלאי!R342=#REF!),OR(#REF!="הכל",#REF!="",מלאי!W342=#REF!),OR(#REF!="הכל",#REF!="",ISNUMBER(SEARCH(#REF!,מלאי!C342)))),1,0)</f>
        <v>#REF!</v>
      </c>
      <c r="AE342" t="e">
        <f>IF(AND(מלאי!D342&lt;&gt;"",OR(#REF!="הכל",מלאי!Z342=#REF!,מלאי!AA342=#REF!,מלאי!AB342=#REF!,מלאי!AC342=#REF!),OR(#REF!="הכל",מלאי!A342=#REF!),OR(#REF!="הכל",מלאי!B342=#REF!),OR(#REF!="הכל",מלאי!F342=#REF!,מלאי!G342=#REF!),OR(#REF!="הכל",מלאי!T342=#REF!),OR(#REF!="הכל",מלאי!Q342=#REF!),OR(#REF!="הכל",מלאי!J342=#REF!),OR(#REF!="הכל",מלאי!L342=#REF!),OR(#REF!="הכל",מלאי!O342=#REF!),OR(#REF!="הכל",מלאי!R342=#REF!),OR(#REF!="הכל",#REF!="",מלאי!W342=#REF!),OR(#REF!="הכל",#REF!="",ISNUMBER(SEARCH(#REF!,מלאי!C342))),OR(#REF!="הכל",מלאי!#REF!=#REF!)),1,0)</f>
        <v>#REF!</v>
      </c>
      <c r="AF342" t="e">
        <f>IF(AD342=1,COUNTIF($AD$3:$AD342,1),"")</f>
        <v>#REF!</v>
      </c>
      <c r="AG342" t="e">
        <f>IF(AE342=1,COUNTIF($AE$3:$AE342,1),"")</f>
        <v>#REF!</v>
      </c>
    </row>
    <row r="343" spans="1:33" ht="15" hidden="1" customHeight="1" x14ac:dyDescent="0.35">
      <c r="A343" s="4"/>
      <c r="B343" s="4"/>
      <c r="C343" s="4"/>
      <c r="D343" s="4"/>
      <c r="E343" s="4" t="str">
        <f>IFERROR(INDEX(הגדרות!$I$2:$I$47,MATCH(B343,הגדרות!$H$2:$H$47,0)),"")</f>
        <v/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t="str">
        <f>IFERROR(INDEX(הגדרות!$B$2:$B$17,MATCH(H343,הגדרות!$A$2:$A$17,0)),"")</f>
        <v/>
      </c>
      <c r="AA343" t="str">
        <f>IFERROR(INDEX(הגדרות!$C$2:$C$17,MATCH(H343,הגדרות!$A$2:$A$17,0)),"")</f>
        <v/>
      </c>
      <c r="AB343" t="str">
        <f>IFERROR(INDEX(הגדרות!$B$2:$B$17,MATCH(I343,הגדרות!$A$2:$A$17,0)),"")</f>
        <v/>
      </c>
      <c r="AC343" t="str">
        <f>IFERROR(INDEX(הגדרות!$C$2:$C$17,MATCH(I343,הגדרות!$A$2:$A$17,0)),"")</f>
        <v/>
      </c>
      <c r="AD343" t="e">
        <f>IF(AND(מלאי!D343&lt;&gt;"",OR(#REF!="הכל",מלאי!Z343=#REF!,מלאי!AA343=#REF!,מלאי!AB343=#REF!,מלאי!AC343=#REF!),OR(#REF!="הכל",מלאי!A343=#REF!),OR(#REF!="הכל",מלאי!B343=#REF!),OR(#REF!="הכל",מלאי!F343=#REF!,מלאי!G343=#REF!),OR(#REF!="הכל",מלאי!T343=#REF!),OR(#REF!="הכל",מלאי!Q343=#REF!),OR(#REF!="הכל",מלאי!J343=#REF!),OR(#REF!="הכל",מלאי!L343=#REF!),OR(#REF!="הכל",מלאי!O343=#REF!),OR(#REF!="הכל",מלאי!R343=#REF!),OR(#REF!="הכל",#REF!="",מלאי!W343=#REF!),OR(#REF!="הכל",#REF!="",ISNUMBER(SEARCH(#REF!,מלאי!C343)))),1,0)</f>
        <v>#REF!</v>
      </c>
      <c r="AE343" t="e">
        <f>IF(AND(מלאי!D343&lt;&gt;"",OR(#REF!="הכל",מלאי!Z343=#REF!,מלאי!AA343=#REF!,מלאי!AB343=#REF!,מלאי!AC343=#REF!),OR(#REF!="הכל",מלאי!A343=#REF!),OR(#REF!="הכל",מלאי!B343=#REF!),OR(#REF!="הכל",מלאי!F343=#REF!,מלאי!G343=#REF!),OR(#REF!="הכל",מלאי!T343=#REF!),OR(#REF!="הכל",מלאי!Q343=#REF!),OR(#REF!="הכל",מלאי!J343=#REF!),OR(#REF!="הכל",מלאי!L343=#REF!),OR(#REF!="הכל",מלאי!O343=#REF!),OR(#REF!="הכל",מלאי!R343=#REF!),OR(#REF!="הכל",#REF!="",מלאי!W343=#REF!),OR(#REF!="הכל",#REF!="",ISNUMBER(SEARCH(#REF!,מלאי!C343))),OR(#REF!="הכל",מלאי!#REF!=#REF!)),1,0)</f>
        <v>#REF!</v>
      </c>
      <c r="AF343" t="e">
        <f>IF(AD343=1,COUNTIF($AD$3:$AD343,1),"")</f>
        <v>#REF!</v>
      </c>
      <c r="AG343" t="e">
        <f>IF(AE343=1,COUNTIF($AE$3:$AE343,1),"")</f>
        <v>#REF!</v>
      </c>
    </row>
    <row r="344" spans="1:33" ht="15" hidden="1" customHeight="1" x14ac:dyDescent="0.35">
      <c r="A344" s="5"/>
      <c r="B344" s="5"/>
      <c r="C344" s="5"/>
      <c r="D344" s="5"/>
      <c r="E344" s="5" t="str">
        <f>IFERROR(INDEX(הגדרות!$I$2:$I$47,MATCH(B344,הגדרות!$H$2:$H$47,0)),"")</f>
        <v/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t="str">
        <f>IFERROR(INDEX(הגדרות!$B$2:$B$17,MATCH(H344,הגדרות!$A$2:$A$17,0)),"")</f>
        <v/>
      </c>
      <c r="AA344" t="str">
        <f>IFERROR(INDEX(הגדרות!$C$2:$C$17,MATCH(H344,הגדרות!$A$2:$A$17,0)),"")</f>
        <v/>
      </c>
      <c r="AB344" t="str">
        <f>IFERROR(INDEX(הגדרות!$B$2:$B$17,MATCH(I344,הגדרות!$A$2:$A$17,0)),"")</f>
        <v/>
      </c>
      <c r="AC344" t="str">
        <f>IFERROR(INDEX(הגדרות!$C$2:$C$17,MATCH(I344,הגדרות!$A$2:$A$17,0)),"")</f>
        <v/>
      </c>
      <c r="AD344" t="e">
        <f>IF(AND(מלאי!D344&lt;&gt;"",OR(#REF!="הכל",מלאי!Z344=#REF!,מלאי!AA344=#REF!,מלאי!AB344=#REF!,מלאי!AC344=#REF!),OR(#REF!="הכל",מלאי!A344=#REF!),OR(#REF!="הכל",מלאי!B344=#REF!),OR(#REF!="הכל",מלאי!F344=#REF!,מלאי!G344=#REF!),OR(#REF!="הכל",מלאי!T344=#REF!),OR(#REF!="הכל",מלאי!Q344=#REF!),OR(#REF!="הכל",מלאי!J344=#REF!),OR(#REF!="הכל",מלאי!L344=#REF!),OR(#REF!="הכל",מלאי!O344=#REF!),OR(#REF!="הכל",מלאי!R344=#REF!),OR(#REF!="הכל",#REF!="",מלאי!W344=#REF!),OR(#REF!="הכל",#REF!="",ISNUMBER(SEARCH(#REF!,מלאי!C344)))),1,0)</f>
        <v>#REF!</v>
      </c>
      <c r="AE344" t="e">
        <f>IF(AND(מלאי!D344&lt;&gt;"",OR(#REF!="הכל",מלאי!Z344=#REF!,מלאי!AA344=#REF!,מלאי!AB344=#REF!,מלאי!AC344=#REF!),OR(#REF!="הכל",מלאי!A344=#REF!),OR(#REF!="הכל",מלאי!B344=#REF!),OR(#REF!="הכל",מלאי!F344=#REF!,מלאי!G344=#REF!),OR(#REF!="הכל",מלאי!T344=#REF!),OR(#REF!="הכל",מלאי!Q344=#REF!),OR(#REF!="הכל",מלאי!J344=#REF!),OR(#REF!="הכל",מלאי!L344=#REF!),OR(#REF!="הכל",מלאי!O344=#REF!),OR(#REF!="הכל",מלאי!R344=#REF!),OR(#REF!="הכל",#REF!="",מלאי!W344=#REF!),OR(#REF!="הכל",#REF!="",ISNUMBER(SEARCH(#REF!,מלאי!C344))),OR(#REF!="הכל",מלאי!#REF!=#REF!)),1,0)</f>
        <v>#REF!</v>
      </c>
      <c r="AF344" t="e">
        <f>IF(AD344=1,COUNTIF($AD$3:$AD344,1),"")</f>
        <v>#REF!</v>
      </c>
      <c r="AG344" t="e">
        <f>IF(AE344=1,COUNTIF($AE$3:$AE344,1),"")</f>
        <v>#REF!</v>
      </c>
    </row>
    <row r="345" spans="1:33" ht="15" hidden="1" customHeight="1" x14ac:dyDescent="0.35">
      <c r="A345" s="4"/>
      <c r="B345" s="4"/>
      <c r="C345" s="4"/>
      <c r="D345" s="4"/>
      <c r="E345" s="4" t="str">
        <f>IFERROR(INDEX(הגדרות!$I$2:$I$47,MATCH(B345,הגדרות!$H$2:$H$47,0)),"")</f>
        <v/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t="str">
        <f>IFERROR(INDEX(הגדרות!$B$2:$B$17,MATCH(H345,הגדרות!$A$2:$A$17,0)),"")</f>
        <v/>
      </c>
      <c r="AA345" t="str">
        <f>IFERROR(INDEX(הגדרות!$C$2:$C$17,MATCH(H345,הגדרות!$A$2:$A$17,0)),"")</f>
        <v/>
      </c>
      <c r="AB345" t="str">
        <f>IFERROR(INDEX(הגדרות!$B$2:$B$17,MATCH(I345,הגדרות!$A$2:$A$17,0)),"")</f>
        <v/>
      </c>
      <c r="AC345" t="str">
        <f>IFERROR(INDEX(הגדרות!$C$2:$C$17,MATCH(I345,הגדרות!$A$2:$A$17,0)),"")</f>
        <v/>
      </c>
      <c r="AD345" t="e">
        <f>IF(AND(מלאי!D345&lt;&gt;"",OR(#REF!="הכל",מלאי!Z345=#REF!,מלאי!AA345=#REF!,מלאי!AB345=#REF!,מלאי!AC345=#REF!),OR(#REF!="הכל",מלאי!A345=#REF!),OR(#REF!="הכל",מלאי!B345=#REF!),OR(#REF!="הכל",מלאי!F345=#REF!,מלאי!G345=#REF!),OR(#REF!="הכל",מלאי!T345=#REF!),OR(#REF!="הכל",מלאי!Q345=#REF!),OR(#REF!="הכל",מלאי!J345=#REF!),OR(#REF!="הכל",מלאי!L345=#REF!),OR(#REF!="הכל",מלאי!O345=#REF!),OR(#REF!="הכל",מלאי!R345=#REF!),OR(#REF!="הכל",#REF!="",מלאי!W345=#REF!),OR(#REF!="הכל",#REF!="",ISNUMBER(SEARCH(#REF!,מלאי!C345)))),1,0)</f>
        <v>#REF!</v>
      </c>
      <c r="AE345" t="e">
        <f>IF(AND(מלאי!D345&lt;&gt;"",OR(#REF!="הכל",מלאי!Z345=#REF!,מלאי!AA345=#REF!,מלאי!AB345=#REF!,מלאי!AC345=#REF!),OR(#REF!="הכל",מלאי!A345=#REF!),OR(#REF!="הכל",מלאי!B345=#REF!),OR(#REF!="הכל",מלאי!F345=#REF!,מלאי!G345=#REF!),OR(#REF!="הכל",מלאי!T345=#REF!),OR(#REF!="הכל",מלאי!Q345=#REF!),OR(#REF!="הכל",מלאי!J345=#REF!),OR(#REF!="הכל",מלאי!L345=#REF!),OR(#REF!="הכל",מלאי!O345=#REF!),OR(#REF!="הכל",מלאי!R345=#REF!),OR(#REF!="הכל",#REF!="",מלאי!W345=#REF!),OR(#REF!="הכל",#REF!="",ISNUMBER(SEARCH(#REF!,מלאי!C345))),OR(#REF!="הכל",מלאי!#REF!=#REF!)),1,0)</f>
        <v>#REF!</v>
      </c>
      <c r="AF345" t="e">
        <f>IF(AD345=1,COUNTIF($AD$3:$AD345,1),"")</f>
        <v>#REF!</v>
      </c>
      <c r="AG345" t="e">
        <f>IF(AE345=1,COUNTIF($AE$3:$AE345,1),"")</f>
        <v>#REF!</v>
      </c>
    </row>
    <row r="346" spans="1:33" ht="15" hidden="1" customHeight="1" x14ac:dyDescent="0.35">
      <c r="A346" s="5"/>
      <c r="B346" s="5"/>
      <c r="C346" s="5"/>
      <c r="D346" s="5"/>
      <c r="E346" s="5" t="str">
        <f>IFERROR(INDEX(הגדרות!$I$2:$I$47,MATCH(B346,הגדרות!$H$2:$H$47,0)),"")</f>
        <v/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t="str">
        <f>IFERROR(INDEX(הגדרות!$B$2:$B$17,MATCH(H346,הגדרות!$A$2:$A$17,0)),"")</f>
        <v/>
      </c>
      <c r="AA346" t="str">
        <f>IFERROR(INDEX(הגדרות!$C$2:$C$17,MATCH(H346,הגדרות!$A$2:$A$17,0)),"")</f>
        <v/>
      </c>
      <c r="AB346" t="str">
        <f>IFERROR(INDEX(הגדרות!$B$2:$B$17,MATCH(I346,הגדרות!$A$2:$A$17,0)),"")</f>
        <v/>
      </c>
      <c r="AC346" t="str">
        <f>IFERROR(INDEX(הגדרות!$C$2:$C$17,MATCH(I346,הגדרות!$A$2:$A$17,0)),"")</f>
        <v/>
      </c>
      <c r="AD346" t="e">
        <f>IF(AND(מלאי!D346&lt;&gt;"",OR(#REF!="הכל",מלאי!Z346=#REF!,מלאי!AA346=#REF!,מלאי!AB346=#REF!,מלאי!AC346=#REF!),OR(#REF!="הכל",מלאי!A346=#REF!),OR(#REF!="הכל",מלאי!B346=#REF!),OR(#REF!="הכל",מלאי!F346=#REF!,מלאי!G346=#REF!),OR(#REF!="הכל",מלאי!T346=#REF!),OR(#REF!="הכל",מלאי!Q346=#REF!),OR(#REF!="הכל",מלאי!J346=#REF!),OR(#REF!="הכל",מלאי!L346=#REF!),OR(#REF!="הכל",מלאי!O346=#REF!),OR(#REF!="הכל",מלאי!R346=#REF!),OR(#REF!="הכל",#REF!="",מלאי!W346=#REF!),OR(#REF!="הכל",#REF!="",ISNUMBER(SEARCH(#REF!,מלאי!C346)))),1,0)</f>
        <v>#REF!</v>
      </c>
      <c r="AE346" t="e">
        <f>IF(AND(מלאי!D346&lt;&gt;"",OR(#REF!="הכל",מלאי!Z346=#REF!,מלאי!AA346=#REF!,מלאי!AB346=#REF!,מלאי!AC346=#REF!),OR(#REF!="הכל",מלאי!A346=#REF!),OR(#REF!="הכל",מלאי!B346=#REF!),OR(#REF!="הכל",מלאי!F346=#REF!,מלאי!G346=#REF!),OR(#REF!="הכל",מלאי!T346=#REF!),OR(#REF!="הכל",מלאי!Q346=#REF!),OR(#REF!="הכל",מלאי!J346=#REF!),OR(#REF!="הכל",מלאי!L346=#REF!),OR(#REF!="הכל",מלאי!O346=#REF!),OR(#REF!="הכל",מלאי!R346=#REF!),OR(#REF!="הכל",#REF!="",מלאי!W346=#REF!),OR(#REF!="הכל",#REF!="",ISNUMBER(SEARCH(#REF!,מלאי!C346))),OR(#REF!="הכל",מלאי!#REF!=#REF!)),1,0)</f>
        <v>#REF!</v>
      </c>
      <c r="AF346" t="e">
        <f>IF(AD346=1,COUNTIF($AD$3:$AD346,1),"")</f>
        <v>#REF!</v>
      </c>
      <c r="AG346" t="e">
        <f>IF(AE346=1,COUNTIF($AE$3:$AE346,1),"")</f>
        <v>#REF!</v>
      </c>
    </row>
    <row r="347" spans="1:33" ht="15" hidden="1" customHeight="1" x14ac:dyDescent="0.35">
      <c r="A347" s="4"/>
      <c r="B347" s="4"/>
      <c r="C347" s="4"/>
      <c r="D347" s="4"/>
      <c r="E347" s="4" t="str">
        <f>IFERROR(INDEX(הגדרות!$I$2:$I$47,MATCH(B347,הגדרות!$H$2:$H$47,0)),"")</f>
        <v/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t="str">
        <f>IFERROR(INDEX(הגדרות!$B$2:$B$17,MATCH(H347,הגדרות!$A$2:$A$17,0)),"")</f>
        <v/>
      </c>
      <c r="AA347" t="str">
        <f>IFERROR(INDEX(הגדרות!$C$2:$C$17,MATCH(H347,הגדרות!$A$2:$A$17,0)),"")</f>
        <v/>
      </c>
      <c r="AB347" t="str">
        <f>IFERROR(INDEX(הגדרות!$B$2:$B$17,MATCH(I347,הגדרות!$A$2:$A$17,0)),"")</f>
        <v/>
      </c>
      <c r="AC347" t="str">
        <f>IFERROR(INDEX(הגדרות!$C$2:$C$17,MATCH(I347,הגדרות!$A$2:$A$17,0)),"")</f>
        <v/>
      </c>
      <c r="AD347" t="e">
        <f>IF(AND(מלאי!D347&lt;&gt;"",OR(#REF!="הכל",מלאי!Z347=#REF!,מלאי!AA347=#REF!,מלאי!AB347=#REF!,מלאי!AC347=#REF!),OR(#REF!="הכל",מלאי!A347=#REF!),OR(#REF!="הכל",מלאי!B347=#REF!),OR(#REF!="הכל",מלאי!F347=#REF!,מלאי!G347=#REF!),OR(#REF!="הכל",מלאי!T347=#REF!),OR(#REF!="הכל",מלאי!Q347=#REF!),OR(#REF!="הכל",מלאי!J347=#REF!),OR(#REF!="הכל",מלאי!L347=#REF!),OR(#REF!="הכל",מלאי!O347=#REF!),OR(#REF!="הכל",מלאי!R347=#REF!),OR(#REF!="הכל",#REF!="",מלאי!W347=#REF!),OR(#REF!="הכל",#REF!="",ISNUMBER(SEARCH(#REF!,מלאי!C347)))),1,0)</f>
        <v>#REF!</v>
      </c>
      <c r="AE347" t="e">
        <f>IF(AND(מלאי!D347&lt;&gt;"",OR(#REF!="הכל",מלאי!Z347=#REF!,מלאי!AA347=#REF!,מלאי!AB347=#REF!,מלאי!AC347=#REF!),OR(#REF!="הכל",מלאי!A347=#REF!),OR(#REF!="הכל",מלאי!B347=#REF!),OR(#REF!="הכל",מלאי!F347=#REF!,מלאי!G347=#REF!),OR(#REF!="הכל",מלאי!T347=#REF!),OR(#REF!="הכל",מלאי!Q347=#REF!),OR(#REF!="הכל",מלאי!J347=#REF!),OR(#REF!="הכל",מלאי!L347=#REF!),OR(#REF!="הכל",מלאי!O347=#REF!),OR(#REF!="הכל",מלאי!R347=#REF!),OR(#REF!="הכל",#REF!="",מלאי!W347=#REF!),OR(#REF!="הכל",#REF!="",ISNUMBER(SEARCH(#REF!,מלאי!C347))),OR(#REF!="הכל",מלאי!#REF!=#REF!)),1,0)</f>
        <v>#REF!</v>
      </c>
      <c r="AF347" t="e">
        <f>IF(AD347=1,COUNTIF($AD$3:$AD347,1),"")</f>
        <v>#REF!</v>
      </c>
      <c r="AG347" t="e">
        <f>IF(AE347=1,COUNTIF($AE$3:$AE347,1),"")</f>
        <v>#REF!</v>
      </c>
    </row>
    <row r="348" spans="1:33" ht="15" hidden="1" customHeight="1" x14ac:dyDescent="0.35">
      <c r="A348" s="5"/>
      <c r="B348" s="5"/>
      <c r="C348" s="5"/>
      <c r="D348" s="5"/>
      <c r="E348" s="5" t="str">
        <f>IFERROR(INDEX(הגדרות!$I$2:$I$47,MATCH(B348,הגדרות!$H$2:$H$47,0)),"")</f>
        <v/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t="str">
        <f>IFERROR(INDEX(הגדרות!$B$2:$B$17,MATCH(H348,הגדרות!$A$2:$A$17,0)),"")</f>
        <v/>
      </c>
      <c r="AA348" t="str">
        <f>IFERROR(INDEX(הגדרות!$C$2:$C$17,MATCH(H348,הגדרות!$A$2:$A$17,0)),"")</f>
        <v/>
      </c>
      <c r="AB348" t="str">
        <f>IFERROR(INDEX(הגדרות!$B$2:$B$17,MATCH(I348,הגדרות!$A$2:$A$17,0)),"")</f>
        <v/>
      </c>
      <c r="AC348" t="str">
        <f>IFERROR(INDEX(הגדרות!$C$2:$C$17,MATCH(I348,הגדרות!$A$2:$A$17,0)),"")</f>
        <v/>
      </c>
      <c r="AD348" t="e">
        <f>IF(AND(מלאי!D348&lt;&gt;"",OR(#REF!="הכל",מלאי!Z348=#REF!,מלאי!AA348=#REF!,מלאי!AB348=#REF!,מלאי!AC348=#REF!),OR(#REF!="הכל",מלאי!A348=#REF!),OR(#REF!="הכל",מלאי!B348=#REF!),OR(#REF!="הכל",מלאי!F348=#REF!,מלאי!G348=#REF!),OR(#REF!="הכל",מלאי!T348=#REF!),OR(#REF!="הכל",מלאי!Q348=#REF!),OR(#REF!="הכל",מלאי!J348=#REF!),OR(#REF!="הכל",מלאי!L348=#REF!),OR(#REF!="הכל",מלאי!O348=#REF!),OR(#REF!="הכל",מלאי!R348=#REF!),OR(#REF!="הכל",#REF!="",מלאי!W348=#REF!),OR(#REF!="הכל",#REF!="",ISNUMBER(SEARCH(#REF!,מלאי!C348)))),1,0)</f>
        <v>#REF!</v>
      </c>
      <c r="AE348" t="e">
        <f>IF(AND(מלאי!D348&lt;&gt;"",OR(#REF!="הכל",מלאי!Z348=#REF!,מלאי!AA348=#REF!,מלאי!AB348=#REF!,מלאי!AC348=#REF!),OR(#REF!="הכל",מלאי!A348=#REF!),OR(#REF!="הכל",מלאי!B348=#REF!),OR(#REF!="הכל",מלאי!F348=#REF!,מלאי!G348=#REF!),OR(#REF!="הכל",מלאי!T348=#REF!),OR(#REF!="הכל",מלאי!Q348=#REF!),OR(#REF!="הכל",מלאי!J348=#REF!),OR(#REF!="הכל",מלאי!L348=#REF!),OR(#REF!="הכל",מלאי!O348=#REF!),OR(#REF!="הכל",מלאי!R348=#REF!),OR(#REF!="הכל",#REF!="",מלאי!W348=#REF!),OR(#REF!="הכל",#REF!="",ISNUMBER(SEARCH(#REF!,מלאי!C348))),OR(#REF!="הכל",מלאי!#REF!=#REF!)),1,0)</f>
        <v>#REF!</v>
      </c>
      <c r="AF348" t="e">
        <f>IF(AD348=1,COUNTIF($AD$3:$AD348,1),"")</f>
        <v>#REF!</v>
      </c>
      <c r="AG348" t="e">
        <f>IF(AE348=1,COUNTIF($AE$3:$AE348,1),"")</f>
        <v>#REF!</v>
      </c>
    </row>
    <row r="349" spans="1:33" ht="15" hidden="1" customHeight="1" x14ac:dyDescent="0.35">
      <c r="A349" s="4"/>
      <c r="B349" s="4"/>
      <c r="C349" s="4"/>
      <c r="D349" s="4"/>
      <c r="E349" s="4" t="str">
        <f>IFERROR(INDEX(הגדרות!$I$2:$I$47,MATCH(B349,הגדרות!$H$2:$H$47,0)),"")</f>
        <v/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t="str">
        <f>IFERROR(INDEX(הגדרות!$B$2:$B$17,MATCH(H349,הגדרות!$A$2:$A$17,0)),"")</f>
        <v/>
      </c>
      <c r="AA349" t="str">
        <f>IFERROR(INDEX(הגדרות!$C$2:$C$17,MATCH(H349,הגדרות!$A$2:$A$17,0)),"")</f>
        <v/>
      </c>
      <c r="AB349" t="str">
        <f>IFERROR(INDEX(הגדרות!$B$2:$B$17,MATCH(I349,הגדרות!$A$2:$A$17,0)),"")</f>
        <v/>
      </c>
      <c r="AC349" t="str">
        <f>IFERROR(INDEX(הגדרות!$C$2:$C$17,MATCH(I349,הגדרות!$A$2:$A$17,0)),"")</f>
        <v/>
      </c>
      <c r="AD349" t="e">
        <f>IF(AND(מלאי!D349&lt;&gt;"",OR(#REF!="הכל",מלאי!Z349=#REF!,מלאי!AA349=#REF!,מלאי!AB349=#REF!,מלאי!AC349=#REF!),OR(#REF!="הכל",מלאי!A349=#REF!),OR(#REF!="הכל",מלאי!B349=#REF!),OR(#REF!="הכל",מלאי!F349=#REF!,מלאי!G349=#REF!),OR(#REF!="הכל",מלאי!T349=#REF!),OR(#REF!="הכל",מלאי!Q349=#REF!),OR(#REF!="הכל",מלאי!J349=#REF!),OR(#REF!="הכל",מלאי!L349=#REF!),OR(#REF!="הכל",מלאי!O349=#REF!),OR(#REF!="הכל",מלאי!R349=#REF!),OR(#REF!="הכל",#REF!="",מלאי!W349=#REF!),OR(#REF!="הכל",#REF!="",ISNUMBER(SEARCH(#REF!,מלאי!C349)))),1,0)</f>
        <v>#REF!</v>
      </c>
      <c r="AE349" t="e">
        <f>IF(AND(מלאי!D349&lt;&gt;"",OR(#REF!="הכל",מלאי!Z349=#REF!,מלאי!AA349=#REF!,מלאי!AB349=#REF!,מלאי!AC349=#REF!),OR(#REF!="הכל",מלאי!A349=#REF!),OR(#REF!="הכל",מלאי!B349=#REF!),OR(#REF!="הכל",מלאי!F349=#REF!,מלאי!G349=#REF!),OR(#REF!="הכל",מלאי!T349=#REF!),OR(#REF!="הכל",מלאי!Q349=#REF!),OR(#REF!="הכל",מלאי!J349=#REF!),OR(#REF!="הכל",מלאי!L349=#REF!),OR(#REF!="הכל",מלאי!O349=#REF!),OR(#REF!="הכל",מלאי!R349=#REF!),OR(#REF!="הכל",#REF!="",מלאי!W349=#REF!),OR(#REF!="הכל",#REF!="",ISNUMBER(SEARCH(#REF!,מלאי!C349))),OR(#REF!="הכל",מלאי!#REF!=#REF!)),1,0)</f>
        <v>#REF!</v>
      </c>
      <c r="AF349" t="e">
        <f>IF(AD349=1,COUNTIF($AD$3:$AD349,1),"")</f>
        <v>#REF!</v>
      </c>
      <c r="AG349" t="e">
        <f>IF(AE349=1,COUNTIF($AE$3:$AE349,1),"")</f>
        <v>#REF!</v>
      </c>
    </row>
    <row r="350" spans="1:33" ht="15" hidden="1" customHeight="1" x14ac:dyDescent="0.35">
      <c r="A350" s="5"/>
      <c r="B350" s="5"/>
      <c r="C350" s="5"/>
      <c r="D350" s="5"/>
      <c r="E350" s="5" t="str">
        <f>IFERROR(INDEX(הגדרות!$I$2:$I$47,MATCH(B350,הגדרות!$H$2:$H$47,0)),"")</f>
        <v/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t="str">
        <f>IFERROR(INDEX(הגדרות!$B$2:$B$17,MATCH(H350,הגדרות!$A$2:$A$17,0)),"")</f>
        <v/>
      </c>
      <c r="AA350" t="str">
        <f>IFERROR(INDEX(הגדרות!$C$2:$C$17,MATCH(H350,הגדרות!$A$2:$A$17,0)),"")</f>
        <v/>
      </c>
      <c r="AB350" t="str">
        <f>IFERROR(INDEX(הגדרות!$B$2:$B$17,MATCH(I350,הגדרות!$A$2:$A$17,0)),"")</f>
        <v/>
      </c>
      <c r="AC350" t="str">
        <f>IFERROR(INDEX(הגדרות!$C$2:$C$17,MATCH(I350,הגדרות!$A$2:$A$17,0)),"")</f>
        <v/>
      </c>
      <c r="AD350" t="e">
        <f>IF(AND(מלאי!D350&lt;&gt;"",OR(#REF!="הכל",מלאי!Z350=#REF!,מלאי!AA350=#REF!,מלאי!AB350=#REF!,מלאי!AC350=#REF!),OR(#REF!="הכל",מלאי!A350=#REF!),OR(#REF!="הכל",מלאי!B350=#REF!),OR(#REF!="הכל",מלאי!F350=#REF!,מלאי!G350=#REF!),OR(#REF!="הכל",מלאי!T350=#REF!),OR(#REF!="הכל",מלאי!Q350=#REF!),OR(#REF!="הכל",מלאי!J350=#REF!),OR(#REF!="הכל",מלאי!L350=#REF!),OR(#REF!="הכל",מלאי!O350=#REF!),OR(#REF!="הכל",מלאי!R350=#REF!),OR(#REF!="הכל",#REF!="",מלאי!W350=#REF!),OR(#REF!="הכל",#REF!="",ISNUMBER(SEARCH(#REF!,מלאי!C350)))),1,0)</f>
        <v>#REF!</v>
      </c>
      <c r="AE350" t="e">
        <f>IF(AND(מלאי!D350&lt;&gt;"",OR(#REF!="הכל",מלאי!Z350=#REF!,מלאי!AA350=#REF!,מלאי!AB350=#REF!,מלאי!AC350=#REF!),OR(#REF!="הכל",מלאי!A350=#REF!),OR(#REF!="הכל",מלאי!B350=#REF!),OR(#REF!="הכל",מלאי!F350=#REF!,מלאי!G350=#REF!),OR(#REF!="הכל",מלאי!T350=#REF!),OR(#REF!="הכל",מלאי!Q350=#REF!),OR(#REF!="הכל",מלאי!J350=#REF!),OR(#REF!="הכל",מלאי!L350=#REF!),OR(#REF!="הכל",מלאי!O350=#REF!),OR(#REF!="הכל",מלאי!R350=#REF!),OR(#REF!="הכל",#REF!="",מלאי!W350=#REF!),OR(#REF!="הכל",#REF!="",ISNUMBER(SEARCH(#REF!,מלאי!C350))),OR(#REF!="הכל",מלאי!#REF!=#REF!)),1,0)</f>
        <v>#REF!</v>
      </c>
      <c r="AF350" t="e">
        <f>IF(AD350=1,COUNTIF($AD$3:$AD350,1),"")</f>
        <v>#REF!</v>
      </c>
      <c r="AG350" t="e">
        <f>IF(AE350=1,COUNTIF($AE$3:$AE350,1),"")</f>
        <v>#REF!</v>
      </c>
    </row>
    <row r="351" spans="1:33" ht="15" hidden="1" customHeight="1" x14ac:dyDescent="0.35">
      <c r="A351" s="4"/>
      <c r="B351" s="4"/>
      <c r="C351" s="4"/>
      <c r="D351" s="4"/>
      <c r="E351" s="4" t="str">
        <f>IFERROR(INDEX(הגדרות!$I$2:$I$47,MATCH(B351,הגדרות!$H$2:$H$47,0)),"")</f>
        <v/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t="str">
        <f>IFERROR(INDEX(הגדרות!$B$2:$B$17,MATCH(H351,הגדרות!$A$2:$A$17,0)),"")</f>
        <v/>
      </c>
      <c r="AA351" t="str">
        <f>IFERROR(INDEX(הגדרות!$C$2:$C$17,MATCH(H351,הגדרות!$A$2:$A$17,0)),"")</f>
        <v/>
      </c>
      <c r="AB351" t="str">
        <f>IFERROR(INDEX(הגדרות!$B$2:$B$17,MATCH(I351,הגדרות!$A$2:$A$17,0)),"")</f>
        <v/>
      </c>
      <c r="AC351" t="str">
        <f>IFERROR(INDEX(הגדרות!$C$2:$C$17,MATCH(I351,הגדרות!$A$2:$A$17,0)),"")</f>
        <v/>
      </c>
      <c r="AD351" t="e">
        <f>IF(AND(מלאי!D351&lt;&gt;"",OR(#REF!="הכל",מלאי!Z351=#REF!,מלאי!AA351=#REF!,מלאי!AB351=#REF!,מלאי!AC351=#REF!),OR(#REF!="הכל",מלאי!A351=#REF!),OR(#REF!="הכל",מלאי!B351=#REF!),OR(#REF!="הכל",מלאי!F351=#REF!,מלאי!G351=#REF!),OR(#REF!="הכל",מלאי!T351=#REF!),OR(#REF!="הכל",מלאי!Q351=#REF!),OR(#REF!="הכל",מלאי!J351=#REF!),OR(#REF!="הכל",מלאי!L351=#REF!),OR(#REF!="הכל",מלאי!O351=#REF!),OR(#REF!="הכל",מלאי!R351=#REF!),OR(#REF!="הכל",#REF!="",מלאי!W351=#REF!),OR(#REF!="הכל",#REF!="",ISNUMBER(SEARCH(#REF!,מלאי!C351)))),1,0)</f>
        <v>#REF!</v>
      </c>
      <c r="AE351" t="e">
        <f>IF(AND(מלאי!D351&lt;&gt;"",OR(#REF!="הכל",מלאי!Z351=#REF!,מלאי!AA351=#REF!,מלאי!AB351=#REF!,מלאי!AC351=#REF!),OR(#REF!="הכל",מלאי!A351=#REF!),OR(#REF!="הכל",מלאי!B351=#REF!),OR(#REF!="הכל",מלאי!F351=#REF!,מלאי!G351=#REF!),OR(#REF!="הכל",מלאי!T351=#REF!),OR(#REF!="הכל",מלאי!Q351=#REF!),OR(#REF!="הכל",מלאי!J351=#REF!),OR(#REF!="הכל",מלאי!L351=#REF!),OR(#REF!="הכל",מלאי!O351=#REF!),OR(#REF!="הכל",מלאי!R351=#REF!),OR(#REF!="הכל",#REF!="",מלאי!W351=#REF!),OR(#REF!="הכל",#REF!="",ISNUMBER(SEARCH(#REF!,מלאי!C351))),OR(#REF!="הכל",מלאי!#REF!=#REF!)),1,0)</f>
        <v>#REF!</v>
      </c>
      <c r="AF351" t="e">
        <f>IF(AD351=1,COUNTIF($AD$3:$AD351,1),"")</f>
        <v>#REF!</v>
      </c>
      <c r="AG351" t="e">
        <f>IF(AE351=1,COUNTIF($AE$3:$AE351,1),"")</f>
        <v>#REF!</v>
      </c>
    </row>
    <row r="352" spans="1:33" ht="15" hidden="1" customHeight="1" x14ac:dyDescent="0.35">
      <c r="A352" s="5"/>
      <c r="B352" s="5"/>
      <c r="C352" s="5"/>
      <c r="D352" s="5"/>
      <c r="E352" s="5" t="str">
        <f>IFERROR(INDEX(הגדרות!$I$2:$I$47,MATCH(B352,הגדרות!$H$2:$H$47,0)),"")</f>
        <v/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t="str">
        <f>IFERROR(INDEX(הגדרות!$B$2:$B$17,MATCH(H352,הגדרות!$A$2:$A$17,0)),"")</f>
        <v/>
      </c>
      <c r="AA352" t="str">
        <f>IFERROR(INDEX(הגדרות!$C$2:$C$17,MATCH(H352,הגדרות!$A$2:$A$17,0)),"")</f>
        <v/>
      </c>
      <c r="AB352" t="str">
        <f>IFERROR(INDEX(הגדרות!$B$2:$B$17,MATCH(I352,הגדרות!$A$2:$A$17,0)),"")</f>
        <v/>
      </c>
      <c r="AC352" t="str">
        <f>IFERROR(INDEX(הגדרות!$C$2:$C$17,MATCH(I352,הגדרות!$A$2:$A$17,0)),"")</f>
        <v/>
      </c>
      <c r="AD352" t="e">
        <f>IF(AND(מלאי!D352&lt;&gt;"",OR(#REF!="הכל",מלאי!Z352=#REF!,מלאי!AA352=#REF!,מלאי!AB352=#REF!,מלאי!AC352=#REF!),OR(#REF!="הכל",מלאי!A352=#REF!),OR(#REF!="הכל",מלאי!B352=#REF!),OR(#REF!="הכל",מלאי!F352=#REF!,מלאי!G352=#REF!),OR(#REF!="הכל",מלאי!T352=#REF!),OR(#REF!="הכל",מלאי!Q352=#REF!),OR(#REF!="הכל",מלאי!J352=#REF!),OR(#REF!="הכל",מלאי!L352=#REF!),OR(#REF!="הכל",מלאי!O352=#REF!),OR(#REF!="הכל",מלאי!R352=#REF!),OR(#REF!="הכל",#REF!="",מלאי!W352=#REF!),OR(#REF!="הכל",#REF!="",ISNUMBER(SEARCH(#REF!,מלאי!C352)))),1,0)</f>
        <v>#REF!</v>
      </c>
      <c r="AE352" t="e">
        <f>IF(AND(מלאי!D352&lt;&gt;"",OR(#REF!="הכל",מלאי!Z352=#REF!,מלאי!AA352=#REF!,מלאי!AB352=#REF!,מלאי!AC352=#REF!),OR(#REF!="הכל",מלאי!A352=#REF!),OR(#REF!="הכל",מלאי!B352=#REF!),OR(#REF!="הכל",מלאי!F352=#REF!,מלאי!G352=#REF!),OR(#REF!="הכל",מלאי!T352=#REF!),OR(#REF!="הכל",מלאי!Q352=#REF!),OR(#REF!="הכל",מלאי!J352=#REF!),OR(#REF!="הכל",מלאי!L352=#REF!),OR(#REF!="הכל",מלאי!O352=#REF!),OR(#REF!="הכל",מלאי!R352=#REF!),OR(#REF!="הכל",#REF!="",מלאי!W352=#REF!),OR(#REF!="הכל",#REF!="",ISNUMBER(SEARCH(#REF!,מלאי!C352))),OR(#REF!="הכל",מלאי!#REF!=#REF!)),1,0)</f>
        <v>#REF!</v>
      </c>
      <c r="AF352" t="e">
        <f>IF(AD352=1,COUNTIF($AD$3:$AD352,1),"")</f>
        <v>#REF!</v>
      </c>
      <c r="AG352" t="e">
        <f>IF(AE352=1,COUNTIF($AE$3:$AE352,1),"")</f>
        <v>#REF!</v>
      </c>
    </row>
    <row r="353" spans="1:33" ht="15" hidden="1" customHeight="1" x14ac:dyDescent="0.35">
      <c r="A353" s="4"/>
      <c r="B353" s="4"/>
      <c r="C353" s="4"/>
      <c r="D353" s="4"/>
      <c r="E353" s="4" t="str">
        <f>IFERROR(INDEX(הגדרות!$I$2:$I$47,MATCH(B353,הגדרות!$H$2:$H$47,0)),"")</f>
        <v/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t="str">
        <f>IFERROR(INDEX(הגדרות!$B$2:$B$17,MATCH(H353,הגדרות!$A$2:$A$17,0)),"")</f>
        <v/>
      </c>
      <c r="AA353" t="str">
        <f>IFERROR(INDEX(הגדרות!$C$2:$C$17,MATCH(H353,הגדרות!$A$2:$A$17,0)),"")</f>
        <v/>
      </c>
      <c r="AB353" t="str">
        <f>IFERROR(INDEX(הגדרות!$B$2:$B$17,MATCH(I353,הגדרות!$A$2:$A$17,0)),"")</f>
        <v/>
      </c>
      <c r="AC353" t="str">
        <f>IFERROR(INDEX(הגדרות!$C$2:$C$17,MATCH(I353,הגדרות!$A$2:$A$17,0)),"")</f>
        <v/>
      </c>
      <c r="AD353" t="e">
        <f>IF(AND(מלאי!D353&lt;&gt;"",OR(#REF!="הכל",מלאי!Z353=#REF!,מלאי!AA353=#REF!,מלאי!AB353=#REF!,מלאי!AC353=#REF!),OR(#REF!="הכל",מלאי!A353=#REF!),OR(#REF!="הכל",מלאי!B353=#REF!),OR(#REF!="הכל",מלאי!F353=#REF!,מלאי!G353=#REF!),OR(#REF!="הכל",מלאי!T353=#REF!),OR(#REF!="הכל",מלאי!Q353=#REF!),OR(#REF!="הכל",מלאי!J353=#REF!),OR(#REF!="הכל",מלאי!L353=#REF!),OR(#REF!="הכל",מלאי!O353=#REF!),OR(#REF!="הכל",מלאי!R353=#REF!),OR(#REF!="הכל",#REF!="",מלאי!W353=#REF!),OR(#REF!="הכל",#REF!="",ISNUMBER(SEARCH(#REF!,מלאי!C353)))),1,0)</f>
        <v>#REF!</v>
      </c>
      <c r="AE353" t="e">
        <f>IF(AND(מלאי!D353&lt;&gt;"",OR(#REF!="הכל",מלאי!Z353=#REF!,מלאי!AA353=#REF!,מלאי!AB353=#REF!,מלאי!AC353=#REF!),OR(#REF!="הכל",מלאי!A353=#REF!),OR(#REF!="הכל",מלאי!B353=#REF!),OR(#REF!="הכל",מלאי!F353=#REF!,מלאי!G353=#REF!),OR(#REF!="הכל",מלאי!T353=#REF!),OR(#REF!="הכל",מלאי!Q353=#REF!),OR(#REF!="הכל",מלאי!J353=#REF!),OR(#REF!="הכל",מלאי!L353=#REF!),OR(#REF!="הכל",מלאי!O353=#REF!),OR(#REF!="הכל",מלאי!R353=#REF!),OR(#REF!="הכל",#REF!="",מלאי!W353=#REF!),OR(#REF!="הכל",#REF!="",ISNUMBER(SEARCH(#REF!,מלאי!C353))),OR(#REF!="הכל",מלאי!#REF!=#REF!)),1,0)</f>
        <v>#REF!</v>
      </c>
      <c r="AF353" t="e">
        <f>IF(AD353=1,COUNTIF($AD$3:$AD353,1),"")</f>
        <v>#REF!</v>
      </c>
      <c r="AG353" t="e">
        <f>IF(AE353=1,COUNTIF($AE$3:$AE353,1),"")</f>
        <v>#REF!</v>
      </c>
    </row>
    <row r="354" spans="1:33" ht="15" hidden="1" customHeight="1" x14ac:dyDescent="0.35">
      <c r="A354" s="5"/>
      <c r="B354" s="5"/>
      <c r="C354" s="5"/>
      <c r="D354" s="5"/>
      <c r="E354" s="5" t="str">
        <f>IFERROR(INDEX(הגדרות!$I$2:$I$47,MATCH(B354,הגדרות!$H$2:$H$47,0)),"")</f>
        <v/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t="str">
        <f>IFERROR(INDEX(הגדרות!$B$2:$B$17,MATCH(H354,הגדרות!$A$2:$A$17,0)),"")</f>
        <v/>
      </c>
      <c r="AA354" t="str">
        <f>IFERROR(INDEX(הגדרות!$C$2:$C$17,MATCH(H354,הגדרות!$A$2:$A$17,0)),"")</f>
        <v/>
      </c>
      <c r="AB354" t="str">
        <f>IFERROR(INDEX(הגדרות!$B$2:$B$17,MATCH(I354,הגדרות!$A$2:$A$17,0)),"")</f>
        <v/>
      </c>
      <c r="AC354" t="str">
        <f>IFERROR(INDEX(הגדרות!$C$2:$C$17,MATCH(I354,הגדרות!$A$2:$A$17,0)),"")</f>
        <v/>
      </c>
      <c r="AD354" t="e">
        <f>IF(AND(מלאי!D354&lt;&gt;"",OR(#REF!="הכל",מלאי!Z354=#REF!,מלאי!AA354=#REF!,מלאי!AB354=#REF!,מלאי!AC354=#REF!),OR(#REF!="הכל",מלאי!A354=#REF!),OR(#REF!="הכל",מלאי!B354=#REF!),OR(#REF!="הכל",מלאי!F354=#REF!,מלאי!G354=#REF!),OR(#REF!="הכל",מלאי!T354=#REF!),OR(#REF!="הכל",מלאי!Q354=#REF!),OR(#REF!="הכל",מלאי!J354=#REF!),OR(#REF!="הכל",מלאי!L354=#REF!),OR(#REF!="הכל",מלאי!O354=#REF!),OR(#REF!="הכל",מלאי!R354=#REF!),OR(#REF!="הכל",#REF!="",מלאי!W354=#REF!),OR(#REF!="הכל",#REF!="",ISNUMBER(SEARCH(#REF!,מלאי!C354)))),1,0)</f>
        <v>#REF!</v>
      </c>
      <c r="AE354" t="e">
        <f>IF(AND(מלאי!D354&lt;&gt;"",OR(#REF!="הכל",מלאי!Z354=#REF!,מלאי!AA354=#REF!,מלאי!AB354=#REF!,מלאי!AC354=#REF!),OR(#REF!="הכל",מלאי!A354=#REF!),OR(#REF!="הכל",מלאי!B354=#REF!),OR(#REF!="הכל",מלאי!F354=#REF!,מלאי!G354=#REF!),OR(#REF!="הכל",מלאי!T354=#REF!),OR(#REF!="הכל",מלאי!Q354=#REF!),OR(#REF!="הכל",מלאי!J354=#REF!),OR(#REF!="הכל",מלאי!L354=#REF!),OR(#REF!="הכל",מלאי!O354=#REF!),OR(#REF!="הכל",מלאי!R354=#REF!),OR(#REF!="הכל",#REF!="",מלאי!W354=#REF!),OR(#REF!="הכל",#REF!="",ISNUMBER(SEARCH(#REF!,מלאי!C354))),OR(#REF!="הכל",מלאי!#REF!=#REF!)),1,0)</f>
        <v>#REF!</v>
      </c>
      <c r="AF354" t="e">
        <f>IF(AD354=1,COUNTIF($AD$3:$AD354,1),"")</f>
        <v>#REF!</v>
      </c>
      <c r="AG354" t="e">
        <f>IF(AE354=1,COUNTIF($AE$3:$AE354,1),"")</f>
        <v>#REF!</v>
      </c>
    </row>
  </sheetData>
  <sheetProtection sort="0" autoFilter="0"/>
  <autoFilter ref="A2:AG354" xr:uid="{00000000-0001-0000-0200-000000000000}">
    <filterColumn colId="0">
      <filters>
        <filter val="Uniform"/>
      </filters>
    </filterColumn>
  </autoFilter>
  <sortState xmlns:xlrd2="http://schemas.microsoft.com/office/spreadsheetml/2017/richdata2" ref="A3:AG354">
    <sortCondition ref="B2:B354"/>
  </sortState>
  <mergeCells count="7">
    <mergeCell ref="A1:B1"/>
    <mergeCell ref="V1:Y1"/>
    <mergeCell ref="F1:G1"/>
    <mergeCell ref="J1:P1"/>
    <mergeCell ref="C1:E1"/>
    <mergeCell ref="H1:I1"/>
    <mergeCell ref="Q1:S1"/>
  </mergeCells>
  <phoneticPr fontId="11" type="noConversion"/>
  <conditionalFormatting sqref="J3:N354">
    <cfRule type="cellIs" dxfId="20" priority="11" operator="equal">
      <formula>"כן"</formula>
    </cfRule>
    <cfRule type="cellIs" dxfId="19" priority="12" operator="equal">
      <formula>"לא"</formula>
    </cfRule>
  </conditionalFormatting>
  <conditionalFormatting sqref="O3:O118 O123:O134 O137:O354">
    <cfRule type="cellIs" dxfId="18" priority="28" operator="equal">
      <formula>"לא"</formula>
    </cfRule>
  </conditionalFormatting>
  <conditionalFormatting sqref="O119:O122">
    <cfRule type="cellIs" dxfId="17" priority="9" operator="equal">
      <formula>"כן"</formula>
    </cfRule>
    <cfRule type="cellIs" dxfId="16" priority="10" operator="equal">
      <formula>"לא"</formula>
    </cfRule>
  </conditionalFormatting>
  <conditionalFormatting sqref="O135:O136">
    <cfRule type="cellIs" dxfId="15" priority="1" operator="equal">
      <formula>"כן"</formula>
    </cfRule>
    <cfRule type="cellIs" dxfId="14" priority="2" operator="equal">
      <formula>"לא"</formula>
    </cfRule>
  </conditionalFormatting>
  <conditionalFormatting sqref="Q3:Q117 Q119:Q122 Q124:Q354">
    <cfRule type="cellIs" dxfId="13" priority="29" operator="equal">
      <formula>"כן"</formula>
    </cfRule>
  </conditionalFormatting>
  <conditionalFormatting sqref="Q118">
    <cfRule type="cellIs" dxfId="12" priority="5" operator="equal">
      <formula>"כן"</formula>
    </cfRule>
    <cfRule type="cellIs" dxfId="11" priority="6" operator="equal">
      <formula>"לא"</formula>
    </cfRule>
  </conditionalFormatting>
  <conditionalFormatting sqref="Q123">
    <cfRule type="cellIs" dxfId="10" priority="7" operator="equal">
      <formula>"כן"</formula>
    </cfRule>
    <cfRule type="cellIs" dxfId="9" priority="8" operator="equal">
      <formula>"לא"</formula>
    </cfRule>
  </conditionalFormatting>
  <conditionalFormatting sqref="S3:S354">
    <cfRule type="cellIs" dxfId="8" priority="30" operator="equal">
      <formula>"כן"</formula>
    </cfRule>
  </conditionalFormatting>
  <conditionalFormatting sqref="T3:T354">
    <cfRule type="cellIs" dxfId="7" priority="14" operator="equal">
      <formula>"במלאי"</formula>
    </cfRule>
    <cfRule type="cellIs" dxfId="6" priority="15" operator="equal">
      <formula>"מושאל"</formula>
    </cfRule>
    <cfRule type="cellIs" dxfId="5" priority="16" operator="equal">
      <formula>"בחדר תצוגה"</formula>
    </cfRule>
    <cfRule type="cellIs" dxfId="4" priority="17" operator="equal">
      <formula>"בתיק הדגמה"</formula>
    </cfRule>
  </conditionalFormatting>
  <dataValidations count="3">
    <dataValidation type="custom" showErrorMessage="1" errorTitle="מזהה כפול" error="מזהה ייחודי זה כבר קיים!" sqref="D152:D153 D112:D148 D103:D107 D3:D92 D109 D157:D354" xr:uid="{00000000-0002-0000-0200-000009000000}">
      <formula1>COUNTIF($D$3:$D$354,D3)&lt;=1</formula1>
      <formula2>0</formula2>
    </dataValidation>
    <dataValidation type="list" allowBlank="1" showErrorMessage="1" sqref="J3:O354 S3:S354 Q3:Q354" xr:uid="{00000000-0002-0000-0200-000008000000}">
      <formula1>"כן,לא"</formula1>
      <formula2>0</formula2>
    </dataValidation>
    <dataValidation allowBlank="1" showErrorMessage="1" sqref="V1:V1048576" xr:uid="{C6DA28AF-6657-4535-9987-0DA0CAB3495A}"/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errorTitle="ערך לא חוקי" error="יש לבחור מהרשימה בלבד" xr:uid="{00000000-0002-0000-0200-000001000000}">
          <x14:formula1>
            <xm:f>הגדרות!$H$3:$H$47</xm:f>
          </x14:formula1>
          <x14:formula2>
            <xm:f>0</xm:f>
          </x14:formula2>
          <xm:sqref>B265:B354</xm:sqref>
        </x14:dataValidation>
        <x14:dataValidation type="list" allowBlank="1" showErrorMessage="1" errorTitle="ערך לא חוקי" error="יש לבחור מהרשימה בלבד" xr:uid="{00000000-0002-0000-0200-000002000000}">
          <x14:formula1>
            <xm:f>הגדרות!$L$3:$L$15</xm:f>
          </x14:formula1>
          <x14:formula2>
            <xm:f>0</xm:f>
          </x14:formula2>
          <xm:sqref>F221:F354 F219 G3:G354</xm:sqref>
        </x14:dataValidation>
        <x14:dataValidation type="list" allowBlank="1" showErrorMessage="1" errorTitle="ערך לא חוקי" error="יש לבחור מהרשימה בלבד" xr:uid="{00000000-0002-0000-0200-000004000000}">
          <x14:formula1>
            <xm:f>הגדרות!$M$2:$M$17</xm:f>
          </x14:formula1>
          <x14:formula2>
            <xm:f>0</xm:f>
          </x14:formula2>
          <xm:sqref>H333:I354</xm:sqref>
        </x14:dataValidation>
        <x14:dataValidation type="list" allowBlank="1" showErrorMessage="1" errorTitle="ערך לא חוקי" error="יש לבחור מהרשימה בלבד" xr:uid="{00000000-0002-0000-0200-000000000000}">
          <x14:formula1>
            <xm:f>הגדרות!$G$3:$G$10</xm:f>
          </x14:formula1>
          <x14:formula2>
            <xm:f>0</xm:f>
          </x14:formula2>
          <xm:sqref>A3:A354</xm:sqref>
        </x14:dataValidation>
        <x14:dataValidation type="list" allowBlank="1" showErrorMessage="1" errorTitle="ערך לא חוקי" error="יש לבחור מהרשימה בלבד" xr:uid="{00000000-0002-0000-0200-000007000000}">
          <x14:formula1>
            <xm:f>הגדרות!$P$3:$P$9</xm:f>
          </x14:formula1>
          <x14:formula2>
            <xm:f>0</xm:f>
          </x14:formula2>
          <xm:sqref>R3:R354</xm:sqref>
        </x14:dataValidation>
        <x14:dataValidation type="list" allowBlank="1" showErrorMessage="1" errorTitle="ערך לא חוקי" error="יש לבחור מהרשימה בלבד" xr:uid="{6E2F4F3A-8A06-48F0-AF07-1E0221F27F7F}">
          <x14:formula1>
            <xm:f>הגדרות!$L$3:$L$18</xm:f>
          </x14:formula1>
          <xm:sqref>F3:F218 F220</xm:sqref>
        </x14:dataValidation>
        <x14:dataValidation type="list" allowBlank="1" showErrorMessage="1" errorTitle="ערך לא חוקי" error="יש לבחור מהרשימה בלבד" xr:uid="{00000000-0002-0000-0200-000006000000}">
          <x14:formula1>
            <xm:f>הגדרות!$N$3:$N$6</xm:f>
          </x14:formula1>
          <x14:formula2>
            <xm:f>0</xm:f>
          </x14:formula2>
          <xm:sqref>T3:T354</xm:sqref>
        </x14:dataValidation>
        <x14:dataValidation type="list" allowBlank="1" showErrorMessage="1" errorTitle="ערך לא חוקי" error="יש לבחור מהרשימה בלבד" xr:uid="{0EDA66D7-8EE7-4E74-BB57-0CD53F11A96F}">
          <x14:formula1>
            <xm:f>הגדרות!$M$2:$M$18</xm:f>
          </x14:formula1>
          <xm:sqref>H3:I332</xm:sqref>
        </x14:dataValidation>
        <x14:dataValidation type="list" allowBlank="1" showInputMessage="1" showErrorMessage="1" xr:uid="{3667D052-2722-4C1D-A803-DCA530933B3D}">
          <x14:formula1>
            <xm:f>הגדרות!$H$3:$H$70</xm:f>
          </x14:formula1>
          <xm:sqref>C219 B3:B264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4"/>
  <sheetViews>
    <sheetView rightToLeft="1" zoomScaleNormal="100" workbookViewId="0">
      <pane ySplit="4" topLeftCell="A5" activePane="bottomLeft" state="frozen"/>
      <selection pane="bottomLeft" activeCell="C2" sqref="C2"/>
    </sheetView>
  </sheetViews>
  <sheetFormatPr defaultColWidth="8.7265625" defaultRowHeight="14.5" x14ac:dyDescent="0.35"/>
  <cols>
    <col min="1" max="1" width="20" customWidth="1"/>
    <col min="2" max="2" width="14" customWidth="1"/>
    <col min="3" max="3" width="22" customWidth="1"/>
    <col min="4" max="5" width="18" customWidth="1"/>
    <col min="6" max="6" width="14" customWidth="1"/>
    <col min="7" max="10" width="16" customWidth="1"/>
    <col min="11" max="11" width="12" customWidth="1"/>
    <col min="12" max="12" width="14" customWidth="1"/>
    <col min="13" max="13" width="26" customWidth="1"/>
    <col min="14" max="14" width="8" hidden="1" customWidth="1"/>
  </cols>
  <sheetData>
    <row r="1" spans="1:14" ht="15.75" customHeight="1" x14ac:dyDescent="0.35">
      <c r="A1" s="41" t="s">
        <v>94</v>
      </c>
      <c r="B1" s="42"/>
      <c r="C1" s="42"/>
      <c r="D1" s="42"/>
      <c r="E1" s="42"/>
      <c r="F1" s="42"/>
      <c r="G1" s="42"/>
      <c r="H1" s="42"/>
    </row>
    <row r="2" spans="1:14" ht="15" customHeight="1" x14ac:dyDescent="0.35">
      <c r="A2" s="2" t="s">
        <v>95</v>
      </c>
      <c r="B2" s="1" t="s">
        <v>0</v>
      </c>
      <c r="C2" s="2" t="s">
        <v>96</v>
      </c>
      <c r="D2" s="1" t="s">
        <v>0</v>
      </c>
      <c r="E2" s="2" t="s">
        <v>97</v>
      </c>
      <c r="F2" s="1" t="s">
        <v>0</v>
      </c>
      <c r="G2" s="2" t="s">
        <v>1</v>
      </c>
      <c r="H2" s="1" t="s">
        <v>0</v>
      </c>
    </row>
    <row r="4" spans="1:14" ht="26.25" customHeight="1" x14ac:dyDescent="0.35">
      <c r="A4" s="3" t="s">
        <v>98</v>
      </c>
      <c r="B4" s="3" t="s">
        <v>99</v>
      </c>
      <c r="C4" s="36" t="s">
        <v>4</v>
      </c>
      <c r="D4" s="3" t="s">
        <v>3</v>
      </c>
      <c r="E4" s="3" t="s">
        <v>27</v>
      </c>
      <c r="F4" s="3" t="s">
        <v>28</v>
      </c>
      <c r="G4" s="3" t="s">
        <v>100</v>
      </c>
      <c r="H4" s="3" t="s">
        <v>101</v>
      </c>
      <c r="I4" s="3" t="s">
        <v>29</v>
      </c>
      <c r="J4" s="3" t="s">
        <v>102</v>
      </c>
      <c r="K4" s="3" t="s">
        <v>9</v>
      </c>
      <c r="L4" s="3" t="s">
        <v>103</v>
      </c>
      <c r="M4" s="3" t="s">
        <v>10</v>
      </c>
      <c r="N4" s="3" t="s">
        <v>104</v>
      </c>
    </row>
    <row r="5" spans="1:14" ht="15" customHeight="1" x14ac:dyDescent="0.35">
      <c r="A5" s="4">
        <v>1</v>
      </c>
      <c r="B5" s="4"/>
      <c r="C5" s="8" t="s">
        <v>206</v>
      </c>
      <c r="D5" s="17" t="s">
        <v>139</v>
      </c>
      <c r="F5" s="4" t="s">
        <v>499</v>
      </c>
      <c r="G5" s="4" t="s">
        <v>500</v>
      </c>
      <c r="H5" s="4"/>
      <c r="I5" s="4"/>
      <c r="J5" s="4"/>
      <c r="K5" s="4" t="s">
        <v>141</v>
      </c>
      <c r="L5" s="4" t="str">
        <f t="shared" ref="L5:L36" ca="1" si="0">IF(AND(K5="פעיל",I5&lt;&gt;"",I5&lt;TODAY()),"באיחור!","")</f>
        <v/>
      </c>
      <c r="M5" s="4"/>
      <c r="N5" t="e">
        <f>IF(AND(A5&lt;&gt;"",OR($B$2="הכל",#REF!=$B$2),OR($D$2="הכל",F5=$D$2),OR($F$2="הכל",G5=$F$2),OR($H$2="הכל",K5=$H$2)),1,0)</f>
        <v>#REF!</v>
      </c>
    </row>
    <row r="6" spans="1:14" ht="15" customHeight="1" x14ac:dyDescent="0.35">
      <c r="A6" s="4">
        <f>SUM(A5+1)</f>
        <v>2</v>
      </c>
      <c r="B6" s="5"/>
      <c r="C6" s="8" t="s">
        <v>79</v>
      </c>
      <c r="D6" s="17" t="s">
        <v>78</v>
      </c>
      <c r="F6" s="4" t="s">
        <v>499</v>
      </c>
      <c r="G6" s="4" t="s">
        <v>500</v>
      </c>
      <c r="H6" s="5"/>
      <c r="I6" s="5"/>
      <c r="J6" s="5"/>
      <c r="K6" s="4" t="s">
        <v>141</v>
      </c>
      <c r="L6" s="5" t="str">
        <f t="shared" ca="1" si="0"/>
        <v/>
      </c>
      <c r="M6" s="5"/>
      <c r="N6" t="e">
        <f>IF(AND(A6&lt;&gt;"",OR($B$2="הכל",#REF!=$B$2),OR($D$2="הכל",F6=$D$2),OR($F$2="הכל",G6=$F$2),OR($H$2="הכל",K6=$H$2)),1,0)</f>
        <v>#REF!</v>
      </c>
    </row>
    <row r="7" spans="1:14" ht="15" customHeight="1" x14ac:dyDescent="0.35">
      <c r="A7" s="4">
        <f>SUM(A6+1)</f>
        <v>3</v>
      </c>
      <c r="B7" s="4" t="s">
        <v>501</v>
      </c>
      <c r="C7" s="8" t="s">
        <v>44</v>
      </c>
      <c r="D7" s="17" t="s">
        <v>34</v>
      </c>
      <c r="F7" s="4" t="s">
        <v>499</v>
      </c>
      <c r="G7" s="4" t="s">
        <v>500</v>
      </c>
      <c r="H7" s="4"/>
      <c r="I7" s="4"/>
      <c r="J7" s="4"/>
      <c r="K7" s="4" t="s">
        <v>141</v>
      </c>
      <c r="L7" s="4" t="str">
        <f t="shared" ca="1" si="0"/>
        <v/>
      </c>
      <c r="M7" s="4"/>
      <c r="N7" t="e">
        <f>IF(AND(A7&lt;&gt;"",OR($B$2="הכל",#REF!=$B$2),OR($D$2="הכל",F7=$D$2),OR($F$2="הכל",G7=$F$2),OR($H$2="הכל",K7=$H$2)),1,0)</f>
        <v>#REF!</v>
      </c>
    </row>
    <row r="8" spans="1:14" ht="15" customHeight="1" x14ac:dyDescent="0.35">
      <c r="A8" s="4">
        <f>SUM(A7+1)</f>
        <v>4</v>
      </c>
      <c r="B8" s="4" t="s">
        <v>501</v>
      </c>
      <c r="C8" s="8" t="s">
        <v>35</v>
      </c>
      <c r="D8" s="17" t="s">
        <v>34</v>
      </c>
      <c r="F8" s="4" t="s">
        <v>499</v>
      </c>
      <c r="G8" s="4" t="s">
        <v>500</v>
      </c>
      <c r="H8" s="5"/>
      <c r="I8" s="5"/>
      <c r="J8" s="5"/>
      <c r="K8" s="4" t="s">
        <v>141</v>
      </c>
      <c r="L8" s="5" t="str">
        <f t="shared" ca="1" si="0"/>
        <v/>
      </c>
      <c r="M8" s="5"/>
      <c r="N8" t="e">
        <f>IF(AND(A8&lt;&gt;"",OR($B$2="הכל",#REF!=$B$2),OR($D$2="הכל",F8=$D$2),OR($F$2="הכל",G8=$F$2),OR($H$2="הכל",K8=$H$2)),1,0)</f>
        <v>#REF!</v>
      </c>
    </row>
    <row r="9" spans="1:14" ht="15" customHeight="1" x14ac:dyDescent="0.35">
      <c r="A9" s="4">
        <f t="shared" ref="A9:A22" si="1">SUM(A8+1)</f>
        <v>5</v>
      </c>
      <c r="B9" s="4"/>
      <c r="C9" s="8" t="s">
        <v>62</v>
      </c>
      <c r="D9" s="17" t="s">
        <v>34</v>
      </c>
      <c r="F9" s="4" t="s">
        <v>499</v>
      </c>
      <c r="G9" s="4" t="s">
        <v>500</v>
      </c>
      <c r="H9" s="4"/>
      <c r="I9" s="4"/>
      <c r="J9" s="4"/>
      <c r="K9" s="4" t="s">
        <v>141</v>
      </c>
      <c r="L9" s="4" t="str">
        <f t="shared" ca="1" si="0"/>
        <v/>
      </c>
      <c r="M9" s="4"/>
      <c r="N9" t="e">
        <f>IF(AND(A9&lt;&gt;"",OR($B$2="הכל",#REF!=$B$2),OR($D$2="הכל",F9=$D$2),OR($F$2="הכל",G9=$F$2),OR($H$2="הכל",K9=$H$2)),1,0)</f>
        <v>#REF!</v>
      </c>
    </row>
    <row r="10" spans="1:14" ht="15" customHeight="1" x14ac:dyDescent="0.35">
      <c r="A10" s="4">
        <f t="shared" si="1"/>
        <v>6</v>
      </c>
      <c r="B10" s="5"/>
      <c r="C10" s="8" t="s">
        <v>55</v>
      </c>
      <c r="D10" s="17" t="s">
        <v>34</v>
      </c>
      <c r="F10" s="4" t="s">
        <v>499</v>
      </c>
      <c r="G10" s="4" t="s">
        <v>500</v>
      </c>
      <c r="H10" s="5"/>
      <c r="I10" s="5"/>
      <c r="J10" s="5"/>
      <c r="K10" s="4" t="s">
        <v>141</v>
      </c>
      <c r="L10" s="5" t="str">
        <f t="shared" ca="1" si="0"/>
        <v/>
      </c>
      <c r="M10" s="5"/>
      <c r="N10" t="e">
        <f>IF(AND(A10&lt;&gt;"",OR($B$2="הכל",#REF!=$B$2),OR($D$2="הכל",F10=$D$2),OR($F$2="הכל",G10=$F$2),OR($H$2="הכל",K10=$H$2)),1,0)</f>
        <v>#REF!</v>
      </c>
    </row>
    <row r="11" spans="1:14" ht="15" customHeight="1" x14ac:dyDescent="0.35">
      <c r="A11" s="4">
        <f t="shared" si="1"/>
        <v>7</v>
      </c>
      <c r="B11" s="4"/>
      <c r="C11" s="8" t="s">
        <v>93</v>
      </c>
      <c r="D11" s="17" t="s">
        <v>86</v>
      </c>
      <c r="F11" s="4" t="s">
        <v>499</v>
      </c>
      <c r="G11" s="4" t="s">
        <v>500</v>
      </c>
      <c r="H11" s="4"/>
      <c r="I11" s="4"/>
      <c r="J11" s="4"/>
      <c r="K11" s="4" t="s">
        <v>141</v>
      </c>
      <c r="L11" s="4" t="str">
        <f t="shared" ca="1" si="0"/>
        <v/>
      </c>
      <c r="M11" s="4"/>
      <c r="N11" t="e">
        <f>IF(AND(A11&lt;&gt;"",OR($B$2="הכל",#REF!=$B$2),OR($D$2="הכל",F11=$D$2),OR($F$2="הכל",G11=$F$2),OR($H$2="הכל",K11=$H$2)),1,0)</f>
        <v>#REF!</v>
      </c>
    </row>
    <row r="12" spans="1:14" ht="15" customHeight="1" x14ac:dyDescent="0.35">
      <c r="A12" s="4">
        <f t="shared" si="1"/>
        <v>8</v>
      </c>
      <c r="B12" s="11" t="s">
        <v>510</v>
      </c>
      <c r="C12" s="8" t="s">
        <v>190</v>
      </c>
      <c r="D12" s="17" t="s">
        <v>78</v>
      </c>
      <c r="F12" s="4" t="s">
        <v>499</v>
      </c>
      <c r="G12" s="4" t="s">
        <v>500</v>
      </c>
      <c r="H12" s="5"/>
      <c r="I12" s="5"/>
      <c r="J12" s="5"/>
      <c r="K12" s="4" t="s">
        <v>141</v>
      </c>
      <c r="L12" s="5" t="str">
        <f t="shared" ca="1" si="0"/>
        <v/>
      </c>
      <c r="M12" s="5"/>
      <c r="N12" t="e">
        <f>IF(AND(A12&lt;&gt;"",OR($B$2="הכל",#REF!=$B$2),OR($D$2="הכל",F12=$D$2),OR($F$2="הכל",G12=$F$2),OR($H$2="הכל",K12=$H$2)),1,0)</f>
        <v>#REF!</v>
      </c>
    </row>
    <row r="13" spans="1:14" ht="15" customHeight="1" x14ac:dyDescent="0.35">
      <c r="A13" s="4">
        <f t="shared" si="1"/>
        <v>9</v>
      </c>
      <c r="B13" s="4" t="s">
        <v>138</v>
      </c>
      <c r="C13" s="8" t="s">
        <v>202</v>
      </c>
      <c r="D13" s="17" t="s">
        <v>144</v>
      </c>
      <c r="F13" s="4" t="s">
        <v>499</v>
      </c>
      <c r="G13" s="4" t="s">
        <v>500</v>
      </c>
      <c r="H13" s="4"/>
      <c r="I13" s="4"/>
      <c r="J13" s="4"/>
      <c r="K13" s="4" t="s">
        <v>141</v>
      </c>
      <c r="L13" s="4" t="str">
        <f t="shared" ca="1" si="0"/>
        <v/>
      </c>
      <c r="M13" s="4"/>
      <c r="N13" t="e">
        <f>IF(AND(A13&lt;&gt;"",OR($B$2="הכל",#REF!=$B$2),OR($D$2="הכל",F13=$D$2),OR($F$2="הכל",G13=$F$2),OR($H$2="הכל",K13=$H$2)),1,0)</f>
        <v>#REF!</v>
      </c>
    </row>
    <row r="14" spans="1:14" ht="15" customHeight="1" x14ac:dyDescent="0.35">
      <c r="A14" s="4">
        <f t="shared" si="1"/>
        <v>10</v>
      </c>
      <c r="B14" s="4" t="s">
        <v>138</v>
      </c>
      <c r="C14" s="8" t="s">
        <v>203</v>
      </c>
      <c r="D14" s="17" t="s">
        <v>144</v>
      </c>
      <c r="F14" s="4" t="s">
        <v>499</v>
      </c>
      <c r="G14" s="4" t="s">
        <v>500</v>
      </c>
      <c r="H14" s="5"/>
      <c r="I14" s="5"/>
      <c r="J14" s="5"/>
      <c r="K14" s="4" t="s">
        <v>141</v>
      </c>
      <c r="L14" s="5" t="str">
        <f t="shared" ca="1" si="0"/>
        <v/>
      </c>
      <c r="M14" s="5"/>
      <c r="N14" t="e">
        <f>IF(AND(A14&lt;&gt;"",OR($B$2="הכל",#REF!=$B$2),OR($D$2="הכל",F14=$D$2),OR($F$2="הכל",G14=$F$2),OR($H$2="הכל",K14=$H$2)),1,0)</f>
        <v>#REF!</v>
      </c>
    </row>
    <row r="15" spans="1:14" ht="28.5" customHeight="1" x14ac:dyDescent="0.35">
      <c r="A15" s="4">
        <f t="shared" si="1"/>
        <v>11</v>
      </c>
      <c r="B15" s="4" t="s">
        <v>505</v>
      </c>
      <c r="C15" s="8" t="s">
        <v>79</v>
      </c>
      <c r="D15" s="17" t="s">
        <v>78</v>
      </c>
      <c r="E15" s="4"/>
      <c r="F15" s="4" t="s">
        <v>506</v>
      </c>
      <c r="G15" s="4" t="s">
        <v>500</v>
      </c>
      <c r="H15" s="4"/>
      <c r="I15" s="4"/>
      <c r="J15" s="4"/>
      <c r="K15" s="4" t="s">
        <v>141</v>
      </c>
      <c r="L15" s="4" t="str">
        <f t="shared" ca="1" si="0"/>
        <v/>
      </c>
      <c r="M15" s="4"/>
      <c r="N15">
        <f t="shared" ref="N15:N36" si="2">IF(AND(A15&lt;&gt;"",OR($B$2="הכל",F15=$B$2),OR($D$2="הכל",E15=$D$2),OR($F$2="הכל",G15=$F$2),OR($H$2="הכל",K15=$H$2)),1,0)</f>
        <v>1</v>
      </c>
    </row>
    <row r="16" spans="1:14" ht="15" customHeight="1" x14ac:dyDescent="0.35">
      <c r="A16" s="4">
        <f t="shared" si="1"/>
        <v>12</v>
      </c>
      <c r="B16" s="5" t="s">
        <v>390</v>
      </c>
      <c r="C16" s="8" t="s">
        <v>172</v>
      </c>
      <c r="D16" s="17" t="s">
        <v>34</v>
      </c>
      <c r="E16" s="5"/>
      <c r="F16" s="4" t="s">
        <v>506</v>
      </c>
      <c r="G16" s="4" t="s">
        <v>500</v>
      </c>
      <c r="H16" s="5"/>
      <c r="I16" s="5"/>
      <c r="J16" s="5"/>
      <c r="K16" s="4" t="s">
        <v>141</v>
      </c>
      <c r="L16" s="5" t="str">
        <f t="shared" ca="1" si="0"/>
        <v/>
      </c>
      <c r="M16" s="5"/>
      <c r="N16">
        <f t="shared" si="2"/>
        <v>1</v>
      </c>
    </row>
    <row r="17" spans="1:14" ht="15" customHeight="1" x14ac:dyDescent="0.35">
      <c r="A17" s="4">
        <f t="shared" si="1"/>
        <v>13</v>
      </c>
      <c r="B17" s="5" t="s">
        <v>390</v>
      </c>
      <c r="C17" s="8" t="s">
        <v>194</v>
      </c>
      <c r="D17" s="17" t="s">
        <v>159</v>
      </c>
      <c r="E17" s="4"/>
      <c r="F17" s="4" t="s">
        <v>506</v>
      </c>
      <c r="G17" s="4" t="s">
        <v>500</v>
      </c>
      <c r="H17" s="4"/>
      <c r="I17" s="4"/>
      <c r="J17" s="4"/>
      <c r="K17" s="4" t="s">
        <v>141</v>
      </c>
      <c r="L17" s="4" t="str">
        <f t="shared" ca="1" si="0"/>
        <v/>
      </c>
      <c r="M17" s="4"/>
      <c r="N17">
        <f t="shared" si="2"/>
        <v>1</v>
      </c>
    </row>
    <row r="18" spans="1:14" ht="15" customHeight="1" x14ac:dyDescent="0.35">
      <c r="A18" s="4">
        <f t="shared" si="1"/>
        <v>14</v>
      </c>
      <c r="B18" s="5" t="s">
        <v>390</v>
      </c>
      <c r="C18" s="8" t="s">
        <v>175</v>
      </c>
      <c r="D18" s="17" t="s">
        <v>86</v>
      </c>
      <c r="E18" s="5"/>
      <c r="F18" s="4" t="s">
        <v>506</v>
      </c>
      <c r="G18" s="4" t="s">
        <v>500</v>
      </c>
      <c r="H18" s="5"/>
      <c r="I18" s="5"/>
      <c r="J18" s="5"/>
      <c r="K18" s="4" t="s">
        <v>141</v>
      </c>
      <c r="L18" s="5" t="str">
        <f t="shared" ca="1" si="0"/>
        <v/>
      </c>
      <c r="M18" s="5"/>
      <c r="N18">
        <f t="shared" si="2"/>
        <v>1</v>
      </c>
    </row>
    <row r="19" spans="1:14" ht="15" customHeight="1" x14ac:dyDescent="0.35">
      <c r="A19" s="4">
        <f t="shared" si="1"/>
        <v>15</v>
      </c>
      <c r="B19" s="4" t="s">
        <v>504</v>
      </c>
      <c r="C19" s="8" t="s">
        <v>307</v>
      </c>
      <c r="D19" s="17" t="s">
        <v>34</v>
      </c>
      <c r="E19" s="4"/>
      <c r="F19" s="4" t="s">
        <v>506</v>
      </c>
      <c r="G19" s="4" t="s">
        <v>500</v>
      </c>
      <c r="H19" s="4"/>
      <c r="I19" s="4"/>
      <c r="J19" s="4"/>
      <c r="K19" s="4" t="s">
        <v>141</v>
      </c>
      <c r="L19" s="4" t="str">
        <f t="shared" ca="1" si="0"/>
        <v/>
      </c>
      <c r="M19" s="4"/>
      <c r="N19">
        <f t="shared" si="2"/>
        <v>1</v>
      </c>
    </row>
    <row r="20" spans="1:14" ht="15" customHeight="1" x14ac:dyDescent="0.35">
      <c r="A20" s="4">
        <f t="shared" si="1"/>
        <v>16</v>
      </c>
      <c r="B20" s="5" t="s">
        <v>503</v>
      </c>
      <c r="C20" s="8" t="s">
        <v>187</v>
      </c>
      <c r="D20" s="17" t="s">
        <v>78</v>
      </c>
      <c r="E20" s="5"/>
      <c r="F20" s="4" t="s">
        <v>507</v>
      </c>
      <c r="G20" s="4" t="s">
        <v>500</v>
      </c>
      <c r="H20" s="5"/>
      <c r="I20" s="5"/>
      <c r="J20" s="5"/>
      <c r="K20" s="4" t="s">
        <v>141</v>
      </c>
      <c r="L20" s="5" t="str">
        <f t="shared" ca="1" si="0"/>
        <v/>
      </c>
      <c r="M20" s="5"/>
      <c r="N20">
        <f t="shared" si="2"/>
        <v>1</v>
      </c>
    </row>
    <row r="21" spans="1:14" ht="15" customHeight="1" x14ac:dyDescent="0.35">
      <c r="A21" s="4">
        <f t="shared" si="1"/>
        <v>17</v>
      </c>
      <c r="B21" s="4" t="s">
        <v>502</v>
      </c>
      <c r="C21" s="8" t="s">
        <v>79</v>
      </c>
      <c r="D21" s="17" t="s">
        <v>78</v>
      </c>
      <c r="E21" s="4"/>
      <c r="F21" s="4" t="s">
        <v>507</v>
      </c>
      <c r="G21" s="4" t="s">
        <v>500</v>
      </c>
      <c r="H21" s="4"/>
      <c r="I21" s="4"/>
      <c r="J21" s="4"/>
      <c r="K21" s="4" t="s">
        <v>141</v>
      </c>
      <c r="L21" s="4" t="str">
        <f t="shared" ca="1" si="0"/>
        <v/>
      </c>
      <c r="M21" s="4"/>
      <c r="N21">
        <f t="shared" si="2"/>
        <v>1</v>
      </c>
    </row>
    <row r="22" spans="1:14" ht="15" customHeight="1" x14ac:dyDescent="0.35">
      <c r="A22" s="4">
        <f t="shared" si="1"/>
        <v>18</v>
      </c>
      <c r="B22" s="5" t="s">
        <v>390</v>
      </c>
      <c r="C22" s="8" t="s">
        <v>307</v>
      </c>
      <c r="D22" s="17" t="s">
        <v>34</v>
      </c>
      <c r="E22" s="5"/>
      <c r="F22" s="4" t="s">
        <v>507</v>
      </c>
      <c r="G22" s="4" t="s">
        <v>500</v>
      </c>
      <c r="H22" s="5"/>
      <c r="I22" s="5"/>
      <c r="J22" s="5"/>
      <c r="K22" s="4" t="s">
        <v>141</v>
      </c>
      <c r="L22" s="5" t="str">
        <f t="shared" ca="1" si="0"/>
        <v/>
      </c>
      <c r="M22" s="5"/>
      <c r="N22">
        <f t="shared" si="2"/>
        <v>1</v>
      </c>
    </row>
    <row r="23" spans="1:14" ht="15" customHeight="1" x14ac:dyDescent="0.35">
      <c r="A23" s="4"/>
      <c r="B23" s="4" t="s">
        <v>504</v>
      </c>
      <c r="C23" s="8" t="s">
        <v>194</v>
      </c>
      <c r="D23" s="17" t="s">
        <v>159</v>
      </c>
      <c r="E23" s="4"/>
      <c r="F23" s="4" t="s">
        <v>507</v>
      </c>
      <c r="G23" s="4" t="s">
        <v>500</v>
      </c>
      <c r="H23" s="4"/>
      <c r="I23" s="4"/>
      <c r="J23" s="4"/>
      <c r="K23" s="4" t="s">
        <v>141</v>
      </c>
      <c r="L23" s="4" t="str">
        <f t="shared" ca="1" si="0"/>
        <v/>
      </c>
      <c r="M23" s="4"/>
      <c r="N23">
        <f t="shared" si="2"/>
        <v>0</v>
      </c>
    </row>
    <row r="24" spans="1:14" ht="15" customHeight="1" x14ac:dyDescent="0.35">
      <c r="A24" s="5"/>
      <c r="B24" s="4" t="s">
        <v>504</v>
      </c>
      <c r="C24" s="8" t="s">
        <v>172</v>
      </c>
      <c r="D24" s="17" t="s">
        <v>34</v>
      </c>
      <c r="E24" s="5"/>
      <c r="F24" s="4" t="s">
        <v>507</v>
      </c>
      <c r="G24" s="4" t="s">
        <v>500</v>
      </c>
      <c r="H24" s="5"/>
      <c r="I24" s="5"/>
      <c r="J24" s="5"/>
      <c r="K24" s="4" t="s">
        <v>141</v>
      </c>
      <c r="L24" s="5" t="str">
        <f t="shared" ca="1" si="0"/>
        <v/>
      </c>
      <c r="M24" s="5"/>
      <c r="N24">
        <f t="shared" si="2"/>
        <v>0</v>
      </c>
    </row>
    <row r="25" spans="1:14" ht="15" customHeight="1" x14ac:dyDescent="0.35">
      <c r="A25" s="4"/>
      <c r="B25" s="5" t="s">
        <v>390</v>
      </c>
      <c r="C25" s="8" t="s">
        <v>175</v>
      </c>
      <c r="D25" s="17" t="s">
        <v>34</v>
      </c>
      <c r="E25" s="4"/>
      <c r="F25" s="4" t="s">
        <v>507</v>
      </c>
      <c r="G25" s="4" t="s">
        <v>500</v>
      </c>
      <c r="H25" s="4"/>
      <c r="I25" s="4"/>
      <c r="J25" s="4"/>
      <c r="K25" s="4" t="s">
        <v>141</v>
      </c>
      <c r="L25" s="4" t="str">
        <f t="shared" ca="1" si="0"/>
        <v/>
      </c>
      <c r="M25" s="4"/>
      <c r="N25">
        <f t="shared" si="2"/>
        <v>0</v>
      </c>
    </row>
    <row r="26" spans="1:14" ht="15" customHeight="1" x14ac:dyDescent="0.35">
      <c r="A26" s="5"/>
      <c r="B26" s="11" t="s">
        <v>509</v>
      </c>
      <c r="C26" s="8" t="s">
        <v>187</v>
      </c>
      <c r="D26" s="17" t="s">
        <v>78</v>
      </c>
      <c r="E26" s="5"/>
      <c r="F26" s="12" t="s">
        <v>508</v>
      </c>
      <c r="G26" s="4" t="s">
        <v>500</v>
      </c>
      <c r="H26" s="5"/>
      <c r="I26" s="5"/>
      <c r="J26" s="5"/>
      <c r="K26" s="4" t="s">
        <v>141</v>
      </c>
      <c r="L26" s="5" t="str">
        <f t="shared" ca="1" si="0"/>
        <v/>
      </c>
      <c r="M26" s="5"/>
      <c r="N26">
        <f t="shared" si="2"/>
        <v>0</v>
      </c>
    </row>
    <row r="27" spans="1:14" ht="15" customHeight="1" x14ac:dyDescent="0.35">
      <c r="A27" s="4"/>
      <c r="B27" s="4"/>
      <c r="C27" s="8" t="s">
        <v>218</v>
      </c>
      <c r="D27" s="17" t="s">
        <v>159</v>
      </c>
      <c r="E27" s="4"/>
      <c r="F27" s="12" t="s">
        <v>508</v>
      </c>
      <c r="G27" s="4" t="s">
        <v>500</v>
      </c>
      <c r="H27" s="4"/>
      <c r="I27" s="4"/>
      <c r="J27" s="4"/>
      <c r="K27" s="4" t="s">
        <v>141</v>
      </c>
      <c r="L27" s="4" t="str">
        <f t="shared" ca="1" si="0"/>
        <v/>
      </c>
      <c r="M27" s="4"/>
      <c r="N27">
        <f t="shared" si="2"/>
        <v>0</v>
      </c>
    </row>
    <row r="28" spans="1:14" ht="15" customHeight="1" x14ac:dyDescent="0.35">
      <c r="A28" s="5"/>
      <c r="B28" s="5"/>
      <c r="C28" s="8"/>
      <c r="D28" s="17"/>
      <c r="E28" s="5"/>
      <c r="F28" s="4"/>
      <c r="G28" s="4"/>
      <c r="H28" s="5"/>
      <c r="I28" s="5"/>
      <c r="J28" s="5"/>
      <c r="K28" s="4"/>
      <c r="L28" s="5" t="str">
        <f t="shared" ca="1" si="0"/>
        <v/>
      </c>
      <c r="M28" s="5"/>
      <c r="N28">
        <f t="shared" si="2"/>
        <v>0</v>
      </c>
    </row>
    <row r="29" spans="1:14" ht="15" customHeight="1" x14ac:dyDescent="0.35">
      <c r="A29" s="4"/>
      <c r="B29" s="4"/>
      <c r="C29" s="8"/>
      <c r="D29" s="17"/>
      <c r="E29" s="4"/>
      <c r="F29" s="4"/>
      <c r="G29" s="4"/>
      <c r="H29" s="4"/>
      <c r="I29" s="4"/>
      <c r="J29" s="4"/>
      <c r="K29" s="4"/>
      <c r="L29" s="4" t="str">
        <f t="shared" ca="1" si="0"/>
        <v/>
      </c>
      <c r="M29" s="4"/>
      <c r="N29">
        <f t="shared" si="2"/>
        <v>0</v>
      </c>
    </row>
    <row r="30" spans="1:14" ht="15" customHeight="1" x14ac:dyDescent="0.35">
      <c r="A30" s="5"/>
      <c r="B30" s="5"/>
      <c r="C30" s="8"/>
      <c r="D30" s="17"/>
      <c r="E30" s="5"/>
      <c r="F30" s="4"/>
      <c r="G30" s="4"/>
      <c r="H30" s="5"/>
      <c r="I30" s="5"/>
      <c r="J30" s="5"/>
      <c r="K30" s="4"/>
      <c r="L30" s="5" t="str">
        <f t="shared" ca="1" si="0"/>
        <v/>
      </c>
      <c r="M30" s="5"/>
      <c r="N30">
        <f t="shared" si="2"/>
        <v>0</v>
      </c>
    </row>
    <row r="31" spans="1:14" ht="15" customHeight="1" x14ac:dyDescent="0.35">
      <c r="A31" s="4"/>
      <c r="B31" s="4"/>
      <c r="C31" s="8"/>
      <c r="D31" s="17"/>
      <c r="E31" s="4"/>
      <c r="F31" s="4"/>
      <c r="G31" s="4"/>
      <c r="H31" s="4"/>
      <c r="I31" s="4"/>
      <c r="J31" s="4"/>
      <c r="K31" s="4"/>
      <c r="L31" s="4" t="str">
        <f t="shared" ca="1" si="0"/>
        <v/>
      </c>
      <c r="M31" s="4"/>
      <c r="N31">
        <f t="shared" si="2"/>
        <v>0</v>
      </c>
    </row>
    <row r="32" spans="1:14" ht="15" customHeight="1" x14ac:dyDescent="0.35">
      <c r="A32" s="5"/>
      <c r="B32" s="5"/>
      <c r="C32" s="8"/>
      <c r="D32" s="17"/>
      <c r="E32" s="5"/>
      <c r="F32" s="4"/>
      <c r="G32" s="4"/>
      <c r="H32" s="5"/>
      <c r="I32" s="5"/>
      <c r="J32" s="5"/>
      <c r="K32" s="4"/>
      <c r="L32" s="5" t="str">
        <f t="shared" ca="1" si="0"/>
        <v/>
      </c>
      <c r="M32" s="5"/>
      <c r="N32">
        <f t="shared" si="2"/>
        <v>0</v>
      </c>
    </row>
    <row r="33" spans="1:14" ht="15" customHeight="1" x14ac:dyDescent="0.35">
      <c r="A33" s="4"/>
      <c r="B33" s="4"/>
      <c r="C33" s="8"/>
      <c r="D33" s="17"/>
      <c r="E33" s="4"/>
      <c r="F33" s="4"/>
      <c r="G33" s="4"/>
      <c r="H33" s="4"/>
      <c r="I33" s="4"/>
      <c r="J33" s="4"/>
      <c r="K33" s="4"/>
      <c r="L33" s="4" t="str">
        <f t="shared" ca="1" si="0"/>
        <v/>
      </c>
      <c r="M33" s="4"/>
      <c r="N33">
        <f t="shared" si="2"/>
        <v>0</v>
      </c>
    </row>
    <row r="34" spans="1:14" ht="15" customHeight="1" x14ac:dyDescent="0.35">
      <c r="A34" s="5"/>
      <c r="B34" s="5"/>
      <c r="C34" s="8"/>
      <c r="D34" s="5"/>
      <c r="E34" s="5"/>
      <c r="F34" s="5"/>
      <c r="G34" s="5"/>
      <c r="H34" s="5"/>
      <c r="I34" s="5"/>
      <c r="J34" s="5"/>
      <c r="K34" s="4"/>
      <c r="L34" s="5" t="str">
        <f t="shared" ca="1" si="0"/>
        <v/>
      </c>
      <c r="M34" s="5"/>
      <c r="N34">
        <f t="shared" si="2"/>
        <v>0</v>
      </c>
    </row>
    <row r="35" spans="1:14" ht="15" customHeight="1" x14ac:dyDescent="0.35">
      <c r="A35" s="4"/>
      <c r="B35" s="4"/>
      <c r="C35" s="8"/>
      <c r="D35" s="4"/>
      <c r="E35" s="4"/>
      <c r="F35" s="4"/>
      <c r="G35" s="4"/>
      <c r="H35" s="4"/>
      <c r="I35" s="4"/>
      <c r="J35" s="4"/>
      <c r="K35" s="4"/>
      <c r="L35" s="4" t="str">
        <f t="shared" ca="1" si="0"/>
        <v/>
      </c>
      <c r="M35" s="4"/>
      <c r="N35">
        <f t="shared" si="2"/>
        <v>0</v>
      </c>
    </row>
    <row r="36" spans="1:14" ht="15" customHeight="1" x14ac:dyDescent="0.35">
      <c r="A36" s="5"/>
      <c r="B36" s="5"/>
      <c r="C36" s="8"/>
      <c r="D36" s="5"/>
      <c r="E36" s="5"/>
      <c r="F36" s="5"/>
      <c r="G36" s="5"/>
      <c r="H36" s="5"/>
      <c r="I36" s="5"/>
      <c r="J36" s="5"/>
      <c r="K36" s="4"/>
      <c r="L36" s="5" t="str">
        <f t="shared" ca="1" si="0"/>
        <v/>
      </c>
      <c r="M36" s="5"/>
      <c r="N36">
        <f t="shared" si="2"/>
        <v>0</v>
      </c>
    </row>
    <row r="37" spans="1:14" ht="15" customHeight="1" x14ac:dyDescent="0.35">
      <c r="A37" s="4"/>
      <c r="B37" s="4"/>
      <c r="C37" s="8"/>
      <c r="D37" s="4"/>
      <c r="E37" s="4"/>
      <c r="F37" s="4"/>
      <c r="G37" s="4"/>
      <c r="H37" s="4"/>
      <c r="I37" s="4"/>
      <c r="J37" s="4"/>
      <c r="K37" s="4"/>
      <c r="L37" s="4" t="str">
        <f t="shared" ref="L37:L54" ca="1" si="3">IF(AND(K37="פעיל",I37&lt;&gt;"",I37&lt;TODAY()),"באיחור!","")</f>
        <v/>
      </c>
      <c r="M37" s="4"/>
      <c r="N37">
        <f t="shared" ref="N37:N54" si="4">IF(AND(A37&lt;&gt;"",OR($B$2="הכל",F37=$B$2),OR($D$2="הכל",E37=$D$2),OR($F$2="הכל",G37=$F$2),OR($H$2="הכל",K37=$H$2)),1,0)</f>
        <v>0</v>
      </c>
    </row>
    <row r="38" spans="1:14" ht="15" customHeight="1" x14ac:dyDescent="0.35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 t="str">
        <f t="shared" ca="1" si="3"/>
        <v/>
      </c>
      <c r="M38" s="5"/>
      <c r="N38">
        <f t="shared" si="4"/>
        <v>0</v>
      </c>
    </row>
    <row r="39" spans="1:14" ht="15" customHeight="1" x14ac:dyDescent="0.35">
      <c r="A39" s="4"/>
      <c r="B39" s="4"/>
      <c r="C39" s="8"/>
      <c r="D39" s="4"/>
      <c r="E39" s="4"/>
      <c r="F39" s="4"/>
      <c r="G39" s="4"/>
      <c r="H39" s="4"/>
      <c r="I39" s="4"/>
      <c r="J39" s="4"/>
      <c r="K39" s="4"/>
      <c r="L39" s="4" t="str">
        <f t="shared" ca="1" si="3"/>
        <v/>
      </c>
      <c r="M39" s="4"/>
      <c r="N39">
        <f t="shared" si="4"/>
        <v>0</v>
      </c>
    </row>
    <row r="40" spans="1:14" ht="15" customHeight="1" x14ac:dyDescent="0.35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 t="str">
        <f t="shared" ca="1" si="3"/>
        <v/>
      </c>
      <c r="M40" s="5"/>
      <c r="N40">
        <f t="shared" si="4"/>
        <v>0</v>
      </c>
    </row>
    <row r="41" spans="1:14" ht="15" customHeight="1" x14ac:dyDescent="0.35">
      <c r="A41" s="4"/>
      <c r="B41" s="4"/>
      <c r="C41" s="8"/>
      <c r="D41" s="4"/>
      <c r="E41" s="4"/>
      <c r="F41" s="4"/>
      <c r="G41" s="4"/>
      <c r="H41" s="4"/>
      <c r="I41" s="4"/>
      <c r="J41" s="4"/>
      <c r="K41" s="4"/>
      <c r="L41" s="4" t="str">
        <f t="shared" ca="1" si="3"/>
        <v/>
      </c>
      <c r="M41" s="4"/>
      <c r="N41">
        <f t="shared" si="4"/>
        <v>0</v>
      </c>
    </row>
    <row r="42" spans="1:14" ht="15" customHeight="1" x14ac:dyDescent="0.35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 t="str">
        <f t="shared" ca="1" si="3"/>
        <v/>
      </c>
      <c r="M42" s="5"/>
      <c r="N42">
        <f t="shared" si="4"/>
        <v>0</v>
      </c>
    </row>
    <row r="43" spans="1:14" ht="15" customHeight="1" x14ac:dyDescent="0.35">
      <c r="A43" s="4"/>
      <c r="B43" s="4"/>
      <c r="C43" s="8"/>
      <c r="D43" s="4"/>
      <c r="E43" s="4"/>
      <c r="F43" s="4"/>
      <c r="G43" s="4"/>
      <c r="H43" s="4"/>
      <c r="I43" s="4"/>
      <c r="J43" s="4"/>
      <c r="K43" s="4"/>
      <c r="L43" s="4" t="str">
        <f t="shared" ca="1" si="3"/>
        <v/>
      </c>
      <c r="M43" s="4"/>
      <c r="N43">
        <f t="shared" si="4"/>
        <v>0</v>
      </c>
    </row>
    <row r="44" spans="1:14" ht="15" customHeight="1" x14ac:dyDescent="0.35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 t="str">
        <f t="shared" ca="1" si="3"/>
        <v/>
      </c>
      <c r="M44" s="5"/>
      <c r="N44">
        <f t="shared" si="4"/>
        <v>0</v>
      </c>
    </row>
    <row r="45" spans="1:14" ht="15" customHeight="1" x14ac:dyDescent="0.35">
      <c r="A45" s="4"/>
      <c r="B45" s="4"/>
      <c r="C45" s="8"/>
      <c r="D45" s="4"/>
      <c r="E45" s="4"/>
      <c r="F45" s="4"/>
      <c r="G45" s="4"/>
      <c r="H45" s="4"/>
      <c r="I45" s="4"/>
      <c r="J45" s="4"/>
      <c r="K45" s="4"/>
      <c r="L45" s="4" t="str">
        <f t="shared" ca="1" si="3"/>
        <v/>
      </c>
      <c r="M45" s="4"/>
      <c r="N45">
        <f t="shared" si="4"/>
        <v>0</v>
      </c>
    </row>
    <row r="46" spans="1:14" ht="15" customHeight="1" x14ac:dyDescent="0.35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 t="str">
        <f t="shared" ca="1" si="3"/>
        <v/>
      </c>
      <c r="M46" s="5"/>
      <c r="N46">
        <f t="shared" si="4"/>
        <v>0</v>
      </c>
    </row>
    <row r="47" spans="1:14" ht="15" customHeight="1" x14ac:dyDescent="0.35">
      <c r="A47" s="4"/>
      <c r="B47" s="4"/>
      <c r="C47" s="8"/>
      <c r="D47" s="4"/>
      <c r="E47" s="4"/>
      <c r="F47" s="4"/>
      <c r="G47" s="4"/>
      <c r="H47" s="4"/>
      <c r="I47" s="4"/>
      <c r="J47" s="4"/>
      <c r="K47" s="4"/>
      <c r="L47" s="4" t="str">
        <f t="shared" ca="1" si="3"/>
        <v/>
      </c>
      <c r="M47" s="4"/>
      <c r="N47">
        <f t="shared" si="4"/>
        <v>0</v>
      </c>
    </row>
    <row r="48" spans="1:14" ht="15" customHeight="1" x14ac:dyDescent="0.35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 t="str">
        <f t="shared" ca="1" si="3"/>
        <v/>
      </c>
      <c r="M48" s="5"/>
      <c r="N48">
        <f t="shared" si="4"/>
        <v>0</v>
      </c>
    </row>
    <row r="49" spans="1:14" ht="15" customHeight="1" x14ac:dyDescent="0.35">
      <c r="A49" s="4"/>
      <c r="B49" s="4"/>
      <c r="C49" s="8"/>
      <c r="D49" s="4"/>
      <c r="E49" s="4"/>
      <c r="F49" s="4"/>
      <c r="G49" s="4"/>
      <c r="H49" s="4"/>
      <c r="I49" s="4"/>
      <c r="J49" s="4"/>
      <c r="K49" s="4"/>
      <c r="L49" s="4" t="str">
        <f t="shared" ca="1" si="3"/>
        <v/>
      </c>
      <c r="M49" s="4"/>
      <c r="N49">
        <f t="shared" si="4"/>
        <v>0</v>
      </c>
    </row>
    <row r="50" spans="1:14" ht="15" customHeight="1" x14ac:dyDescent="0.35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 t="str">
        <f t="shared" ca="1" si="3"/>
        <v/>
      </c>
      <c r="M50" s="5"/>
      <c r="N50">
        <f t="shared" si="4"/>
        <v>0</v>
      </c>
    </row>
    <row r="51" spans="1:14" ht="15" customHeight="1" x14ac:dyDescent="0.35">
      <c r="A51" s="4"/>
      <c r="B51" s="4"/>
      <c r="C51" s="8"/>
      <c r="D51" s="4"/>
      <c r="E51" s="4"/>
      <c r="F51" s="4"/>
      <c r="G51" s="4"/>
      <c r="H51" s="4"/>
      <c r="I51" s="4"/>
      <c r="J51" s="4"/>
      <c r="K51" s="4"/>
      <c r="L51" s="4" t="str">
        <f t="shared" ca="1" si="3"/>
        <v/>
      </c>
      <c r="M51" s="4"/>
      <c r="N51">
        <f t="shared" si="4"/>
        <v>0</v>
      </c>
    </row>
    <row r="52" spans="1:14" ht="15" customHeight="1" x14ac:dyDescent="0.35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 t="str">
        <f t="shared" ca="1" si="3"/>
        <v/>
      </c>
      <c r="M52" s="5"/>
      <c r="N52">
        <f t="shared" si="4"/>
        <v>0</v>
      </c>
    </row>
    <row r="53" spans="1:14" ht="15" customHeight="1" x14ac:dyDescent="0.35">
      <c r="A53" s="4"/>
      <c r="B53" s="4"/>
      <c r="C53" s="8"/>
      <c r="D53" s="4"/>
      <c r="E53" s="4"/>
      <c r="F53" s="4"/>
      <c r="G53" s="4"/>
      <c r="H53" s="4"/>
      <c r="I53" s="4"/>
      <c r="J53" s="4"/>
      <c r="K53" s="4"/>
      <c r="L53" s="4" t="str">
        <f t="shared" ca="1" si="3"/>
        <v/>
      </c>
      <c r="M53" s="4"/>
      <c r="N53">
        <f t="shared" si="4"/>
        <v>0</v>
      </c>
    </row>
    <row r="54" spans="1:14" ht="15" customHeight="1" x14ac:dyDescent="0.35">
      <c r="A54" s="5"/>
      <c r="B54" s="5"/>
      <c r="C54" s="8"/>
      <c r="D54" s="5"/>
      <c r="E54" s="5"/>
      <c r="F54" s="5"/>
      <c r="G54" s="5"/>
      <c r="H54" s="5"/>
      <c r="I54" s="5"/>
      <c r="J54" s="5"/>
      <c r="K54" s="5"/>
      <c r="L54" s="5" t="str">
        <f t="shared" ca="1" si="3"/>
        <v/>
      </c>
      <c r="M54" s="5"/>
      <c r="N54">
        <f t="shared" si="4"/>
        <v>0</v>
      </c>
    </row>
  </sheetData>
  <sheetProtection sort="0" autoFilter="0"/>
  <autoFilter ref="A4:M54" xr:uid="{00000000-0009-0000-0000-000003000000}"/>
  <mergeCells count="1">
    <mergeCell ref="A1:H1"/>
  </mergeCells>
  <conditionalFormatting sqref="K5:K54">
    <cfRule type="cellIs" dxfId="3" priority="2" operator="equal">
      <formula>"פעיל"</formula>
    </cfRule>
    <cfRule type="cellIs" dxfId="2" priority="3" operator="equal">
      <formula>"הוחזר"</formula>
    </cfRule>
    <cfRule type="cellIs" dxfId="1" priority="4" operator="equal">
      <formula>"באיחור"</formula>
    </cfRule>
  </conditionalFormatting>
  <conditionalFormatting sqref="L5:L54">
    <cfRule type="cellIs" dxfId="0" priority="5" operator="equal">
      <formula>"באיחור!"</formula>
    </cfRule>
  </conditionalFormatting>
  <dataValidations count="2">
    <dataValidation type="list" allowBlank="1" sqref="H2" xr:uid="{00000000-0002-0000-0300-000000000000}">
      <formula1>"הכל,פעיל,הוחזר,באיחור,בוטל"</formula1>
      <formula2>0</formula2>
    </dataValidation>
    <dataValidation type="list" allowBlank="1" sqref="K5:K54" xr:uid="{00000000-0002-0000-0300-000001000000}">
      <formula1>"פעיל,הוחזר,באיחור,בוטל"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ערך לא חוקי" error="יש לבחור מהרשימה בלבד" xr:uid="{753FB008-02B9-4EC2-93BB-B3FC43AEF6AA}">
          <x14:formula1>
            <xm:f>הגדרות!$G$3:$G$10</xm:f>
          </x14:formula1>
          <x14:formula2>
            <xm:f>0</xm:f>
          </x14:formula2>
          <xm:sqref>D5:D33</xm:sqref>
        </x14:dataValidation>
        <x14:dataValidation type="list" allowBlank="1" showInputMessage="1" showErrorMessage="1" xr:uid="{08AA556A-8566-4D34-A3D8-9361F42AFFAB}">
          <x14:formula1>
            <xm:f>הגדרות!$H$3:$H$70</xm:f>
          </x14:formula1>
          <xm:sqref>C5:C33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4"/>
  <sheetViews>
    <sheetView rightToLeft="1" topLeftCell="D1" zoomScale="55" zoomScaleNormal="55" workbookViewId="0">
      <pane ySplit="4" topLeftCell="A5" activePane="bottomLeft" state="frozen"/>
      <selection pane="bottomLeft" activeCell="E46" sqref="E46"/>
    </sheetView>
  </sheetViews>
  <sheetFormatPr defaultColWidth="8.7265625" defaultRowHeight="14.5" x14ac:dyDescent="0.35"/>
  <cols>
    <col min="1" max="1" width="14" customWidth="1"/>
    <col min="2" max="2" width="28" customWidth="1"/>
    <col min="3" max="3" width="36" customWidth="1"/>
    <col min="4" max="4" width="30" customWidth="1"/>
    <col min="5" max="5" width="28" customWidth="1"/>
  </cols>
  <sheetData>
    <row r="1" spans="1:5" ht="19.5" customHeight="1" x14ac:dyDescent="0.35">
      <c r="A1" s="40" t="s">
        <v>105</v>
      </c>
      <c r="B1" s="39"/>
      <c r="C1" s="39"/>
      <c r="D1" s="39"/>
      <c r="E1" s="38"/>
    </row>
    <row r="4" spans="1:5" ht="15" customHeight="1" x14ac:dyDescent="0.35">
      <c r="A4" s="3" t="s">
        <v>6</v>
      </c>
      <c r="B4" s="3" t="s">
        <v>4</v>
      </c>
      <c r="C4" s="3" t="s">
        <v>106</v>
      </c>
      <c r="D4" s="3" t="s">
        <v>107</v>
      </c>
      <c r="E4" s="3" t="s">
        <v>10</v>
      </c>
    </row>
    <row r="5" spans="1:5" ht="15" customHeight="1" x14ac:dyDescent="0.35">
      <c r="A5" s="8" t="str">
        <f>IF(מלאי!D3&lt;&gt;"",מלאי!D3,"")</f>
        <v>יריעה 3D הדגמה 1</v>
      </c>
      <c r="B5" s="8" t="str">
        <f>IF(מלאי!D3&lt;&gt;"",מלאי!B3&amp;IF(מלאי!C3&lt;&gt;""," ("&amp;מלאי!C3&amp;")",""),"")</f>
        <v>3D Survival Blanket (V1)</v>
      </c>
      <c r="C5" s="8" t="str">
        <f>IFERROR(INDEX(הגדרות!$S$2:$S$50,MATCH(מלאי!B3,הגדרות!$R$2:$R$50,0)),"")</f>
        <v/>
      </c>
      <c r="D5" s="8"/>
      <c r="E5" s="8"/>
    </row>
    <row r="6" spans="1:5" ht="15" customHeight="1" x14ac:dyDescent="0.35">
      <c r="A6" s="8" t="str">
        <f>IF(מלאי!D4&lt;&gt;"",מלאי!D4,"")</f>
        <v>יריעה 3D תצוגה 2</v>
      </c>
      <c r="B6" s="8" t="str">
        <f>IF(מלאי!D4&lt;&gt;"",מלאי!B4&amp;IF(מלאי!C4&lt;&gt;""," ("&amp;מלאי!C4&amp;")",""),"")</f>
        <v>3D Survival Blanket (V1)</v>
      </c>
      <c r="C6" s="8" t="str">
        <f>IFERROR(INDEX(הגדרות!$S$2:$S$50,MATCH(מלאי!B4,הגדרות!$R$2:$R$50,0)),"")</f>
        <v/>
      </c>
      <c r="D6" s="8"/>
      <c r="E6" s="8"/>
    </row>
    <row r="7" spans="1:5" ht="15" customHeight="1" x14ac:dyDescent="0.35">
      <c r="A7" s="8" t="str">
        <f>IF(מלאי!D5&lt;&gt;"",מלאי!D5,"")</f>
        <v/>
      </c>
      <c r="B7" s="8" t="str">
        <f>IF(מלאי!D5&lt;&gt;"",מלאי!B5&amp;IF(מלאי!C5&lt;&gt;""," ("&amp;מלאי!C5&amp;")",""),"")</f>
        <v/>
      </c>
      <c r="C7" s="8" t="str">
        <f>IFERROR(INDEX(הגדרות!$S$2:$S$50,MATCH(מלאי!B5,הגדרות!$R$2:$R$50,0)),"")</f>
        <v/>
      </c>
      <c r="D7" s="8"/>
      <c r="E7" s="8"/>
    </row>
    <row r="8" spans="1:5" ht="15" customHeight="1" x14ac:dyDescent="0.35">
      <c r="A8" s="8" t="str">
        <f>IF(מלאי!D6&lt;&gt;"",מלאי!D6,"")</f>
        <v/>
      </c>
      <c r="B8" s="8" t="str">
        <f>IF(מלאי!D6&lt;&gt;"",מלאי!B6&amp;IF(מלאי!C6&lt;&gt;""," ("&amp;מלאי!C6&amp;")",""),"")</f>
        <v/>
      </c>
      <c r="C8" s="8" t="str">
        <f>IFERROR(INDEX(הגדרות!$S$2:$S$50,MATCH(מלאי!B6,הגדרות!$R$2:$R$50,0)),"")</f>
        <v/>
      </c>
      <c r="D8" s="8"/>
      <c r="E8" s="8"/>
    </row>
    <row r="9" spans="1:5" ht="15" customHeight="1" x14ac:dyDescent="0.35">
      <c r="A9" s="8" t="str">
        <f>IF(מלאי!D7&lt;&gt;"",מלאי!D7,"")</f>
        <v xml:space="preserve">Arctic Jacket Fresh 1 </v>
      </c>
      <c r="B9" s="8" t="str">
        <f>IF(מלאי!D7&lt;&gt;"",מלאי!B7&amp;IF(מלאי!C7&lt;&gt;""," ("&amp;מלאי!C7&amp;")",""),"")</f>
        <v>Arctic Jacket (V1)</v>
      </c>
      <c r="C9" s="8" t="str">
        <f>IFERROR(INDEX(הגדרות!$S$2:$S$50,MATCH(מלאי!B7,הגדרות!$R$2:$R$50,0)),"")</f>
        <v/>
      </c>
      <c r="D9" s="8"/>
      <c r="E9" s="8"/>
    </row>
    <row r="10" spans="1:5" ht="15" customHeight="1" x14ac:dyDescent="0.35">
      <c r="A10" s="8" t="str">
        <f>IF(מלאי!D8&lt;&gt;"",מלאי!D8,"")</f>
        <v xml:space="preserve">Arctic Suit Top Fresh 1 </v>
      </c>
      <c r="B10" s="8" t="str">
        <f>IF(מלאי!D8&lt;&gt;"",מלאי!B8&amp;IF(מלאי!C8&lt;&gt;""," ("&amp;מלאי!C8&amp;")",""),"")</f>
        <v>Arctic Jacket (V1)</v>
      </c>
      <c r="C10" s="8" t="str">
        <f>IFERROR(INDEX(הגדרות!$S$2:$S$50,MATCH(מלאי!B8,הגדרות!$R$2:$R$50,0)),"")</f>
        <v/>
      </c>
      <c r="D10" s="8"/>
      <c r="E10" s="8"/>
    </row>
    <row r="11" spans="1:5" ht="15" customHeight="1" x14ac:dyDescent="0.35">
      <c r="A11" s="8" t="str">
        <f>IF(מלאי!D9&lt;&gt;"",מלאי!D9,"")</f>
        <v xml:space="preserve">Arctic Suit Bot Fresh 1 </v>
      </c>
      <c r="B11" s="8" t="str">
        <f>IF(מלאי!D9&lt;&gt;"",מלאי!B9&amp;IF(מלאי!C9&lt;&gt;""," ("&amp;מלאי!C9&amp;")",""),"")</f>
        <v>Arctic Jacket (V1)</v>
      </c>
      <c r="C11" s="8" t="str">
        <f>IFERROR(INDEX(הגדרות!$S$2:$S$50,MATCH(מלאי!B9,הגדרות!$R$2:$R$50,0)),"")</f>
        <v/>
      </c>
      <c r="D11" s="8"/>
      <c r="E11" s="8"/>
    </row>
    <row r="12" spans="1:5" ht="15" customHeight="1" x14ac:dyDescent="0.35">
      <c r="A12" s="8" t="str">
        <f>IF(מלאי!D10&lt;&gt;"",מלאי!D10,"")</f>
        <v xml:space="preserve">Arctic Jacket Snirt 1 </v>
      </c>
      <c r="B12" s="8" t="str">
        <f>IF(מלאי!D10&lt;&gt;"",מלאי!B10&amp;IF(מלאי!C10&lt;&gt;""," ("&amp;מלאי!C10&amp;")",""),"")</f>
        <v>Arctic Jacket (V1)</v>
      </c>
      <c r="C12" s="8" t="str">
        <f>IFERROR(INDEX(הגדרות!$S$2:$S$50,MATCH(מלאי!B10,הגדרות!$R$2:$R$50,0)),"")</f>
        <v/>
      </c>
      <c r="D12" s="8"/>
      <c r="E12" s="8"/>
    </row>
    <row r="13" spans="1:5" ht="15" customHeight="1" x14ac:dyDescent="0.35">
      <c r="A13" s="8" t="str">
        <f>IF(מלאי!D11&lt;&gt;"",מלאי!D11,"")</f>
        <v>Arctic Jacket Snirt 2</v>
      </c>
      <c r="B13" s="8" t="str">
        <f>IF(מלאי!D11&lt;&gt;"",מלאי!B11&amp;IF(מלאי!C11&lt;&gt;""," ("&amp;מלאי!C11&amp;")",""),"")</f>
        <v>Arctic Jacket (V1)</v>
      </c>
      <c r="C13" s="8" t="str">
        <f>IFERROR(INDEX(הגדרות!$S$2:$S$50,MATCH(מלאי!B11,הגדרות!$R$2:$R$50,0)),"")</f>
        <v/>
      </c>
      <c r="D13" s="8"/>
      <c r="E13" s="8"/>
    </row>
    <row r="14" spans="1:5" ht="15" customHeight="1" x14ac:dyDescent="0.35">
      <c r="A14" s="8" t="str">
        <f>IF(מלאי!D12&lt;&gt;"",מלאי!D12,"")</f>
        <v>Arctic Jacket sampels Snirt</v>
      </c>
      <c r="B14" s="8" t="str">
        <f>IF(מלאי!D12&lt;&gt;"",מלאי!B12&amp;IF(מלאי!C12&lt;&gt;""," ("&amp;מלאי!C12&amp;")",""),"")</f>
        <v>Arctic Jacket (V1)</v>
      </c>
      <c r="C14" s="8" t="str">
        <f>IFERROR(INDEX(הגדרות!$S$2:$S$50,MATCH(מלאי!B12,הגדרות!$R$2:$R$50,0)),"")</f>
        <v/>
      </c>
      <c r="D14" s="8"/>
      <c r="E14" s="8"/>
    </row>
    <row r="15" spans="1:5" ht="15" customHeight="1" x14ac:dyDescent="0.35">
      <c r="A15" s="8" t="str">
        <f>IF(מלאי!D13&lt;&gt;"",מלאי!D13,"")</f>
        <v>Arctic Jacket sampels Fresh</v>
      </c>
      <c r="B15" s="8" t="str">
        <f>IF(מלאי!D13&lt;&gt;"",מלאי!B13&amp;IF(מלאי!C13&lt;&gt;""," ("&amp;מלאי!C13&amp;")",""),"")</f>
        <v>Arctic Jacket (V1)</v>
      </c>
      <c r="C15" s="8" t="str">
        <f>IFERROR(INDEX(הגדרות!$S$2:$S$50,MATCH(מלאי!B13,הגדרות!$R$2:$R$50,0)),"")</f>
        <v/>
      </c>
      <c r="D15" s="8"/>
      <c r="E15" s="8"/>
    </row>
    <row r="16" spans="1:5" ht="15" customHeight="1" x14ac:dyDescent="0.35">
      <c r="A16" s="8" t="str">
        <f>IF(מלאי!D14&lt;&gt;"",מלאי!D14,"")</f>
        <v xml:space="preserve">Arctic Pants Fresh 1 </v>
      </c>
      <c r="B16" s="8" t="str">
        <f>IF(מלאי!D14&lt;&gt;"",מלאי!B14&amp;IF(מלאי!C14&lt;&gt;""," ("&amp;מלאי!C14&amp;")",""),"")</f>
        <v>Arctic Overpants (V1)</v>
      </c>
      <c r="C16" s="8" t="str">
        <f>IFERROR(INDEX(הגדרות!$S$2:$S$50,MATCH(מלאי!B14,הגדרות!$R$2:$R$50,0)),"")</f>
        <v/>
      </c>
      <c r="D16" s="8"/>
      <c r="E16" s="8"/>
    </row>
    <row r="17" spans="1:5" ht="15" customHeight="1" x14ac:dyDescent="0.35">
      <c r="A17" s="8" t="str">
        <f>IF(מלאי!D15&lt;&gt;"",מלאי!D15,"")</f>
        <v xml:space="preserve">Arctic Pants Snirt 1 </v>
      </c>
      <c r="B17" s="8" t="str">
        <f>IF(מלאי!D15&lt;&gt;"",מלאי!B15&amp;IF(מלאי!C15&lt;&gt;""," ("&amp;מלאי!C15&amp;")",""),"")</f>
        <v>Arctic Overpants (V1)</v>
      </c>
      <c r="C17" s="8" t="str">
        <f>IFERROR(INDEX(הגדרות!$S$2:$S$50,MATCH(מלאי!B15,הגדרות!$R$2:$R$50,0)),"")</f>
        <v/>
      </c>
      <c r="D17" s="8"/>
      <c r="E17" s="8"/>
    </row>
    <row r="18" spans="1:5" ht="15" customHeight="1" x14ac:dyDescent="0.35">
      <c r="A18" s="8" t="str">
        <f>IF(מלאי!D16&lt;&gt;"",מלאי!D16,"")</f>
        <v>Arctic Pants Fresh 2</v>
      </c>
      <c r="B18" s="8" t="str">
        <f>IF(מלאי!D16&lt;&gt;"",מלאי!B16&amp;IF(מלאי!C16&lt;&gt;""," ("&amp;מלאי!C16&amp;")",""),"")</f>
        <v>Arctic Overpants (V1)</v>
      </c>
      <c r="C18" s="8" t="str">
        <f>IFERROR(INDEX(הגדרות!$S$2:$S$50,MATCH(מלאי!B16,הגדרות!$R$2:$R$50,0)),"")</f>
        <v/>
      </c>
      <c r="D18" s="8"/>
      <c r="E18" s="8"/>
    </row>
    <row r="19" spans="1:5" ht="15" customHeight="1" x14ac:dyDescent="0.35">
      <c r="A19" s="8" t="str">
        <f>IF(מלאי!D17&lt;&gt;"",מלאי!D17,"")</f>
        <v>Arctic Pants sampels Snirt</v>
      </c>
      <c r="B19" s="8" t="str">
        <f>IF(מלאי!D17&lt;&gt;"",מלאי!B17&amp;IF(מלאי!C17&lt;&gt;""," ("&amp;מלאי!C17&amp;")",""),"")</f>
        <v>Arctic Overpants (V1)</v>
      </c>
      <c r="C19" s="8" t="str">
        <f>IFERROR(INDEX(הגדרות!$S$2:$S$50,MATCH(מלאי!B17,הגדרות!$R$2:$R$50,0)),"")</f>
        <v/>
      </c>
      <c r="D19" s="8"/>
      <c r="E19" s="8"/>
    </row>
    <row r="20" spans="1:5" ht="15" customHeight="1" x14ac:dyDescent="0.35">
      <c r="A20" s="8" t="str">
        <f>IF(מלאי!D18&lt;&gt;"",מלאי!D18,"")</f>
        <v>Arctic Pants sampels Fresh</v>
      </c>
      <c r="B20" s="8" t="str">
        <f>IF(מלאי!D18&lt;&gt;"",מלאי!B18&amp;IF(מלאי!C18&lt;&gt;""," ("&amp;מלאי!C18&amp;")",""),"")</f>
        <v>Arctic Overpants (V1)</v>
      </c>
      <c r="C20" s="8" t="str">
        <f>IFERROR(INDEX(הגדרות!$S$2:$S$50,MATCH(מלאי!B18,הגדרות!$R$2:$R$50,0)),"")</f>
        <v/>
      </c>
      <c r="D20" s="8"/>
      <c r="E20" s="8"/>
    </row>
    <row r="21" spans="1:5" ht="15" customHeight="1" x14ac:dyDescent="0.35">
      <c r="A21" s="8" t="str">
        <f>IF(מלאי!D19&lt;&gt;"",מלאי!D19,"")</f>
        <v>Arctic poncho Snirt 1</v>
      </c>
      <c r="B21" s="8" t="str">
        <f>IF(מלאי!D19&lt;&gt;"",מלאי!B19&amp;IF(מלאי!C19&lt;&gt;""," ("&amp;מלאי!C19&amp;")",""),"")</f>
        <v>Arctic Poncho SRV (V1)</v>
      </c>
      <c r="C21" s="8" t="str">
        <f>IFERROR(INDEX(הגדרות!$S$2:$S$50,MATCH(מלאי!B19,הגדרות!$R$2:$R$50,0)),"")</f>
        <v/>
      </c>
      <c r="D21" s="8"/>
      <c r="E21" s="8"/>
    </row>
    <row r="22" spans="1:5" ht="15" customHeight="1" x14ac:dyDescent="0.35">
      <c r="A22" s="8" t="str">
        <f>IF(מלאי!D20&lt;&gt;"",מלאי!D20,"")</f>
        <v>Arctic poncho Snirt 2</v>
      </c>
      <c r="B22" s="8" t="str">
        <f>IF(מלאי!D20&lt;&gt;"",מלאי!B20&amp;IF(מלאי!C20&lt;&gt;""," ("&amp;מלאי!C20&amp;")",""),"")</f>
        <v>Arctic Poncho SRV (V1)</v>
      </c>
      <c r="C22" s="8" t="str">
        <f>IFERROR(INDEX(הגדרות!$S$2:$S$50,MATCH(מלאי!B20,הגדרות!$R$2:$R$50,0)),"")</f>
        <v/>
      </c>
      <c r="D22" s="8"/>
      <c r="E22" s="8"/>
    </row>
    <row r="23" spans="1:5" ht="15" customHeight="1" x14ac:dyDescent="0.35">
      <c r="A23" s="8" t="str">
        <f>IF(מלאי!D21&lt;&gt;"",מלאי!D21,"")</f>
        <v>Arctic poncho Fresh 1</v>
      </c>
      <c r="B23" s="8" t="str">
        <f>IF(מלאי!D21&lt;&gt;"",מלאי!B21&amp;IF(מלאי!C21&lt;&gt;""," ("&amp;מלאי!C21&amp;")",""),"")</f>
        <v>Arctic Poncho SRV (V1)</v>
      </c>
      <c r="C23" s="8" t="str">
        <f>IFERROR(INDEX(הגדרות!$S$2:$S$50,MATCH(מלאי!B21,הגדרות!$R$2:$R$50,0)),"")</f>
        <v/>
      </c>
      <c r="D23" s="8"/>
      <c r="E23" s="8"/>
    </row>
    <row r="24" spans="1:5" ht="15" customHeight="1" x14ac:dyDescent="0.35">
      <c r="A24" s="8" t="str">
        <f>IF(מלאי!D22&lt;&gt;"",מלאי!D22,"")</f>
        <v>Arctic poncho Fresh 3</v>
      </c>
      <c r="B24" s="8" t="str">
        <f>IF(מלאי!D22&lt;&gt;"",מלאי!B22&amp;IF(מלאי!C22&lt;&gt;""," ("&amp;מלאי!C22&amp;")",""),"")</f>
        <v>Arctic Poncho SRV (V1)</v>
      </c>
      <c r="C24" s="8" t="str">
        <f>IFERROR(INDEX(הגדרות!$S$2:$S$50,MATCH(מלאי!B22,הגדרות!$R$2:$R$50,0)),"")</f>
        <v/>
      </c>
      <c r="D24" s="8"/>
      <c r="E24" s="8"/>
    </row>
    <row r="25" spans="1:5" ht="15" customHeight="1" x14ac:dyDescent="0.35">
      <c r="A25" s="8" t="str">
        <f>IF(מלאי!D23&lt;&gt;"",מלאי!D23,"")</f>
        <v>Arctic poncho Fresh 2</v>
      </c>
      <c r="B25" s="8" t="str">
        <f>IF(מלאי!D23&lt;&gt;"",מלאי!B23&amp;IF(מלאי!C23&lt;&gt;""," ("&amp;מלאי!C23&amp;")",""),"")</f>
        <v>Arctic Poncho SRV (V1)</v>
      </c>
      <c r="C25" s="8" t="str">
        <f>IFERROR(INDEX(הגדרות!$S$2:$S$50,MATCH(מלאי!B23,הגדרות!$R$2:$R$50,0)),"")</f>
        <v/>
      </c>
      <c r="D25" s="8"/>
      <c r="E25" s="8"/>
    </row>
    <row r="26" spans="1:5" ht="15" customHeight="1" x14ac:dyDescent="0.35">
      <c r="A26" s="8" t="str">
        <f>IF(מלאי!D24&lt;&gt;"",מלאי!D24,"")</f>
        <v>Arctic poncho sampels Snirt</v>
      </c>
      <c r="B26" s="8" t="str">
        <f>IF(מלאי!D24&lt;&gt;"",מלאי!B24&amp;IF(מלאי!C24&lt;&gt;""," ("&amp;מלאי!C24&amp;")",""),"")</f>
        <v>Arctic Poncho SRV (V1)</v>
      </c>
      <c r="C26" s="8" t="str">
        <f>IFERROR(INDEX(הגדרות!$S$2:$S$50,MATCH(מלאי!B24,הגדרות!$R$2:$R$50,0)),"")</f>
        <v/>
      </c>
      <c r="D26" s="8"/>
      <c r="E26" s="8"/>
    </row>
    <row r="27" spans="1:5" ht="15" customHeight="1" x14ac:dyDescent="0.35">
      <c r="A27" s="8" t="str">
        <f>IF(מלאי!D25&lt;&gt;"",מלאי!D25,"")</f>
        <v>Arctic poncho sampels Fresh</v>
      </c>
      <c r="B27" s="8" t="str">
        <f>IF(מלאי!D25&lt;&gt;"",מלאי!B25&amp;IF(מלאי!C25&lt;&gt;""," ("&amp;מלאי!C25&amp;")",""),"")</f>
        <v>Arctic Poncho SRV (V1)</v>
      </c>
      <c r="C27" s="8" t="str">
        <f>IFERROR(INDEX(הגדרות!$S$2:$S$50,MATCH(מלאי!B25,הגדרות!$R$2:$R$50,0)),"")</f>
        <v/>
      </c>
      <c r="D27" s="8"/>
      <c r="E27" s="8"/>
    </row>
    <row r="28" spans="1:5" ht="15" customHeight="1" x14ac:dyDescent="0.35">
      <c r="A28" s="8" t="str">
        <f>IF(מלאי!D26&lt;&gt;"",מלאי!D26,"")</f>
        <v>SRV Blanket Arc 1</v>
      </c>
      <c r="B28" s="8" t="str">
        <f>IF(מלאי!D26&lt;&gt;"",מלאי!B26&amp;IF(מלאי!C26&lt;&gt;""," ("&amp;מלאי!C26&amp;")",""),"")</f>
        <v>Arctic Survival Blanket (V1)</v>
      </c>
      <c r="C28" s="8" t="str">
        <f>IFERROR(INDEX(הגדרות!$S$2:$S$50,MATCH(מלאי!B26,הגדרות!$R$2:$R$50,0)),"")</f>
        <v/>
      </c>
      <c r="D28" s="8"/>
      <c r="E28" s="8"/>
    </row>
    <row r="29" spans="1:5" ht="15" customHeight="1" x14ac:dyDescent="0.35">
      <c r="A29" s="8" t="str">
        <f>IF(מלאי!D27&lt;&gt;"",מלאי!D27,"")</f>
        <v>B03</v>
      </c>
      <c r="B29" s="8" t="str">
        <f>IF(מלאי!D27&lt;&gt;"",מלאי!B27&amp;IF(מלאי!C27&lt;&gt;""," ("&amp;מלאי!C27&amp;")",""),"")</f>
        <v>Bag cover 90L</v>
      </c>
      <c r="C29" s="8" t="str">
        <f>IFERROR(INDEX(הגדרות!$S$2:$S$50,MATCH(מלאי!B27,הגדרות!$R$2:$R$50,0)),"")</f>
        <v/>
      </c>
      <c r="D29" s="8"/>
      <c r="E29" s="8"/>
    </row>
    <row r="30" spans="1:5" ht="15" customHeight="1" x14ac:dyDescent="0.35">
      <c r="A30" s="8" t="str">
        <f>IF(מלאי!D28&lt;&gt;"",מלאי!D28,"")</f>
        <v>B04</v>
      </c>
      <c r="B30" s="8" t="str">
        <f>IF(מלאי!D28&lt;&gt;"",מלאי!B28&amp;IF(מלאי!C28&lt;&gt;""," ("&amp;מלאי!C28&amp;")",""),"")</f>
        <v>Bag cover 90L</v>
      </c>
      <c r="C30" s="8" t="str">
        <f>IFERROR(INDEX(הגדרות!$S$2:$S$50,MATCH(מלאי!B28,הגדרות!$R$2:$R$50,0)),"")</f>
        <v/>
      </c>
      <c r="D30" s="8"/>
      <c r="E30" s="8"/>
    </row>
    <row r="31" spans="1:5" ht="15" customHeight="1" x14ac:dyDescent="0.35">
      <c r="A31" s="8" t="str">
        <f>IF(מלאי!D29&lt;&gt;"",מלאי!D29,"")</f>
        <v>B05</v>
      </c>
      <c r="B31" s="8" t="str">
        <f>IF(מלאי!D29&lt;&gt;"",מלאי!B29&amp;IF(מלאי!C29&lt;&gt;""," ("&amp;מלאי!C29&amp;")",""),"")</f>
        <v>Bag cover 90L</v>
      </c>
      <c r="C31" s="8" t="str">
        <f>IFERROR(INDEX(הגדרות!$S$2:$S$50,MATCH(מלאי!B29,הגדרות!$R$2:$R$50,0)),"")</f>
        <v/>
      </c>
      <c r="D31" s="8"/>
      <c r="E31" s="8"/>
    </row>
    <row r="32" spans="1:5" ht="15" customHeight="1" x14ac:dyDescent="0.35">
      <c r="A32" s="8" t="str">
        <f>IF(מלאי!D30&lt;&gt;"",מלאי!D30,"")</f>
        <v>B06</v>
      </c>
      <c r="B32" s="8" t="str">
        <f>IF(מלאי!D30&lt;&gt;"",מלאי!B30&amp;IF(מלאי!C30&lt;&gt;""," ("&amp;מלאי!C30&amp;")",""),"")</f>
        <v>Bag cover 90L</v>
      </c>
      <c r="C32" s="8" t="str">
        <f>IFERROR(INDEX(הגדרות!$S$2:$S$50,MATCH(מלאי!B30,הגדרות!$R$2:$R$50,0)),"")</f>
        <v/>
      </c>
      <c r="D32" s="8"/>
      <c r="E32" s="8"/>
    </row>
    <row r="33" spans="1:5" ht="15" customHeight="1" x14ac:dyDescent="0.35">
      <c r="A33" s="8" t="str">
        <f>IF(מלאי!D31&lt;&gt;"",מלאי!D31,"")</f>
        <v>בלקלבה מלאי 01</v>
      </c>
      <c r="B33" s="8" t="str">
        <f>IF(מלאי!D31&lt;&gt;"",מלאי!B31&amp;IF(מלאי!C31&lt;&gt;""," ("&amp;מלאי!C31&amp;")",""),"")</f>
        <v>Balaclava</v>
      </c>
      <c r="C33" s="8" t="str">
        <f>IFERROR(INDEX(הגדרות!$S$2:$S$50,MATCH(מלאי!B31,הגדרות!$R$2:$R$50,0)),"")</f>
        <v/>
      </c>
      <c r="D33" s="8"/>
      <c r="E33" s="8"/>
    </row>
    <row r="34" spans="1:5" ht="23.25" customHeight="1" x14ac:dyDescent="0.35">
      <c r="A34" s="8" t="str">
        <f>IF(מלאי!D32&lt;&gt;"",מלאי!D32,"")</f>
        <v>B01</v>
      </c>
      <c r="B34" s="8" t="str">
        <f>IF(מלאי!D32&lt;&gt;"",מלאי!B32&amp;IF(מלאי!C32&lt;&gt;""," ("&amp;מלאי!C32&amp;")",""),"")</f>
        <v>Balaclava</v>
      </c>
      <c r="C34" s="8" t="str">
        <f>IFERROR(INDEX(הגדרות!$S$2:$S$50,MATCH(מלאי!B32,הגדרות!$R$2:$R$50,0)),"")</f>
        <v/>
      </c>
      <c r="D34" s="8"/>
      <c r="E34" s="8"/>
    </row>
    <row r="35" spans="1:5" ht="15" customHeight="1" x14ac:dyDescent="0.35">
      <c r="A35" s="8" t="str">
        <f>IF(מלאי!D33&lt;&gt;"",מלאי!D33,"")</f>
        <v>B02</v>
      </c>
      <c r="B35" s="8" t="str">
        <f>IF(מלאי!D33&lt;&gt;"",מלאי!B33&amp;IF(מלאי!C33&lt;&gt;""," ("&amp;מלאי!C33&amp;")",""),"")</f>
        <v>Balaclava</v>
      </c>
      <c r="C35" s="8" t="str">
        <f>IFERROR(INDEX(הגדרות!$S$2:$S$50,MATCH(מלאי!B33,הגדרות!$R$2:$R$50,0)),"")</f>
        <v/>
      </c>
      <c r="D35" s="8"/>
      <c r="E35" s="8"/>
    </row>
    <row r="36" spans="1:5" ht="15" customHeight="1" x14ac:dyDescent="0.35">
      <c r="A36" s="8" t="str">
        <f>IF(מלאי!D34&lt;&gt;"",מלאי!D34,"")</f>
        <v>UNI034</v>
      </c>
      <c r="B36" s="8" t="str">
        <f>IF(מלאי!D34&lt;&gt;"",מלאי!B34&amp;IF(מלאי!C34&lt;&gt;""," ("&amp;מלאי!C34&amp;")",""),"")</f>
        <v>Balaclava</v>
      </c>
      <c r="C36" s="8" t="str">
        <f>IFERROR(INDEX(הגדרות!$S$2:$S$50,MATCH(מלאי!B34,הגדרות!$R$2:$R$50,0)),"")</f>
        <v/>
      </c>
      <c r="D36" s="8"/>
      <c r="E36" s="8"/>
    </row>
    <row r="37" spans="1:5" ht="15" customHeight="1" x14ac:dyDescent="0.35">
      <c r="A37" s="8" t="str">
        <f>IF(מלאי!D35&lt;&gt;"",מלאי!D35,"")</f>
        <v>UNI 003</v>
      </c>
      <c r="B37" s="8" t="str">
        <f>IF(מלאי!D35&lt;&gt;"",מלאי!B35&amp;IF(מלאי!C35&lt;&gt;""," ("&amp;מלאי!C35&amp;")",""),"")</f>
        <v>Boonie hat (V1)</v>
      </c>
      <c r="C37" s="8" t="str">
        <f>IFERROR(INDEX(הגדרות!$S$2:$S$50,MATCH(מלאי!B35,הגדרות!$R$2:$R$50,0)),"")</f>
        <v/>
      </c>
      <c r="D37" s="8"/>
      <c r="E37" s="8"/>
    </row>
    <row r="38" spans="1:5" ht="15" customHeight="1" x14ac:dyDescent="0.35">
      <c r="A38" s="8" t="str">
        <f>IF(מלאי!D43&lt;&gt;"",מלאי!D43,"")</f>
        <v>גל תצוגה</v>
      </c>
      <c r="B38" s="8" t="str">
        <f>IF(מלאי!D43&lt;&gt;"",מלאי!B43&amp;IF(מלאי!C43&lt;&gt;""," ("&amp;מלאי!C43&amp;")",""),"")</f>
        <v>Gal Suit (V1)</v>
      </c>
      <c r="C38" s="8" t="str">
        <f>IFERROR(INDEX(הגדרות!$S$2:$S$50,MATCH(מלאי!B43,הגדרות!$R$2:$R$50,0)),"")</f>
        <v/>
      </c>
      <c r="D38" s="8"/>
      <c r="E38" s="8"/>
    </row>
    <row r="39" spans="1:5" ht="15" customHeight="1" x14ac:dyDescent="0.35">
      <c r="A39" s="8" t="str">
        <f>IF(מלאי!D44&lt;&gt;"",מלאי!D44,"")</f>
        <v>גל תצוגה אורבן</v>
      </c>
      <c r="B39" s="8" t="str">
        <f>IF(מלאי!D44&lt;&gt;"",מלאי!B44&amp;IF(מלאי!C44&lt;&gt;""," ("&amp;מלאי!C44&amp;")",""),"")</f>
        <v>Gal Suit (V1)</v>
      </c>
      <c r="C39" s="8" t="str">
        <f>IFERROR(INDEX(הגדרות!$S$2:$S$50,MATCH(מלאי!B44,הגדרות!$R$2:$R$50,0)),"")</f>
        <v/>
      </c>
      <c r="D39" s="8"/>
      <c r="E39" s="8"/>
    </row>
    <row r="40" spans="1:5" ht="15" customHeight="1" x14ac:dyDescent="0.35">
      <c r="A40" s="8" t="str">
        <f>IF(מלאי!D45&lt;&gt;"",מלאי!D45,"")</f>
        <v xml:space="preserve">Gal VIS 2 </v>
      </c>
      <c r="B40" s="8" t="str">
        <f>IF(מלאי!D45&lt;&gt;"",מלאי!B45&amp;IF(מלאי!C45&lt;&gt;""," ("&amp;מלאי!C45&amp;")",""),"")</f>
        <v>Gal Suit (V1)</v>
      </c>
      <c r="C40" s="8" t="str">
        <f>IFERROR(INDEX(הגדרות!$S$2:$S$50,MATCH(מלאי!B45,הגדרות!$R$2:$R$50,0)),"")</f>
        <v/>
      </c>
      <c r="D40" s="8"/>
      <c r="E40" s="8"/>
    </row>
    <row r="41" spans="1:5" ht="15" customHeight="1" x14ac:dyDescent="0.35">
      <c r="A41" s="8" t="str">
        <f>IF(מלאי!D46&lt;&gt;"",מלאי!D46,"")</f>
        <v>Gal Double layers 1</v>
      </c>
      <c r="B41" s="8" t="str">
        <f>IF(מלאי!D46&lt;&gt;"",מלאי!B46&amp;IF(מלאי!C46&lt;&gt;""," ("&amp;מלאי!C46&amp;")",""),"")</f>
        <v>Gal Suit (V1)</v>
      </c>
      <c r="C41" s="8" t="str">
        <f>IFERROR(INDEX(הגדרות!$S$2:$S$50,MATCH(מלאי!B46,הגדרות!$R$2:$R$50,0)),"")</f>
        <v/>
      </c>
      <c r="D41" s="8"/>
      <c r="E41" s="8"/>
    </row>
    <row r="42" spans="1:5" ht="15" customHeight="1" x14ac:dyDescent="0.35">
      <c r="A42" s="8" t="str">
        <f>IF(מלאי!D47&lt;&gt;"",מלאי!D47,"")</f>
        <v>Gal 1</v>
      </c>
      <c r="B42" s="8" t="str">
        <f>IF(מלאי!D47&lt;&gt;"",מלאי!B47&amp;IF(מלאי!C47&lt;&gt;""," ("&amp;מלאי!C47&amp;")",""),"")</f>
        <v>Gal Suit (V1)</v>
      </c>
      <c r="C42" s="8" t="str">
        <f>IFERROR(INDEX(הגדרות!$S$2:$S$50,MATCH(מלאי!B47,הגדרות!$R$2:$R$50,0)),"")</f>
        <v/>
      </c>
      <c r="D42" s="8"/>
      <c r="E42" s="8"/>
    </row>
    <row r="43" spans="1:5" ht="15" customHeight="1" x14ac:dyDescent="0.35">
      <c r="A43" s="8" t="str">
        <f>IF(מלאי!D48&lt;&gt;"",מלאי!D48,"")</f>
        <v>GMV 1 לא מטופל</v>
      </c>
      <c r="B43" s="8" t="str">
        <f>IF(מלאי!D48&lt;&gt;"",מלאי!B48&amp;IF(מלאי!C48&lt;&gt;""," ("&amp;מלאי!C48&amp;")",""),"")</f>
        <v>GMV</v>
      </c>
      <c r="C43" s="8" t="str">
        <f>IFERROR(INDEX(הגדרות!$S$2:$S$50,MATCH(מלאי!B48,הגדרות!$R$2:$R$50,0)),"")</f>
        <v/>
      </c>
      <c r="D43" s="8"/>
      <c r="E43" s="8"/>
    </row>
    <row r="44" spans="1:5" ht="15" customHeight="1" x14ac:dyDescent="0.35">
      <c r="A44" s="8" t="str">
        <f>IF(מלאי!D49&lt;&gt;"",מלאי!D49,"")</f>
        <v>GMV 2 לא מטופל</v>
      </c>
      <c r="B44" s="8" t="str">
        <f>IF(מלאי!D49&lt;&gt;"",מלאי!B49&amp;IF(מלאי!C49&lt;&gt;""," ("&amp;מלאי!C49&amp;")",""),"")</f>
        <v>GMV</v>
      </c>
      <c r="C44" s="8" t="str">
        <f>IFERROR(INDEX(הגדרות!$S$2:$S$50,MATCH(מלאי!B49,הגדרות!$R$2:$R$50,0)),"")</f>
        <v/>
      </c>
      <c r="D44" s="8"/>
      <c r="E44" s="8"/>
    </row>
    <row r="45" spans="1:5" ht="15" customHeight="1" x14ac:dyDescent="0.35">
      <c r="A45" s="8" t="str">
        <f>IF(מלאי!D50&lt;&gt;"",מלאי!D50,"")</f>
        <v>UNI 022</v>
      </c>
      <c r="B45" s="8" t="str">
        <f>IF(מלאי!D50&lt;&gt;"",מלאי!B50&amp;IF(מלאי!C50&lt;&gt;""," ("&amp;מלאי!C50&amp;")",""),"")</f>
        <v>Headcover (ELITE)</v>
      </c>
      <c r="C45" s="8" t="str">
        <f>IFERROR(INDEX(הגדרות!$S$2:$S$50,MATCH(מלאי!B50,הגדרות!$R$2:$R$50,0)),"")</f>
        <v/>
      </c>
      <c r="D45" s="8"/>
      <c r="E45" s="8"/>
    </row>
    <row r="46" spans="1:5" ht="23.25" customHeight="1" x14ac:dyDescent="0.35">
      <c r="A46" s="8" t="str">
        <f>IF(מלאי!D52&lt;&gt;"",מלאי!D52,"")</f>
        <v>כיסוי ראש ישראלי 1</v>
      </c>
      <c r="B46" s="8" t="str">
        <f>IF(מלאי!D52&lt;&gt;"",מלאי!B52&amp;IF(מלאי!C52&lt;&gt;""," ("&amp;מלאי!C52&amp;")",""),"")</f>
        <v>Headcover (ישראלי)</v>
      </c>
      <c r="C46" s="8" t="str">
        <f>IFERROR(INDEX(הגדרות!$S$2:$S$50,MATCH(מלאי!B52,הגדרות!$R$2:$R$50,0)),"")</f>
        <v/>
      </c>
      <c r="D46" s="8"/>
      <c r="E46" s="8"/>
    </row>
    <row r="47" spans="1:5" ht="15" customHeight="1" x14ac:dyDescent="0.35">
      <c r="A47" s="8" t="str">
        <f>IF(מלאי!D53&lt;&gt;"",מלאי!D53,"")</f>
        <v>כיסוי ראש ישראלי 2</v>
      </c>
      <c r="B47" s="8" t="str">
        <f>IF(מלאי!D53&lt;&gt;"",מלאי!B53&amp;IF(מלאי!C53&lt;&gt;""," ("&amp;מלאי!C53&amp;")",""),"")</f>
        <v>Headcover (ישראלי)</v>
      </c>
      <c r="C47" s="8" t="str">
        <f>IFERROR(INDEX(הגדרות!$S$2:$S$50,MATCH(מלאי!B53,הגדרות!$R$2:$R$50,0)),"")</f>
        <v/>
      </c>
      <c r="D47" s="8"/>
      <c r="E47" s="8"/>
    </row>
    <row r="48" spans="1:5" ht="15" customHeight="1" x14ac:dyDescent="0.35">
      <c r="A48" s="8" t="str">
        <f>IF(מלאי!D54&lt;&gt;"",מלאי!D54,"")</f>
        <v>UNI 021</v>
      </c>
      <c r="B48" s="8" t="str">
        <f>IF(מלאי!D54&lt;&gt;"",מלאי!B54&amp;IF(מלאי!C54&lt;&gt;""," ("&amp;מלאי!C54&amp;")",""),"")</f>
        <v>Headcover (ELITE)</v>
      </c>
      <c r="C48" s="8" t="str">
        <f>IFERROR(INDEX(הגדרות!$S$2:$S$50,MATCH(מלאי!B54,הגדרות!$R$2:$R$50,0)),"")</f>
        <v/>
      </c>
      <c r="D48" s="8"/>
      <c r="E48" s="8"/>
    </row>
    <row r="49" spans="1:5" ht="23.25" customHeight="1" x14ac:dyDescent="0.35">
      <c r="A49" s="8" t="str">
        <f>IF(מלאי!D56&lt;&gt;"",מלאי!D56,"")</f>
        <v>UNI 060</v>
      </c>
      <c r="B49" s="8" t="str">
        <f>IF(מלאי!D56&lt;&gt;"",מלאי!B56&amp;IF(מלאי!C56&lt;&gt;""," ("&amp;מלאי!C56&amp;")",""),"")</f>
        <v>Headcover</v>
      </c>
      <c r="C49" s="8" t="str">
        <f>IFERROR(INDEX(הגדרות!$S$2:$S$50,MATCH(מלאי!B56,הגדרות!$R$2:$R$50,0)),"")</f>
        <v/>
      </c>
      <c r="D49" s="8"/>
      <c r="E49" s="8"/>
    </row>
    <row r="50" spans="1:5" ht="15" customHeight="1" x14ac:dyDescent="0.35">
      <c r="A50" s="8" t="str">
        <f>IF(מלאי!D57&lt;&gt;"",מלאי!D57,"")</f>
        <v>UNI 024</v>
      </c>
      <c r="B50" s="8" t="str">
        <f>IF(מלאי!D57&lt;&gt;"",מלאי!B57&amp;IF(מלאי!C57&lt;&gt;""," ("&amp;מלאי!C57&amp;")",""),"")</f>
        <v>Headcover (ELITE)</v>
      </c>
      <c r="C50" s="8" t="str">
        <f>IFERROR(INDEX(הגדרות!$S$2:$S$50,MATCH(מלאי!B57,הגדרות!$R$2:$R$50,0)),"")</f>
        <v/>
      </c>
      <c r="D50" s="8"/>
      <c r="E50" s="8"/>
    </row>
    <row r="51" spans="1:5" ht="23.25" customHeight="1" x14ac:dyDescent="0.35">
      <c r="A51" s="8" t="str">
        <f>IF(מלאי!D58&lt;&gt;"",מלאי!D58,"")</f>
        <v>UNI 023</v>
      </c>
      <c r="B51" s="8" t="str">
        <f>IF(מלאי!D58&lt;&gt;"",מלאי!B58&amp;IF(מלאי!C58&lt;&gt;""," ("&amp;מלאי!C58&amp;")",""),"")</f>
        <v>Headcover (ELITE)</v>
      </c>
      <c r="C51" s="8" t="str">
        <f>IFERROR(INDEX(הגדרות!$S$2:$S$50,MATCH(מלאי!B58,הגדרות!$R$2:$R$50,0)),"")</f>
        <v/>
      </c>
      <c r="D51" s="8"/>
      <c r="E51" s="8"/>
    </row>
    <row r="52" spans="1:5" ht="23.25" customHeight="1" x14ac:dyDescent="0.35">
      <c r="A52" s="8" t="str">
        <f>IF(מלאי!D59&lt;&gt;"",מלאי!D59,"")</f>
        <v>RIPSTOP Hobey 1</v>
      </c>
      <c r="B52" s="8" t="str">
        <f>IF(מלאי!D59&lt;&gt;"",מלאי!B59&amp;IF(מלאי!C59&lt;&gt;""," ("&amp;מלאי!C59&amp;")",""),"")</f>
        <v>Hobey Elite (V1)</v>
      </c>
      <c r="C52" s="8" t="str">
        <f>IFERROR(INDEX(הגדרות!$S$2:$S$50,MATCH(מלאי!B59,הגדרות!$R$2:$R$50,0)),"")</f>
        <v/>
      </c>
      <c r="D52" s="8"/>
      <c r="E52" s="8"/>
    </row>
    <row r="53" spans="1:5" ht="23.25" customHeight="1" x14ac:dyDescent="0.35">
      <c r="A53" s="8" t="str">
        <f>IF(מלאי!D60&lt;&gt;"",מלאי!D60,"")</f>
        <v>Hobey 2</v>
      </c>
      <c r="B53" s="8" t="str">
        <f>IF(מלאי!D60&lt;&gt;"",מלאי!B60&amp;IF(מלאי!C60&lt;&gt;""," ("&amp;מלאי!C60&amp;")",""),"")</f>
        <v>Hobey Elite (V1)</v>
      </c>
      <c r="C53" s="8" t="str">
        <f>IFERROR(INDEX(הגדרות!$S$2:$S$50,MATCH(מלאי!B60,הגדרות!$R$2:$R$50,0)),"")</f>
        <v/>
      </c>
      <c r="D53" s="8"/>
      <c r="E53" s="8"/>
    </row>
    <row r="54" spans="1:5" ht="23.25" customHeight="1" x14ac:dyDescent="0.35">
      <c r="A54" s="8" t="str">
        <f>IF(מלאי!D61&lt;&gt;"",מלאי!D61,"")</f>
        <v>Hobey 3</v>
      </c>
      <c r="B54" s="8" t="str">
        <f>IF(מלאי!D61&lt;&gt;"",מלאי!B61&amp;IF(מלאי!C61&lt;&gt;""," ("&amp;מלאי!C61&amp;")",""),"")</f>
        <v>Hobey Elite (V1)</v>
      </c>
      <c r="C54" s="8" t="str">
        <f>IFERROR(INDEX(הגדרות!$S$2:$S$50,MATCH(מלאי!B61,הגדרות!$R$2:$R$50,0)),"")</f>
        <v/>
      </c>
      <c r="D54" s="8"/>
      <c r="E54" s="8"/>
    </row>
    <row r="55" spans="1:5" ht="15" customHeight="1" x14ac:dyDescent="0.35">
      <c r="A55" s="8" t="str">
        <f>IF(מלאי!D62&lt;&gt;"",מלאי!D62,"")</f>
        <v>הובי תצוגה 1</v>
      </c>
      <c r="B55" s="8" t="str">
        <f>IF(מלאי!D62&lt;&gt;"",מלאי!B62&amp;IF(מלאי!C62&lt;&gt;""," ("&amp;מלאי!C62&amp;")",""),"")</f>
        <v>Hobey Elite (V1)</v>
      </c>
      <c r="C55" s="8" t="str">
        <f>IFERROR(INDEX(הגדרות!$S$2:$S$50,MATCH(מלאי!B62,הגדרות!$R$2:$R$50,0)),"")</f>
        <v/>
      </c>
      <c r="D55" s="8"/>
      <c r="E55" s="8"/>
    </row>
    <row r="56" spans="1:5" ht="15" customHeight="1" x14ac:dyDescent="0.35">
      <c r="A56" s="8" t="str">
        <f>IF(מלאי!D63&lt;&gt;"",מלאי!D63,"")</f>
        <v>Hobey Arc 4</v>
      </c>
      <c r="B56" s="8" t="str">
        <f>IF(מלאי!D63&lt;&gt;"",מלאי!B63&amp;IF(מלאי!C63&lt;&gt;""," ("&amp;מלאי!C63&amp;")",""),"")</f>
        <v>Hobey Elite (V1)</v>
      </c>
      <c r="C56" s="8" t="str">
        <f>IFERROR(INDEX(הגדרות!$S$2:$S$50,MATCH(מלאי!B63,הגדרות!$R$2:$R$50,0)),"")</f>
        <v/>
      </c>
      <c r="D56" s="8"/>
      <c r="E56" s="8"/>
    </row>
    <row r="57" spans="1:5" ht="15" customHeight="1" x14ac:dyDescent="0.35">
      <c r="A57" s="8" t="str">
        <f>IF(מלאי!D64&lt;&gt;"",מלאי!D64,"")</f>
        <v>Floor 1</v>
      </c>
      <c r="B57" s="8" t="str">
        <f>IF(מלאי!D64&lt;&gt;"",מלאי!B64&amp;IF(מלאי!C64&lt;&gt;""," ("&amp;מלאי!C64&amp;")",""),"")</f>
        <v>HS Floor</v>
      </c>
      <c r="C57" s="8" t="str">
        <f>IFERROR(INDEX(הגדרות!$S$2:$S$50,MATCH(מלאי!B64,הגדרות!$R$2:$R$50,0)),"")</f>
        <v/>
      </c>
      <c r="D57" s="8"/>
      <c r="E57" s="8"/>
    </row>
    <row r="58" spans="1:5" ht="15" customHeight="1" x14ac:dyDescent="0.35">
      <c r="A58" s="8" t="str">
        <f>IF(מלאי!D65&lt;&gt;"",מלאי!D65,"")</f>
        <v>Floor 2</v>
      </c>
      <c r="B58" s="8" t="str">
        <f>IF(מלאי!D65&lt;&gt;"",מלאי!B65&amp;IF(מלאי!C65&lt;&gt;""," ("&amp;מלאי!C65&amp;")",""),"")</f>
        <v>HS Floor</v>
      </c>
      <c r="C58" s="8" t="str">
        <f>IFERROR(INDEX(הגדרות!$S$2:$S$50,MATCH(מלאי!B65,הגדרות!$R$2:$R$50,0)),"")</f>
        <v/>
      </c>
      <c r="D58" s="8"/>
      <c r="E58" s="8"/>
    </row>
    <row r="59" spans="1:5" ht="15" customHeight="1" x14ac:dyDescent="0.35">
      <c r="A59" s="8" t="str">
        <f>IF(מלאי!D66&lt;&gt;"",מלאי!D66,"")</f>
        <v>LC - 1 AMERICAN</v>
      </c>
      <c r="B59" s="8" t="str">
        <f>IF(מלאי!D66&lt;&gt;"",מלאי!B66&amp;IF(מלאי!C66&lt;&gt;""," ("&amp;מלאי!C66&amp;")",""),"")</f>
        <v>LC79 (V1)</v>
      </c>
      <c r="C59" s="8" t="str">
        <f>IFERROR(INDEX(הגדרות!$S$2:$S$50,MATCH(מלאי!B66,הגדרות!$R$2:$R$50,0)),"")</f>
        <v/>
      </c>
      <c r="D59" s="8"/>
      <c r="E59" s="8"/>
    </row>
    <row r="60" spans="1:5" ht="15" customHeight="1" x14ac:dyDescent="0.35">
      <c r="A60" s="8" t="str">
        <f>IF(מלאי!D67&lt;&gt;"",מלאי!D67,"")</f>
        <v xml:space="preserve">LC - 2 </v>
      </c>
      <c r="B60" s="8" t="str">
        <f>IF(מלאי!D67&lt;&gt;"",מלאי!B67&amp;IF(מלאי!C67&lt;&gt;""," ("&amp;מלאי!C67&amp;")",""),"")</f>
        <v>LC79 (V1)</v>
      </c>
      <c r="C60" s="8" t="str">
        <f>IFERROR(INDEX(הגדרות!$S$2:$S$50,MATCH(מלאי!B67,הגדרות!$R$2:$R$50,0)),"")</f>
        <v/>
      </c>
      <c r="D60" s="8"/>
      <c r="E60" s="8"/>
    </row>
    <row r="61" spans="1:5" ht="15" customHeight="1" x14ac:dyDescent="0.35">
      <c r="A61" s="8" t="str">
        <f>IF(מלאי!D68&lt;&gt;"",מלאי!D68,"")</f>
        <v>May Long 1</v>
      </c>
      <c r="B61" s="8" t="str">
        <f>IF(מלאי!D68&lt;&gt;"",מלאי!B68&amp;IF(מלאי!C68&lt;&gt;""," ("&amp;מלאי!C68&amp;")",""),"")</f>
        <v>May Long Shirt (ארוכה)</v>
      </c>
      <c r="C61" s="8" t="str">
        <f>IFERROR(INDEX(הגדרות!$S$2:$S$50,MATCH(מלאי!B68,הגדרות!$R$2:$R$50,0)),"")</f>
        <v/>
      </c>
      <c r="D61" s="8"/>
      <c r="E61" s="8"/>
    </row>
    <row r="62" spans="1:5" ht="15" customHeight="1" x14ac:dyDescent="0.35">
      <c r="A62" s="8" t="str">
        <f>IF(מלאי!D69&lt;&gt;"",מלאי!D69,"")</f>
        <v>May Long 2</v>
      </c>
      <c r="B62" s="8" t="str">
        <f>IF(מלאי!D69&lt;&gt;"",מלאי!B69&amp;IF(מלאי!C69&lt;&gt;""," ("&amp;מלאי!C69&amp;")",""),"")</f>
        <v>May Long Shirt (ארוכה)</v>
      </c>
      <c r="C62" s="8" t="str">
        <f>IFERROR(INDEX(הגדרות!$S$2:$S$50,MATCH(מלאי!B69,הגדרות!$R$2:$R$50,0)),"")</f>
        <v/>
      </c>
      <c r="D62" s="8"/>
      <c r="E62" s="8"/>
    </row>
    <row r="63" spans="1:5" ht="15" customHeight="1" x14ac:dyDescent="0.35">
      <c r="A63" s="8" t="str">
        <f>IF(מלאי!D70&lt;&gt;"",מלאי!D70,"")</f>
        <v>May3</v>
      </c>
      <c r="B63" s="8" t="str">
        <f>IF(מלאי!D70&lt;&gt;"",מלאי!B70&amp;IF(מלאי!C70&lt;&gt;""," ("&amp;מלאי!C70&amp;")",""),"")</f>
        <v>May Suit (V1)</v>
      </c>
      <c r="C63" s="8" t="str">
        <f>IFERROR(INDEX(הגדרות!$S$2:$S$50,MATCH(מלאי!B70,הגדרות!$R$2:$R$50,0)),"")</f>
        <v/>
      </c>
      <c r="D63" s="8"/>
      <c r="E63" s="8"/>
    </row>
    <row r="64" spans="1:5" ht="15" customHeight="1" x14ac:dyDescent="0.35">
      <c r="A64" s="8" t="str">
        <f>IF(מלאי!D71&lt;&gt;"",מלאי!D71,"")</f>
        <v>May4</v>
      </c>
      <c r="B64" s="8" t="str">
        <f>IF(מלאי!D71&lt;&gt;"",מלאי!B71&amp;IF(מלאי!C71&lt;&gt;""," ("&amp;מלאי!C71&amp;")",""),"")</f>
        <v>May Suit (V1)</v>
      </c>
      <c r="C64" s="8" t="str">
        <f>IFERROR(INDEX(הגדרות!$S$2:$S$50,MATCH(מלאי!B71,הגדרות!$R$2:$R$50,0)),"")</f>
        <v/>
      </c>
      <c r="D64" s="8"/>
      <c r="E64" s="8"/>
    </row>
    <row r="65" spans="1:5" ht="15" customHeight="1" x14ac:dyDescent="0.35">
      <c r="A65" s="8" t="str">
        <f>IF(מלאי!D72&lt;&gt;"",מלאי!D72,"")</f>
        <v>מאי תצוגה</v>
      </c>
      <c r="B65" s="8" t="str">
        <f>IF(מלאי!D72&lt;&gt;"",מלאי!B72&amp;IF(מלאי!C72&lt;&gt;""," ("&amp;מלאי!C72&amp;")",""),"")</f>
        <v>May Suit (V1)</v>
      </c>
      <c r="C65" s="8" t="str">
        <f>IFERROR(INDEX(הגדרות!$S$2:$S$50,MATCH(מלאי!B72,הגדרות!$R$2:$R$50,0)),"")</f>
        <v/>
      </c>
      <c r="D65" s="8"/>
      <c r="E65" s="8"/>
    </row>
    <row r="66" spans="1:5" ht="15" customHeight="1" x14ac:dyDescent="0.35">
      <c r="A66" s="8" t="str">
        <f>IF(מלאי!D73&lt;&gt;"",מלאי!D73,"")</f>
        <v>מאי הדגמה</v>
      </c>
      <c r="B66" s="8" t="str">
        <f>IF(מלאי!D73&lt;&gt;"",מלאי!B73&amp;IF(מלאי!C73&lt;&gt;""," ("&amp;מלאי!C73&amp;")",""),"")</f>
        <v>May Suit (V1)</v>
      </c>
      <c r="C66" s="8" t="str">
        <f>IFERROR(INDEX(הגדרות!$S$2:$S$50,MATCH(מלאי!B73,הגדרות!$R$2:$R$50,0)),"")</f>
        <v/>
      </c>
      <c r="D66" s="8"/>
      <c r="E66" s="8"/>
    </row>
    <row r="67" spans="1:5" ht="15" customHeight="1" x14ac:dyDescent="0.35">
      <c r="A67" s="8" t="str">
        <f>IF(מלאי!D74&lt;&gt;"",מלאי!D74,"")</f>
        <v>May Desert 1</v>
      </c>
      <c r="B67" s="8" t="str">
        <f>IF(מלאי!D74&lt;&gt;"",מלאי!B74&amp;IF(מלאי!C74&lt;&gt;""," ("&amp;מלאי!C74&amp;")",""),"")</f>
        <v>May Suit (V1)</v>
      </c>
      <c r="C67" s="8" t="str">
        <f>IFERROR(INDEX(הגדרות!$S$2:$S$50,MATCH(מלאי!B74,הגדרות!$R$2:$R$50,0)),"")</f>
        <v/>
      </c>
      <c r="D67" s="8"/>
      <c r="E67" s="8"/>
    </row>
    <row r="68" spans="1:5" ht="15" customHeight="1" x14ac:dyDescent="0.35">
      <c r="A68" s="8" t="str">
        <f>IF(מלאי!D75&lt;&gt;"",מלאי!D75,"")</f>
        <v>May Desert 2</v>
      </c>
      <c r="B68" s="8" t="str">
        <f>IF(מלאי!D75&lt;&gt;"",מלאי!B75&amp;IF(מלאי!C75&lt;&gt;""," ("&amp;מלאי!C75&amp;")",""),"")</f>
        <v>May Suit (V1)</v>
      </c>
      <c r="C68" s="8" t="str">
        <f>IFERROR(INDEX(הגדרות!$S$2:$S$50,MATCH(מלאי!B75,הגדרות!$R$2:$R$50,0)),"")</f>
        <v/>
      </c>
      <c r="D68" s="8"/>
      <c r="E68" s="8"/>
    </row>
    <row r="69" spans="1:5" ht="15" customHeight="1" x14ac:dyDescent="0.35">
      <c r="A69" s="8" t="str">
        <f>IF(מלאי!D76&lt;&gt;"",מלאי!D76,"")</f>
        <v>May Desert 3</v>
      </c>
      <c r="B69" s="8" t="str">
        <f>IF(מלאי!D76&lt;&gt;"",מלאי!B76&amp;IF(מלאי!C76&lt;&gt;""," ("&amp;מלאי!C76&amp;")",""),"")</f>
        <v>May Suit (V1)</v>
      </c>
      <c r="C69" s="8" t="str">
        <f>IFERROR(INDEX(הגדרות!$S$2:$S$50,MATCH(מלאי!B76,הגדרות!$R$2:$R$50,0)),"")</f>
        <v/>
      </c>
      <c r="D69" s="8"/>
      <c r="E69" s="8"/>
    </row>
    <row r="70" spans="1:5" ht="15" customHeight="1" x14ac:dyDescent="0.35">
      <c r="A70" s="8" t="str">
        <f>IF(מלאי!D77&lt;&gt;"",מלאי!D77,"")</f>
        <v>May Desert 4</v>
      </c>
      <c r="B70" s="8" t="str">
        <f>IF(מלאי!D77&lt;&gt;"",מלאי!B77&amp;IF(מלאי!C77&lt;&gt;""," ("&amp;מלאי!C77&amp;")",""),"")</f>
        <v>May Suit (V1)</v>
      </c>
      <c r="C70" s="8" t="str">
        <f>IFERROR(INDEX(הגדרות!$S$2:$S$50,MATCH(מלאי!B77,הגדרות!$R$2:$R$50,0)),"")</f>
        <v/>
      </c>
      <c r="D70" s="8"/>
      <c r="E70" s="8"/>
    </row>
    <row r="71" spans="1:5" ht="15" customHeight="1" x14ac:dyDescent="0.35">
      <c r="A71" s="8" t="str">
        <f>IF(מלאי!D78&lt;&gt;"",מלאי!D78,"")</f>
        <v>mrzr alpha 9*12</v>
      </c>
      <c r="B71" s="8" t="str">
        <f>IF(מלאי!D78&lt;&gt;"",מלאי!B78&amp;IF(מלאי!C78&lt;&gt;""," ("&amp;מלאי!C78&amp;")",""),"")</f>
        <v>MRZR cover (alpha)</v>
      </c>
      <c r="C71" s="8" t="str">
        <f>IFERROR(INDEX(הגדרות!$S$2:$S$50,MATCH(מלאי!B78,הגדרות!$R$2:$R$50,0)),"")</f>
        <v/>
      </c>
      <c r="D71" s="8"/>
      <c r="E71" s="8"/>
    </row>
    <row r="72" spans="1:5" ht="15" customHeight="1" x14ac:dyDescent="0.35">
      <c r="A72" s="8" t="str">
        <f>IF(מלאי!D80&lt;&gt;"",מלאי!D80,"")</f>
        <v>Op HS 2</v>
      </c>
      <c r="B72" s="8" t="str">
        <f>IF(מלאי!D80&lt;&gt;"",מלאי!B80&amp;IF(מלאי!C80&lt;&gt;""," ("&amp;מלאי!C80&amp;")",""),"")</f>
        <v>Operators HS (V1)</v>
      </c>
      <c r="C72" s="8" t="str">
        <f>IFERROR(INDEX(הגדרות!$S$2:$S$50,MATCH(מלאי!B80,הגדרות!$R$2:$R$50,0)),"")</f>
        <v/>
      </c>
      <c r="D72" s="8"/>
      <c r="E72" s="8"/>
    </row>
    <row r="73" spans="1:5" ht="15" customHeight="1" x14ac:dyDescent="0.35">
      <c r="A73" s="8" t="str">
        <f>IF(מלאי!D81&lt;&gt;"",מלאי!D81,"")</f>
        <v>עמדת חוליה MRG 3 הדגמה</v>
      </c>
      <c r="B73" s="8" t="str">
        <f>IF(מלאי!D81&lt;&gt;"",מלאי!B81&amp;IF(מלאי!C81&lt;&gt;""," ("&amp;מלאי!C81&amp;")",""),"")</f>
        <v>Operators HS (V1)</v>
      </c>
      <c r="C73" s="8" t="str">
        <f>IFERROR(INDEX(הגדרות!$S$2:$S$50,MATCH(מלאי!B81,הגדרות!$R$2:$R$50,0)),"")</f>
        <v/>
      </c>
      <c r="D73" s="8"/>
      <c r="E73" s="8"/>
    </row>
    <row r="74" spans="1:5" ht="15" customHeight="1" x14ac:dyDescent="0.35">
      <c r="A74" s="8" t="str">
        <f>IF(מלאי!D82&lt;&gt;"",מלאי!D82,"")</f>
        <v>Op HS  4</v>
      </c>
      <c r="B74" s="8" t="str">
        <f>IF(מלאי!D82&lt;&gt;"",מלאי!B82&amp;IF(מלאי!C82&lt;&gt;""," ("&amp;מלאי!C82&amp;")",""),"")</f>
        <v>Operators HS (V1)</v>
      </c>
      <c r="C74" s="8" t="str">
        <f>IFERROR(INDEX(הגדרות!$S$2:$S$50,MATCH(מלאי!B82,הגדרות!$R$2:$R$50,0)),"")</f>
        <v/>
      </c>
      <c r="D74" s="8"/>
      <c r="E74" s="8"/>
    </row>
    <row r="75" spans="1:5" ht="15" customHeight="1" x14ac:dyDescent="0.35">
      <c r="A75" s="8" t="e">
        <f>IF(מלאי!#REF!&lt;&gt;"",מלאי!#REF!,"")</f>
        <v>#REF!</v>
      </c>
      <c r="B75" s="8" t="e">
        <f>IF(מלאי!#REF!&lt;&gt;"",מלאי!#REF!&amp;IF(מלאי!#REF!&lt;&gt;""," ("&amp;מלאי!#REF!&amp;")",""),"")</f>
        <v>#REF!</v>
      </c>
      <c r="C75" s="8" t="str">
        <f>IFERROR(INDEX(הגדרות!$S$2:$S$50,MATCH(מלאי!#REF!,הגדרות!$R$2:$R$50,0)),"")</f>
        <v/>
      </c>
      <c r="D75" s="8"/>
      <c r="E75" s="8"/>
    </row>
    <row r="76" spans="1:5" ht="15" customHeight="1" x14ac:dyDescent="0.35">
      <c r="A76" s="8" t="str">
        <f>IF(מלאי!D83&lt;&gt;"",מלאי!D83,"")</f>
        <v>ARC Op HS 6</v>
      </c>
      <c r="B76" s="8" t="str">
        <f>IF(מלאי!D83&lt;&gt;"",מלאי!B83&amp;IF(מלאי!C83&lt;&gt;""," ("&amp;מלאי!C83&amp;")",""),"")</f>
        <v>Operators HS</v>
      </c>
      <c r="C76" s="8" t="str">
        <f>IFERROR(INDEX(הגדרות!$S$2:$S$50,MATCH(מלאי!B83,הגדרות!$R$2:$R$50,0)),"")</f>
        <v/>
      </c>
      <c r="D76" s="8"/>
      <c r="E76" s="8"/>
    </row>
    <row r="77" spans="1:5" ht="15" customHeight="1" x14ac:dyDescent="0.35">
      <c r="A77" s="8" t="str">
        <f>IF(מלאי!D84&lt;&gt;"",מלאי!D84,"")</f>
        <v>ARC Op HS 5</v>
      </c>
      <c r="B77" s="8" t="str">
        <f>IF(מלאי!D84&lt;&gt;"",מלאי!B84&amp;IF(מלאי!C84&lt;&gt;""," ("&amp;מלאי!C84&amp;")",""),"")</f>
        <v>Operators HS</v>
      </c>
      <c r="C77" s="8" t="str">
        <f>IFERROR(INDEX(הגדרות!$S$2:$S$50,MATCH(מלאי!B84,הגדרות!$R$2:$R$50,0)),"")</f>
        <v/>
      </c>
      <c r="D77" s="8"/>
      <c r="E77" s="8"/>
    </row>
    <row r="78" spans="1:5" ht="15" customHeight="1" x14ac:dyDescent="0.35">
      <c r="A78" s="8" t="str">
        <f>IF(מלאי!D85&lt;&gt;"",מלאי!D85,"")</f>
        <v>Op HS 7</v>
      </c>
      <c r="B78" s="8" t="str">
        <f>IF(מלאי!D85&lt;&gt;"",מלאי!B85&amp;IF(מלאי!C85&lt;&gt;""," ("&amp;מלאי!C85&amp;")",""),"")</f>
        <v>Operators HS (V1)</v>
      </c>
      <c r="C78" s="8" t="str">
        <f>IFERROR(INDEX(הגדרות!$S$2:$S$50,MATCH(מלאי!B85,הגדרות!$R$2:$R$50,0)),"")</f>
        <v/>
      </c>
      <c r="D78" s="8"/>
      <c r="E78" s="8"/>
    </row>
    <row r="79" spans="1:5" ht="15" customHeight="1" x14ac:dyDescent="0.35">
      <c r="A79" s="8" t="str">
        <f>IF(מלאי!D86&lt;&gt;"",מלאי!D86,"")</f>
        <v xml:space="preserve">ARC Op HS sampels Snirt </v>
      </c>
      <c r="B79" s="8" t="str">
        <f>IF(מלאי!D86&lt;&gt;"",מלאי!B86&amp;IF(מלאי!C86&lt;&gt;""," ("&amp;מלאי!C86&amp;")",""),"")</f>
        <v>Operators HS (V1)</v>
      </c>
      <c r="C79" s="8" t="str">
        <f>IFERROR(INDEX(הגדרות!$S$2:$S$50,MATCH(מלאי!B86,הגדרות!$R$2:$R$50,0)),"")</f>
        <v/>
      </c>
      <c r="D79" s="8"/>
      <c r="E79" s="8"/>
    </row>
    <row r="80" spans="1:5" ht="15" customHeight="1" x14ac:dyDescent="0.35">
      <c r="A80" s="8" t="str">
        <f>IF(מלאי!D87&lt;&gt;"",מלאי!D87,"")</f>
        <v xml:space="preserve">ARC Op HS sampels Fresh </v>
      </c>
      <c r="B80" s="8" t="str">
        <f>IF(מלאי!D87&lt;&gt;"",מלאי!B87&amp;IF(מלאי!C87&lt;&gt;""," ("&amp;מלאי!C87&amp;")",""),"")</f>
        <v>Operators HS (V1)</v>
      </c>
      <c r="C80" s="8" t="str">
        <f>IFERROR(INDEX(הגדרות!$S$2:$S$50,MATCH(מלאי!B87,הגדרות!$R$2:$R$50,0)),"")</f>
        <v/>
      </c>
      <c r="D80" s="8"/>
      <c r="E80" s="8"/>
    </row>
    <row r="81" spans="1:5" ht="15" customHeight="1" x14ac:dyDescent="0.35">
      <c r="A81" s="8" t="str">
        <f>IF(מלאי!D88&lt;&gt;"",מלאי!D88,"")</f>
        <v>overwatch 1</v>
      </c>
      <c r="B81" s="8" t="str">
        <f>IF(מלאי!D88&lt;&gt;"",מלאי!B88&amp;IF(מלאי!C88&lt;&gt;""," ("&amp;מלאי!C88&amp;")",""),"")</f>
        <v>OverWatch (ATGM) HS (V1)</v>
      </c>
      <c r="C81" s="8" t="str">
        <f>IFERROR(INDEX(הגדרות!$S$2:$S$50,MATCH(מלאי!B88,הגדרות!$R$2:$R$50,0)),"")</f>
        <v/>
      </c>
      <c r="D81" s="8"/>
      <c r="E81" s="8"/>
    </row>
    <row r="82" spans="1:5" ht="15" customHeight="1" x14ac:dyDescent="0.35">
      <c r="A82" s="8" t="str">
        <f>IF(מלאי!D89&lt;&gt;"",מלאי!D89,"")</f>
        <v>overwatch 2</v>
      </c>
      <c r="B82" s="8" t="str">
        <f>IF(מלאי!D89&lt;&gt;"",מלאי!B89&amp;IF(מלאי!C89&lt;&gt;""," ("&amp;מלאי!C89&amp;")",""),"")</f>
        <v>OverWatch (ATGM) HS (V1)</v>
      </c>
      <c r="C82" s="8" t="str">
        <f>IFERROR(INDEX(הגדרות!$S$2:$S$50,MATCH(מלאי!B89,הגדרות!$R$2:$R$50,0)),"")</f>
        <v/>
      </c>
      <c r="D82" s="8"/>
      <c r="E82" s="8"/>
    </row>
    <row r="83" spans="1:5" ht="15" customHeight="1" x14ac:dyDescent="0.35">
      <c r="A83" s="8" t="str">
        <f>IF(מלאי!D90&lt;&gt;"",מלאי!D90,"")</f>
        <v>overwatch 3</v>
      </c>
      <c r="B83" s="8" t="str">
        <f>IF(מלאי!D90&lt;&gt;"",מלאי!B90&amp;IF(מלאי!C90&lt;&gt;""," ("&amp;מלאי!C90&amp;")",""),"")</f>
        <v>OverWatch (ATGM) HS (V1)</v>
      </c>
      <c r="C83" s="8" t="str">
        <f>IFERROR(INDEX(הגדרות!$S$2:$S$50,MATCH(מלאי!B90,הגדרות!$R$2:$R$50,0)),"")</f>
        <v/>
      </c>
      <c r="D83" s="8"/>
      <c r="E83" s="8"/>
    </row>
    <row r="84" spans="1:5" ht="15" customHeight="1" x14ac:dyDescent="0.35">
      <c r="A84" s="8" t="str">
        <f>IF(מלאי!D91&lt;&gt;"",מלאי!D91,"")</f>
        <v>overwatch 4</v>
      </c>
      <c r="B84" s="8" t="str">
        <f>IF(מלאי!D91&lt;&gt;"",מלאי!B91&amp;IF(מלאי!C91&lt;&gt;""," ("&amp;מלאי!C91&amp;")",""),"")</f>
        <v>OverWatch (ATGM) HS (V1)</v>
      </c>
      <c r="C84" s="8" t="str">
        <f>IFERROR(INDEX(הגדרות!$S$2:$S$50,MATCH(מלאי!B91,הגדרות!$R$2:$R$50,0)),"")</f>
        <v/>
      </c>
      <c r="D84" s="8"/>
      <c r="E84" s="8"/>
    </row>
    <row r="85" spans="1:5" ht="15" customHeight="1" x14ac:dyDescent="0.35">
      <c r="A85" s="8" t="str">
        <f>IF(מלאי!D92&lt;&gt;"",מלאי!D92,"")</f>
        <v>overwatch 5</v>
      </c>
      <c r="B85" s="8" t="str">
        <f>IF(מלאי!D92&lt;&gt;"",מלאי!B92&amp;IF(מלאי!C92&lt;&gt;""," ("&amp;מלאי!C92&amp;")",""),"")</f>
        <v>OverWatch (ATGM) HS (V1)</v>
      </c>
      <c r="C85" s="8" t="str">
        <f>IFERROR(INDEX(הגדרות!$S$2:$S$50,MATCH(מלאי!B92,הגדרות!$R$2:$R$50,0)),"")</f>
        <v/>
      </c>
      <c r="D85" s="8"/>
      <c r="E85" s="8"/>
    </row>
    <row r="86" spans="1:5" ht="15" customHeight="1" x14ac:dyDescent="0.35">
      <c r="A86" s="8" t="e">
        <f>IF(מלאי!#REF!&lt;&gt;"",מלאי!#REF!,"")</f>
        <v>#REF!</v>
      </c>
      <c r="B86" s="8" t="e">
        <f>IF(מלאי!#REF!&lt;&gt;"",מלאי!B93&amp;IF(מלאי!C93&lt;&gt;""," ("&amp;מלאי!C93&amp;")",""),"")</f>
        <v>#REF!</v>
      </c>
      <c r="C86" s="8" t="str">
        <f>IFERROR(INDEX(הגדרות!$S$2:$S$50,MATCH(מלאי!B93,הגדרות!$R$2:$R$50,0)),"")</f>
        <v/>
      </c>
      <c r="D86" s="8"/>
      <c r="E86" s="8"/>
    </row>
    <row r="87" spans="1:5" ht="15" customHeight="1" x14ac:dyDescent="0.35">
      <c r="A87" s="8" t="str">
        <f>IF(מלאי!D99&lt;&gt;"",מלאי!D99,"")</f>
        <v>UNI 036</v>
      </c>
      <c r="B87" s="8" t="str">
        <f>IF(מלאי!D99&lt;&gt;"",מלאי!B94&amp;IF(מלאי!C94&lt;&gt;""," ("&amp;מלאי!C94&amp;")",""),"")</f>
        <v>OverWatch (ATGM) HS (V1)</v>
      </c>
      <c r="C87" s="8" t="str">
        <f>IFERROR(INDEX(הגדרות!$S$2:$S$50,MATCH(מלאי!B94,הגדרות!$R$2:$R$50,0)),"")</f>
        <v/>
      </c>
      <c r="D87" s="8"/>
      <c r="E87" s="8"/>
    </row>
    <row r="88" spans="1:5" ht="15" customHeight="1" x14ac:dyDescent="0.35">
      <c r="A88" s="8" t="str">
        <f>IF(מלאי!D95&lt;&gt;"",מלאי!D95,"")</f>
        <v>overwatch 8</v>
      </c>
      <c r="B88" s="8" t="str">
        <f>IF(מלאי!D95&lt;&gt;"",מלאי!B95&amp;IF(מלאי!C95&lt;&gt;""," ("&amp;מלאי!C95&amp;")",""),"")</f>
        <v>OverWatch (ATGM) HS (V1)</v>
      </c>
      <c r="C88" s="8" t="str">
        <f>IFERROR(INDEX(הגדרות!$S$2:$S$50,MATCH(מלאי!B95,הגדרות!$R$2:$R$50,0)),"")</f>
        <v/>
      </c>
      <c r="D88" s="8"/>
      <c r="E88" s="8"/>
    </row>
    <row r="89" spans="1:5" ht="15" customHeight="1" x14ac:dyDescent="0.35">
      <c r="A89" s="8" t="str">
        <f>IF(מלאי!D96&lt;&gt;"",מלאי!D96,"")</f>
        <v>UNI 007</v>
      </c>
      <c r="B89" s="8" t="str">
        <f>IF(מלאי!D96&lt;&gt;"",מלאי!B96&amp;IF(מלאי!C96&lt;&gt;""," ("&amp;מלאי!C96&amp;")",""),"")</f>
        <v>Pants (Less is More)</v>
      </c>
      <c r="C89" s="8" t="str">
        <f>IFERROR(INDEX(הגדרות!$S$2:$S$50,MATCH(מלאי!B96,הגדרות!$R$2:$R$50,0)),"")</f>
        <v/>
      </c>
      <c r="D89" s="8"/>
      <c r="E89" s="8"/>
    </row>
    <row r="90" spans="1:5" ht="15" customHeight="1" x14ac:dyDescent="0.35">
      <c r="A90" s="8" t="str">
        <f>IF(מלאי!D98&lt;&gt;"",מלאי!D98,"")</f>
        <v>UNI 006</v>
      </c>
      <c r="B90" s="8" t="str">
        <f>IF(מלאי!D98&lt;&gt;"",מלאי!B98&amp;IF(מלאי!C98&lt;&gt;""," ("&amp;מלאי!C98&amp;")",""),"")</f>
        <v>Pants (Maritime)</v>
      </c>
      <c r="C90" s="8" t="str">
        <f>IFERROR(INDEX(הגדרות!$S$2:$S$50,MATCH(מלאי!B98,הגדרות!$R$2:$R$50,0)),"")</f>
        <v/>
      </c>
      <c r="D90" s="8"/>
      <c r="E90" s="8"/>
    </row>
    <row r="91" spans="1:5" ht="15" customHeight="1" x14ac:dyDescent="0.35">
      <c r="A91" s="8" t="str">
        <f>IF(מלאי!D93&lt;&gt;"",מלאי!D93,"")</f>
        <v>overwatch 6 BETI</v>
      </c>
      <c r="B91" s="8" t="str">
        <f>IF(מלאי!D93&lt;&gt;"",מלאי!B99&amp;IF(מלאי!C99&lt;&gt;""," ("&amp;מלאי!C99&amp;")",""),"")</f>
        <v>Pants (Maritime)</v>
      </c>
      <c r="C91" s="8" t="str">
        <f>IFERROR(INDEX(הגדרות!$S$2:$S$50,MATCH(מלאי!B99,הגדרות!$R$2:$R$50,0)),"")</f>
        <v/>
      </c>
      <c r="D91" s="8"/>
      <c r="E91" s="8"/>
    </row>
    <row r="92" spans="1:5" ht="15" customHeight="1" x14ac:dyDescent="0.35">
      <c r="A92" s="8" t="str">
        <f>IF(מלאי!D100&lt;&gt;"",מלאי!D100,"")</f>
        <v>UNI 029</v>
      </c>
      <c r="B92" s="8" t="str">
        <f>IF(מלאי!D100&lt;&gt;"",מלאי!B100&amp;IF(מלאי!C100&lt;&gt;""," ("&amp;מלאי!C100&amp;")",""),"")</f>
        <v>Pants (Maritime)</v>
      </c>
      <c r="C92" s="8" t="str">
        <f>IFERROR(INDEX(הגדרות!$S$2:$S$50,MATCH(מלאי!B100,הגדרות!$R$2:$R$50,0)),"")</f>
        <v/>
      </c>
      <c r="D92" s="8"/>
      <c r="E92" s="8"/>
    </row>
    <row r="93" spans="1:5" ht="15" customHeight="1" x14ac:dyDescent="0.35">
      <c r="A93" s="8" t="str">
        <f>IF(מלאי!D101&lt;&gt;"",מלאי!D101,"")</f>
        <v>Inbar A1</v>
      </c>
      <c r="B93" s="8" t="str">
        <f>IF(מלאי!D101&lt;&gt;"",מלאי!B101&amp;IF(מלאי!C101&lt;&gt;""," ("&amp;מלאי!C101&amp;")",""),"")</f>
        <v>Poncho Inbar (V1)</v>
      </c>
      <c r="C93" s="8" t="str">
        <f>IFERROR(INDEX(הגדרות!$S$2:$S$50,MATCH(מלאי!B101,הגדרות!$R$2:$R$50,0)),"")</f>
        <v/>
      </c>
      <c r="D93" s="8"/>
      <c r="E93" s="8"/>
    </row>
    <row r="94" spans="1:5" ht="15" customHeight="1" x14ac:dyDescent="0.35">
      <c r="A94" s="8" t="str">
        <f>IF(מלאי!D102&lt;&gt;"",מלאי!D102,"")</f>
        <v>Inbar A2</v>
      </c>
      <c r="B94" s="8" t="str">
        <f>IF(מלאי!D102&lt;&gt;"",מלאי!B102&amp;IF(מלאי!C102&lt;&gt;""," ("&amp;מלאי!C102&amp;")",""),"")</f>
        <v>Poncho Inbar (V1)</v>
      </c>
      <c r="C94" s="8" t="str">
        <f>IFERROR(INDEX(הגדרות!$S$2:$S$50,MATCH(מלאי!B102,הגדרות!$R$2:$R$50,0)),"")</f>
        <v/>
      </c>
      <c r="D94" s="8"/>
      <c r="E94" s="8"/>
    </row>
    <row r="95" spans="1:5" ht="15" customHeight="1" x14ac:dyDescent="0.35">
      <c r="A95" s="8" t="str">
        <f>IF(מלאי!D103&lt;&gt;"",מלאי!D103,"")</f>
        <v>Inbar A3</v>
      </c>
      <c r="B95" s="8" t="str">
        <f>IF(מלאי!D103&lt;&gt;"",מלאי!B103&amp;IF(מלאי!C103&lt;&gt;""," ("&amp;מלאי!C103&amp;")",""),"")</f>
        <v>Poncho Inbar (V1)</v>
      </c>
      <c r="C95" s="8" t="str">
        <f>IFERROR(INDEX(הגדרות!$S$2:$S$50,MATCH(מלאי!B103,הגדרות!$R$2:$R$50,0)),"")</f>
        <v/>
      </c>
      <c r="D95" s="8"/>
      <c r="E95" s="8"/>
    </row>
    <row r="96" spans="1:5" ht="15" customHeight="1" x14ac:dyDescent="0.35">
      <c r="A96" s="8" t="str">
        <f>IF(מלאי!D104&lt;&gt;"",מלאי!D104,"")</f>
        <v>Inbar A4</v>
      </c>
      <c r="B96" s="8" t="str">
        <f>IF(מלאי!D104&lt;&gt;"",מלאי!B104&amp;IF(מלאי!C104&lt;&gt;""," ("&amp;מלאי!C104&amp;")",""),"")</f>
        <v>Poncho Inbar (V1)</v>
      </c>
      <c r="C96" s="8" t="str">
        <f>IFERROR(INDEX(הגדרות!$S$2:$S$50,MATCH(מלאי!B104,הגדרות!$R$2:$R$50,0)),"")</f>
        <v/>
      </c>
      <c r="D96" s="8"/>
      <c r="E96" s="8"/>
    </row>
    <row r="97" spans="1:5" ht="15" customHeight="1" x14ac:dyDescent="0.35">
      <c r="A97" s="8" t="str">
        <f>IF(מלאי!D105&lt;&gt;"",מלאי!D105,"")</f>
        <v>Inbar א תצוגה</v>
      </c>
      <c r="B97" s="8" t="str">
        <f>IF(מלאי!D105&lt;&gt;"",מלאי!B105&amp;IF(מלאי!C105&lt;&gt;""," ("&amp;מלאי!C105&amp;")",""),"")</f>
        <v>Poncho Inbar (V1)</v>
      </c>
      <c r="C97" s="8" t="str">
        <f>IFERROR(INDEX(הגדרות!$S$2:$S$50,MATCH(מלאי!B105,הגדרות!$R$2:$R$50,0)),"")</f>
        <v/>
      </c>
      <c r="D97" s="8"/>
      <c r="E97" s="8"/>
    </row>
    <row r="98" spans="1:5" ht="15" customHeight="1" x14ac:dyDescent="0.35">
      <c r="A98" s="8" t="str">
        <f>IF(מלאי!D106&lt;&gt;"",מלאי!D106,"")</f>
        <v>Inbar א הדגמה</v>
      </c>
      <c r="B98" s="8" t="str">
        <f>IF(מלאי!D106&lt;&gt;"",מלאי!B106&amp;IF(מלאי!C106&lt;&gt;""," ("&amp;מלאי!C106&amp;")",""),"")</f>
        <v>Poncho Inbar (V1)</v>
      </c>
      <c r="C98" s="8" t="str">
        <f>IFERROR(INDEX(הגדרות!$S$2:$S$50,MATCH(מלאי!B106,הגדרות!$R$2:$R$50,0)),"")</f>
        <v/>
      </c>
      <c r="D98" s="8"/>
      <c r="E98" s="8"/>
    </row>
    <row r="99" spans="1:5" ht="15" customHeight="1" x14ac:dyDescent="0.35">
      <c r="A99" s="8" t="str">
        <f>IF(מלאי!D107&lt;&gt;"",מלאי!D107,"")</f>
        <v>Inbar A5</v>
      </c>
      <c r="B99" s="8" t="str">
        <f>IF(מלאי!D107&lt;&gt;"",מלאי!B107&amp;IF(מלאי!C107&lt;&gt;""," ("&amp;מלאי!C107&amp;")",""),"")</f>
        <v>Poncho Inbar (V1)</v>
      </c>
      <c r="C99" s="8" t="str">
        <f>IFERROR(INDEX(הגדרות!$S$2:$S$50,MATCH(מלאי!B107,הגדרות!$R$2:$R$50,0)),"")</f>
        <v/>
      </c>
      <c r="D99" s="8"/>
      <c r="E99" s="8"/>
    </row>
    <row r="100" spans="1:5" ht="15" customHeight="1" x14ac:dyDescent="0.35">
      <c r="A100" s="8" t="str">
        <f>IF(מלאי!D108&lt;&gt;"",מלאי!D108,"")</f>
        <v>Inbar A6</v>
      </c>
      <c r="B100" s="8" t="str">
        <f>IF(מלאי!D108&lt;&gt;"",מלאי!B108&amp;IF(מלאי!C108&lt;&gt;""," ("&amp;מלאי!C108&amp;")",""),"")</f>
        <v>Poncho Inbar (V1)</v>
      </c>
      <c r="C100" s="8" t="str">
        <f>IFERROR(INDEX(הגדרות!$S$2:$S$50,MATCH(מלאי!B108,הגדרות!$R$2:$R$50,0)),"")</f>
        <v/>
      </c>
      <c r="D100" s="8"/>
      <c r="E100" s="8"/>
    </row>
    <row r="101" spans="1:5" ht="15" customHeight="1" x14ac:dyDescent="0.35">
      <c r="A101" s="8" t="str">
        <f>IF(מלאי!D109&lt;&gt;"",מלאי!D109,"")</f>
        <v>Inbar A7</v>
      </c>
      <c r="B101" s="8" t="str">
        <f>IF(מלאי!D109&lt;&gt;"",מלאי!B109&amp;IF(מלאי!C109&lt;&gt;""," ("&amp;מלאי!C109&amp;")",""),"")</f>
        <v>Poncho Inbar (V1)</v>
      </c>
      <c r="C101" s="8" t="str">
        <f>IFERROR(INDEX(הגדרות!$S$2:$S$50,MATCH(מלאי!B109,הגדרות!$R$2:$R$50,0)),"")</f>
        <v/>
      </c>
      <c r="D101" s="8"/>
      <c r="E101" s="8"/>
    </row>
    <row r="102" spans="1:5" ht="15" customHeight="1" x14ac:dyDescent="0.35">
      <c r="A102" s="8" t="str">
        <f>IF(מלאי!D110&lt;&gt;"",מלאי!D110,"")</f>
        <v>A1</v>
      </c>
      <c r="B102" s="8" t="str">
        <f>IF(מלאי!D110&lt;&gt;"",מלאי!B110&amp;IF(מלאי!C110&lt;&gt;""," ("&amp;מלאי!C110&amp;")",""),"")</f>
        <v>Poncho Sahar (V1)</v>
      </c>
      <c r="C102" s="8" t="str">
        <f>IFERROR(INDEX(הגדרות!$S$2:$S$50,MATCH(מלאי!B110,הגדרות!$R$2:$R$50,0)),"")</f>
        <v/>
      </c>
      <c r="D102" s="8"/>
      <c r="E102" s="8"/>
    </row>
    <row r="103" spans="1:5" ht="15" customHeight="1" x14ac:dyDescent="0.35">
      <c r="A103" s="8" t="str">
        <f>IF(מלאי!D111&lt;&gt;"",מלאי!D111,"")</f>
        <v>A2</v>
      </c>
      <c r="B103" s="8" t="str">
        <f>IF(מלאי!D111&lt;&gt;"",מלאי!B111&amp;IF(מלאי!C111&lt;&gt;""," ("&amp;מלאי!C111&amp;")",""),"")</f>
        <v>Poncho Sahar (V1)</v>
      </c>
      <c r="C103" s="8" t="str">
        <f>IFERROR(INDEX(הגדרות!$S$2:$S$50,MATCH(מלאי!B111,הגדרות!$R$2:$R$50,0)),"")</f>
        <v/>
      </c>
      <c r="D103" s="8"/>
      <c r="E103" s="8"/>
    </row>
    <row r="104" spans="1:5" ht="15" customHeight="1" x14ac:dyDescent="0.35">
      <c r="A104" s="8" t="str">
        <f>IF(מלאי!D112&lt;&gt;"",מלאי!D112,"")</f>
        <v>A3</v>
      </c>
      <c r="B104" s="8" t="str">
        <f>IF(מלאי!D112&lt;&gt;"",מלאי!B112&amp;IF(מלאי!C112&lt;&gt;""," ("&amp;מלאי!C112&amp;")",""),"")</f>
        <v>Poncho Sahar (V1)</v>
      </c>
      <c r="C104" s="8" t="str">
        <f>IFERROR(INDEX(הגדרות!$S$2:$S$50,MATCH(מלאי!B112,הגדרות!$R$2:$R$50,0)),"")</f>
        <v/>
      </c>
      <c r="D104" s="8"/>
      <c r="E104" s="8"/>
    </row>
    <row r="105" spans="1:5" ht="15" customHeight="1" x14ac:dyDescent="0.35">
      <c r="A105" s="8" t="str">
        <f>IF(מלאי!D113&lt;&gt;"",מלאי!D113,"")</f>
        <v>A הדגמה</v>
      </c>
      <c r="B105" s="8" t="str">
        <f>IF(מלאי!D113&lt;&gt;"",מלאי!B113&amp;IF(מלאי!C113&lt;&gt;""," ("&amp;מלאי!C113&amp;")",""),"")</f>
        <v>Poncho Sahar (V1)</v>
      </c>
      <c r="C105" s="8" t="str">
        <f>IFERROR(INDEX(הגדרות!$S$2:$S$50,MATCH(מלאי!B113,הגדרות!$R$2:$R$50,0)),"")</f>
        <v/>
      </c>
      <c r="D105" s="8"/>
      <c r="E105" s="8"/>
    </row>
    <row r="106" spans="1:5" ht="15" customHeight="1" x14ac:dyDescent="0.35">
      <c r="A106" s="8" t="str">
        <f>IF(מלאי!D114&lt;&gt;"",מלאי!D114,"")</f>
        <v>A תצוגה</v>
      </c>
      <c r="B106" s="8" t="str">
        <f>IF(מלאי!D114&lt;&gt;"",מלאי!B114&amp;IF(מלאי!C114&lt;&gt;""," ("&amp;מלאי!C114&amp;")",""),"")</f>
        <v>Poncho Sahar (V1)</v>
      </c>
      <c r="C106" s="8" t="str">
        <f>IFERROR(INDEX(הגדרות!$S$2:$S$50,MATCH(מלאי!B114,הגדרות!$R$2:$R$50,0)),"")</f>
        <v/>
      </c>
      <c r="D106" s="8"/>
      <c r="E106" s="8"/>
    </row>
    <row r="107" spans="1:5" ht="15" customHeight="1" x14ac:dyDescent="0.35">
      <c r="A107" s="8" t="str">
        <f>IF(מלאי!D115&lt;&gt;"",מלאי!D115,"")</f>
        <v>B הדגמה</v>
      </c>
      <c r="B107" s="8" t="str">
        <f>IF(מלאי!D115&lt;&gt;"",מלאי!B115&amp;IF(מלאי!C115&lt;&gt;""," ("&amp;מלאי!C115&amp;")",""),"")</f>
        <v>Poncho Sahar (V2)</v>
      </c>
      <c r="C107" s="8" t="str">
        <f>IFERROR(INDEX(הגדרות!$S$2:$S$50,MATCH(מלאי!B115,הגדרות!$R$2:$R$50,0)),"")</f>
        <v/>
      </c>
      <c r="D107" s="8"/>
      <c r="E107" s="8"/>
    </row>
    <row r="108" spans="1:5" ht="15" customHeight="1" x14ac:dyDescent="0.35">
      <c r="A108" s="8" t="str">
        <f>IF(מלאי!D116&lt;&gt;"",מלאי!D116,"")</f>
        <v>B תצוגה</v>
      </c>
      <c r="B108" s="8" t="str">
        <f>IF(מלאי!D116&lt;&gt;"",מלאי!B116&amp;IF(מלאי!C116&lt;&gt;""," ("&amp;מלאי!C116&amp;")",""),"")</f>
        <v>Poncho Sahar (V2)</v>
      </c>
      <c r="C108" s="8" t="str">
        <f>IFERROR(INDEX(הגדרות!$S$2:$S$50,MATCH(מלאי!B116,הגדרות!$R$2:$R$50,0)),"")</f>
        <v/>
      </c>
      <c r="D108" s="8"/>
      <c r="E108" s="8"/>
    </row>
    <row r="109" spans="1:5" ht="15" customHeight="1" x14ac:dyDescent="0.35">
      <c r="A109" s="8" t="str">
        <f>IF(מלאי!D117&lt;&gt;"",מלאי!D117,"")</f>
        <v>סהר B 3D הדגמה</v>
      </c>
      <c r="B109" s="8" t="str">
        <f>IF(מלאי!D117&lt;&gt;"",מלאי!B117&amp;IF(מלאי!C117&lt;&gt;""," ("&amp;מלאי!C117&amp;")",""),"")</f>
        <v>Poncho Sahar (V2 3D)</v>
      </c>
      <c r="C109" s="8" t="str">
        <f>IFERROR(INDEX(הגדרות!$S$2:$S$50,MATCH(מלאי!B117,הגדרות!$R$2:$R$50,0)),"")</f>
        <v/>
      </c>
      <c r="D109" s="8"/>
      <c r="E109" s="8"/>
    </row>
    <row r="110" spans="1:5" ht="15" customHeight="1" x14ac:dyDescent="0.35">
      <c r="A110" s="8" t="str">
        <f>IF(מלאי!D118&lt;&gt;"",מלאי!D118,"")</f>
        <v>B1</v>
      </c>
      <c r="B110" s="8" t="str">
        <f>IF(מלאי!D118&lt;&gt;"",מלאי!B118&amp;IF(מלאי!C118&lt;&gt;""," ("&amp;מלאי!C118&amp;")",""),"")</f>
        <v>Poncho Sahar (V2)</v>
      </c>
      <c r="C110" s="8" t="str">
        <f>IFERROR(INDEX(הגדרות!$S$2:$S$50,MATCH(מלאי!B118,הגדרות!$R$2:$R$50,0)),"")</f>
        <v/>
      </c>
      <c r="D110" s="8"/>
      <c r="E110" s="8"/>
    </row>
    <row r="111" spans="1:5" ht="15" customHeight="1" x14ac:dyDescent="0.35">
      <c r="A111" s="8" t="e">
        <f>IF(מלאי!#REF!&lt;&gt;"",מלאי!#REF!,"")</f>
        <v>#REF!</v>
      </c>
      <c r="B111" s="8" t="e">
        <f>IF(מלאי!#REF!&lt;&gt;"",מלאי!#REF!&amp;IF(מלאי!#REF!&lt;&gt;""," ("&amp;מלאי!#REF!&amp;")",""),"")</f>
        <v>#REF!</v>
      </c>
      <c r="C111" s="8" t="str">
        <f>IFERROR(INDEX(הגדרות!$S$2:$S$50,MATCH(מלאי!#REF!,הגדרות!$R$2:$R$50,0)),"")</f>
        <v/>
      </c>
      <c r="D111" s="8"/>
      <c r="E111" s="8"/>
    </row>
    <row r="112" spans="1:5" ht="15" customHeight="1" x14ac:dyDescent="0.35">
      <c r="A112" s="8" t="e">
        <f>IF(מלאי!#REF!&lt;&gt;"",מלאי!#REF!,"")</f>
        <v>#REF!</v>
      </c>
      <c r="B112" s="8" t="e">
        <f>IF(מלאי!#REF!&lt;&gt;"",מלאי!#REF!&amp;IF(מלאי!#REF!&lt;&gt;""," ("&amp;מלאי!#REF!&amp;")",""),"")</f>
        <v>#REF!</v>
      </c>
      <c r="C112" s="8" t="str">
        <f>IFERROR(INDEX(הגדרות!$S$2:$S$50,MATCH(מלאי!#REF!,הגדרות!$R$2:$R$50,0)),"")</f>
        <v/>
      </c>
      <c r="D112" s="8"/>
      <c r="E112" s="8"/>
    </row>
    <row r="113" spans="1:5" ht="15" customHeight="1" x14ac:dyDescent="0.35">
      <c r="A113" s="8" t="e">
        <f>IF(מלאי!#REF!&lt;&gt;"",מלאי!#REF!,"")</f>
        <v>#REF!</v>
      </c>
      <c r="B113" s="8" t="e">
        <f>IF(מלאי!#REF!&lt;&gt;"",מלאי!#REF!&amp;IF(מלאי!#REF!&lt;&gt;""," ("&amp;מלאי!#REF!&amp;")",""),"")</f>
        <v>#REF!</v>
      </c>
      <c r="C113" s="8" t="str">
        <f>IFERROR(INDEX(הגדרות!$S$2:$S$50,MATCH(מלאי!#REF!,הגדרות!$R$2:$R$50,0)),"")</f>
        <v/>
      </c>
      <c r="D113" s="8"/>
      <c r="E113" s="8"/>
    </row>
    <row r="114" spans="1:5" ht="15" customHeight="1" x14ac:dyDescent="0.35">
      <c r="A114" s="8" t="e">
        <f>IF(מלאי!#REF!&lt;&gt;"",מלאי!#REF!,"")</f>
        <v>#REF!</v>
      </c>
      <c r="B114" s="8" t="e">
        <f>IF(מלאי!#REF!&lt;&gt;"",מלאי!#REF!&amp;IF(מלאי!#REF!&lt;&gt;""," ("&amp;מלאי!#REF!&amp;")",""),"")</f>
        <v>#REF!</v>
      </c>
      <c r="C114" s="8" t="str">
        <f>IFERROR(INDEX(הגדרות!$S$2:$S$50,MATCH(מלאי!#REF!,הגדרות!$R$2:$R$50,0)),"")</f>
        <v/>
      </c>
      <c r="D114" s="8"/>
      <c r="E114" s="8"/>
    </row>
    <row r="115" spans="1:5" ht="15" customHeight="1" x14ac:dyDescent="0.35">
      <c r="A115" s="8" t="str">
        <f>IF(מלאי!D119&lt;&gt;"",מלאי!D119,"")</f>
        <v>A4</v>
      </c>
      <c r="B115" s="8" t="str">
        <f>IF(מלאי!D119&lt;&gt;"",מלאי!B119&amp;IF(מלאי!C119&lt;&gt;""," ("&amp;מלאי!C119&amp;")",""),"")</f>
        <v>Poncho Sahar (V1)</v>
      </c>
      <c r="C115" s="8" t="str">
        <f>IFERROR(INDEX(הגדרות!$S$2:$S$50,MATCH(מלאי!B119,הגדרות!$R$2:$R$50,0)),"")</f>
        <v/>
      </c>
      <c r="D115" s="8"/>
      <c r="E115" s="8"/>
    </row>
    <row r="116" spans="1:5" ht="15" customHeight="1" x14ac:dyDescent="0.35">
      <c r="A116" s="8" t="str">
        <f>IF(מלאי!D120&lt;&gt;"",מלאי!D120,"")</f>
        <v>SRV A16</v>
      </c>
      <c r="B116" s="8" t="str">
        <f>IF(מלאי!D120&lt;&gt;"",מלאי!B120&amp;IF(מלאי!C120&lt;&gt;""," ("&amp;מלאי!C120&amp;")",""),"")</f>
        <v>Poncho SRV (V1)</v>
      </c>
      <c r="C116" s="8" t="str">
        <f>IFERROR(INDEX(הגדרות!$S$2:$S$50,MATCH(מלאי!B120,הגדרות!$R$2:$R$50,0)),"")</f>
        <v/>
      </c>
      <c r="D116" s="8"/>
      <c r="E116" s="8"/>
    </row>
    <row r="117" spans="1:5" ht="15" customHeight="1" x14ac:dyDescent="0.35">
      <c r="A117" s="8" t="str">
        <f>IF(מלאי!D121&lt;&gt;"",מלאי!D121,"")</f>
        <v xml:space="preserve">SRV A14  </v>
      </c>
      <c r="B117" s="8" t="str">
        <f>IF(מלאי!D121&lt;&gt;"",מלאי!B121&amp;IF(מלאי!C121&lt;&gt;""," ("&amp;מלאי!C121&amp;")",""),"")</f>
        <v>Poncho SRV (Short)</v>
      </c>
      <c r="C117" s="8" t="str">
        <f>IFERROR(INDEX(הגדרות!$S$2:$S$50,MATCH(מלאי!B121,הגדרות!$R$2:$R$50,0)),"")</f>
        <v/>
      </c>
      <c r="D117" s="8"/>
      <c r="E117" s="8"/>
    </row>
    <row r="118" spans="1:5" ht="15" customHeight="1" x14ac:dyDescent="0.35">
      <c r="A118" s="8" t="str">
        <f>IF(מלאי!D122&lt;&gt;"",מלאי!D122,"")</f>
        <v>SRV A12</v>
      </c>
      <c r="B118" s="8" t="str">
        <f>IF(מלאי!D122&lt;&gt;"",מלאי!B122&amp;IF(מלאי!C122&lt;&gt;""," ("&amp;מלאי!C122&amp;")",""),"")</f>
        <v>Poncho SRV (V1)</v>
      </c>
      <c r="C118" s="8" t="str">
        <f>IFERROR(INDEX(הגדרות!$S$2:$S$50,MATCH(מלאי!B122,הגדרות!$R$2:$R$50,0)),"")</f>
        <v/>
      </c>
      <c r="D118" s="8"/>
      <c r="E118" s="8"/>
    </row>
    <row r="119" spans="1:5" ht="15" customHeight="1" x14ac:dyDescent="0.35">
      <c r="A119" s="8" t="str">
        <f>IF(מלאי!D123&lt;&gt;"",מלאי!D123,"")</f>
        <v>SRV A10</v>
      </c>
      <c r="B119" s="8" t="str">
        <f>IF(מלאי!D123&lt;&gt;"",מלאי!B123&amp;IF(מלאי!C123&lt;&gt;""," ("&amp;מלאי!C123&amp;")",""),"")</f>
        <v>Poncho SRV (V1)</v>
      </c>
      <c r="C119" s="8" t="str">
        <f>IFERROR(INDEX(הגדרות!$S$2:$S$50,MATCH(מלאי!B123,הגדרות!$R$2:$R$50,0)),"")</f>
        <v/>
      </c>
      <c r="D119" s="8"/>
      <c r="E119" s="8"/>
    </row>
    <row r="120" spans="1:5" ht="15" customHeight="1" x14ac:dyDescent="0.35">
      <c r="A120" s="8" t="e">
        <f>IF(מלאי!#REF!&lt;&gt;"",מלאי!#REF!,"")</f>
        <v>#REF!</v>
      </c>
      <c r="B120" s="8" t="e">
        <f>IF(מלאי!#REF!&lt;&gt;"",מלאי!#REF!&amp;IF(מלאי!#REF!&lt;&gt;""," ("&amp;מלאי!#REF!&amp;")",""),"")</f>
        <v>#REF!</v>
      </c>
      <c r="C120" s="8" t="str">
        <f>IFERROR(INDEX(הגדרות!$S$2:$S$50,MATCH(מלאי!#REF!,הגדרות!$R$2:$R$50,0)),"")</f>
        <v/>
      </c>
      <c r="D120" s="8"/>
      <c r="E120" s="8"/>
    </row>
    <row r="121" spans="1:5" ht="15" customHeight="1" x14ac:dyDescent="0.35">
      <c r="A121" s="8" t="e">
        <f>IF(מלאי!#REF!&lt;&gt;"",מלאי!#REF!,"")</f>
        <v>#REF!</v>
      </c>
      <c r="B121" s="8" t="e">
        <f>IF(מלאי!#REF!&lt;&gt;"",מלאי!#REF!&amp;IF(מלאי!#REF!&lt;&gt;""," ("&amp;מלאי!#REF!&amp;")",""),"")</f>
        <v>#REF!</v>
      </c>
      <c r="C121" s="8" t="str">
        <f>IFERROR(INDEX(הגדרות!$S$2:$S$50,MATCH(מלאי!#REF!,הגדרות!$R$2:$R$50,0)),"")</f>
        <v/>
      </c>
      <c r="D121" s="8"/>
      <c r="E121" s="8"/>
    </row>
    <row r="122" spans="1:5" ht="15" customHeight="1" x14ac:dyDescent="0.35">
      <c r="A122" s="8" t="str">
        <f>IF(מלאי!D124&lt;&gt;"",מלאי!D124,"")</f>
        <v>SRV Short 9</v>
      </c>
      <c r="B122" s="8" t="str">
        <f>IF(מלאי!D124&lt;&gt;"",מלאי!B124&amp;IF(מלאי!C124&lt;&gt;""," ("&amp;מלאי!C124&amp;")",""),"")</f>
        <v>Poncho SRV (Short)</v>
      </c>
      <c r="C122" s="8" t="str">
        <f>IFERROR(INDEX(הגדרות!$S$2:$S$50,MATCH(מלאי!B124,הגדרות!$R$2:$R$50,0)),"")</f>
        <v/>
      </c>
      <c r="D122" s="8"/>
      <c r="E122" s="8"/>
    </row>
    <row r="123" spans="1:5" ht="15" customHeight="1" x14ac:dyDescent="0.35">
      <c r="A123" s="8" t="str">
        <f>IF(מלאי!D125&lt;&gt;"",מלאי!D125,"")</f>
        <v>SRV Short 8</v>
      </c>
      <c r="B123" s="8" t="str">
        <f>IF(מלאי!D125&lt;&gt;"",מלאי!B125&amp;IF(מלאי!C125&lt;&gt;""," ("&amp;מלאי!C125&amp;")",""),"")</f>
        <v>Poncho SRV (Short)</v>
      </c>
      <c r="C123" s="8" t="str">
        <f>IFERROR(INDEX(הגדרות!$S$2:$S$50,MATCH(מלאי!B125,הגדרות!$R$2:$R$50,0)),"")</f>
        <v/>
      </c>
      <c r="D123" s="8"/>
      <c r="E123" s="8"/>
    </row>
    <row r="124" spans="1:5" ht="15" customHeight="1" x14ac:dyDescent="0.35">
      <c r="A124" s="8" t="str">
        <f>IF(מלאי!D126&lt;&gt;"",מלאי!D126,"")</f>
        <v>SRV Short 6</v>
      </c>
      <c r="B124" s="8" t="str">
        <f>IF(מלאי!D126&lt;&gt;"",מלאי!B126&amp;IF(מלאי!C126&lt;&gt;""," ("&amp;מלאי!C126&amp;")",""),"")</f>
        <v>Poncho SRV (Short)</v>
      </c>
      <c r="C124" s="8" t="str">
        <f>IFERROR(INDEX(הגדרות!$S$2:$S$50,MATCH(מלאי!B126,הגדרות!$R$2:$R$50,0)),"")</f>
        <v/>
      </c>
      <c r="D124" s="8"/>
      <c r="E124" s="8"/>
    </row>
    <row r="125" spans="1:5" ht="15" customHeight="1" x14ac:dyDescent="0.35">
      <c r="A125" s="8" t="str">
        <f>IF(מלאי!D127&lt;&gt;"",מלאי!D127,"")</f>
        <v>SRV Short 5</v>
      </c>
      <c r="B125" s="8" t="str">
        <f>IF(מלאי!D127&lt;&gt;"",מלאי!B127&amp;IF(מלאי!C127&lt;&gt;""," ("&amp;מלאי!C127&amp;")",""),"")</f>
        <v>Poncho SRV (Short)</v>
      </c>
      <c r="C125" s="8" t="str">
        <f>IFERROR(INDEX(הגדרות!$S$2:$S$50,MATCH(מלאי!B127,הגדרות!$R$2:$R$50,0)),"")</f>
        <v/>
      </c>
      <c r="D125" s="8"/>
      <c r="E125" s="8"/>
    </row>
    <row r="126" spans="1:5" ht="15" customHeight="1" x14ac:dyDescent="0.35">
      <c r="A126" s="8" t="str">
        <f>IF(מלאי!D128&lt;&gt;"",מלאי!D128,"")</f>
        <v>SRV Short 3</v>
      </c>
      <c r="B126" s="8" t="str">
        <f>IF(מלאי!D128&lt;&gt;"",מלאי!B128&amp;IF(מלאי!C128&lt;&gt;""," ("&amp;מלאי!C128&amp;")",""),"")</f>
        <v>Poncho SRV (Short)</v>
      </c>
      <c r="C126" s="8" t="str">
        <f>IFERROR(INDEX(הגדרות!$S$2:$S$50,MATCH(מלאי!B128,הגדרות!$R$2:$R$50,0)),"")</f>
        <v/>
      </c>
      <c r="D126" s="8"/>
      <c r="E126" s="8"/>
    </row>
    <row r="127" spans="1:5" ht="15" customHeight="1" x14ac:dyDescent="0.35">
      <c r="A127" s="8" t="str">
        <f>IF(מלאי!D129&lt;&gt;"",מלאי!D129,"")</f>
        <v>SRV Short 2</v>
      </c>
      <c r="B127" s="8" t="str">
        <f>IF(מלאי!D129&lt;&gt;"",מלאי!B129&amp;IF(מלאי!C129&lt;&gt;""," ("&amp;מלאי!C129&amp;")",""),"")</f>
        <v>Poncho SRV (Short)</v>
      </c>
      <c r="C127" s="8" t="str">
        <f>IFERROR(INDEX(הגדרות!$S$2:$S$50,MATCH(מלאי!B129,הגדרות!$R$2:$R$50,0)),"")</f>
        <v/>
      </c>
      <c r="D127" s="8"/>
      <c r="E127" s="8"/>
    </row>
    <row r="128" spans="1:5" ht="15" customHeight="1" x14ac:dyDescent="0.35">
      <c r="A128" s="8" t="str">
        <f>IF(מלאי!D130&lt;&gt;"",מלאי!D130,"")</f>
        <v>SRV Short 13</v>
      </c>
      <c r="B128" s="8" t="str">
        <f>IF(מלאי!D130&lt;&gt;"",מלאי!B130&amp;IF(מלאי!C130&lt;&gt;""," ("&amp;מלאי!C130&amp;")",""),"")</f>
        <v>Poncho SRV (Short)</v>
      </c>
      <c r="C128" s="8" t="str">
        <f>IFERROR(INDEX(הגדרות!$S$2:$S$50,MATCH(מלאי!B130,הגדרות!$R$2:$R$50,0)),"")</f>
        <v/>
      </c>
      <c r="D128" s="8"/>
      <c r="E128" s="8"/>
    </row>
    <row r="129" spans="1:5" ht="15" customHeight="1" x14ac:dyDescent="0.35">
      <c r="A129" s="8" t="str">
        <f>IF(מלאי!D133&lt;&gt;"",מלאי!D133,"")</f>
        <v>SRV Short 4</v>
      </c>
      <c r="B129" s="8" t="str">
        <f>IF(מלאי!D133&lt;&gt;"",מלאי!B133&amp;IF(מלאי!C133&lt;&gt;""," ("&amp;מלאי!C133&amp;")",""),"")</f>
        <v>Poncho SRV (Short)</v>
      </c>
      <c r="C129" s="8" t="str">
        <f>IFERROR(INDEX(הגדרות!$S$2:$S$50,MATCH(מלאי!B133,הגדרות!$R$2:$R$50,0)),"")</f>
        <v/>
      </c>
      <c r="D129" s="8"/>
      <c r="E129" s="8"/>
    </row>
    <row r="130" spans="1:5" ht="15" customHeight="1" x14ac:dyDescent="0.35">
      <c r="A130" s="8" t="str">
        <f>IF(מלאי!D134&lt;&gt;"",מלאי!D134,"")</f>
        <v>SRV ב קצר הדגמה</v>
      </c>
      <c r="B130" s="8" t="str">
        <f>IF(מלאי!D134&lt;&gt;"",מלאי!B134&amp;IF(מלאי!C134&lt;&gt;""," ("&amp;מלאי!C134&amp;")",""),"")</f>
        <v>Poncho SRV (Short V2)</v>
      </c>
      <c r="C130" s="8" t="str">
        <f>IFERROR(INDEX(הגדרות!$S$2:$S$50,MATCH(מלאי!B134,הגדרות!$R$2:$R$50,0)),"")</f>
        <v/>
      </c>
      <c r="D130" s="8"/>
      <c r="E130" s="8"/>
    </row>
    <row r="131" spans="1:5" ht="15" customHeight="1" x14ac:dyDescent="0.35">
      <c r="A131" s="8" t="str">
        <f>IF(מלאי!D135&lt;&gt;"",מלאי!D135,"")</f>
        <v>SRV Short B7</v>
      </c>
      <c r="B131" s="8" t="str">
        <f>IF(מלאי!D135&lt;&gt;"",מלאי!B135&amp;IF(מלאי!C135&lt;&gt;""," ("&amp;מלאי!C135&amp;")",""),"")</f>
        <v>Poncho SRV (Short V2)</v>
      </c>
      <c r="C131" s="8" t="str">
        <f>IFERROR(INDEX(הגדרות!$S$2:$S$50,MATCH(מלאי!B135,הגדרות!$R$2:$R$50,0)),"")</f>
        <v/>
      </c>
      <c r="D131" s="8"/>
      <c r="E131" s="8"/>
    </row>
    <row r="132" spans="1:5" ht="15" customHeight="1" x14ac:dyDescent="0.35">
      <c r="A132" s="8" t="str">
        <f>IF(מלאי!D136&lt;&gt;"",מלאי!D136,"")</f>
        <v xml:space="preserve">פונצ'ו הישרדות משולב (רשת) </v>
      </c>
      <c r="B132" s="8" t="str">
        <f>IF(מלאי!D136&lt;&gt;"",מלאי!B136&amp;IF(מלאי!C136&lt;&gt;""," ("&amp;מלאי!C136&amp;")",""),"")</f>
        <v>Poncho SRV (V1)</v>
      </c>
      <c r="C132" s="8" t="str">
        <f>IFERROR(INDEX(הגדרות!$S$2:$S$50,MATCH(מלאי!B136,הגדרות!$R$2:$R$50,0)),"")</f>
        <v/>
      </c>
      <c r="D132" s="8"/>
      <c r="E132" s="8"/>
    </row>
    <row r="133" spans="1:5" ht="15" customHeight="1" x14ac:dyDescent="0.35">
      <c r="A133" s="8" t="str">
        <f>IF(מלאי!D137&lt;&gt;"",מלאי!D137,"")</f>
        <v>UNI 041</v>
      </c>
      <c r="B133" s="8" t="str">
        <f>IF(מלאי!D137&lt;&gt;"",מלאי!B137&amp;IF(מלאי!C137&lt;&gt;""," ("&amp;מלאי!C137&amp;")",""),"")</f>
        <v>Shirt (Maritime)</v>
      </c>
      <c r="C133" s="8" t="str">
        <f>IFERROR(INDEX(הגדרות!$S$2:$S$50,MATCH(מלאי!B137,הגדרות!$R$2:$R$50,0)),"")</f>
        <v/>
      </c>
      <c r="D133" s="8"/>
      <c r="E133" s="8"/>
    </row>
    <row r="134" spans="1:5" ht="15" customHeight="1" x14ac:dyDescent="0.35">
      <c r="A134" s="8" t="str">
        <f>IF(מלאי!D139&lt;&gt;"",מלאי!D139,"")</f>
        <v>חולצה מלאי 1</v>
      </c>
      <c r="B134" s="8" t="str">
        <f>IF(מלאי!D139&lt;&gt;"",מלאי!B139&amp;IF(מלאי!C139&lt;&gt;""," ("&amp;מלאי!C139&amp;")",""),"")</f>
        <v>Shirt (Maritime)</v>
      </c>
      <c r="C134" s="8" t="str">
        <f>IFERROR(INDEX(הגדרות!$S$2:$S$50,MATCH(מלאי!B139,הגדרות!$R$2:$R$50,0)),"")</f>
        <v/>
      </c>
      <c r="D134" s="8"/>
      <c r="E134" s="8"/>
    </row>
    <row r="135" spans="1:5" ht="15" customHeight="1" x14ac:dyDescent="0.35">
      <c r="A135" s="8" t="str">
        <f>IF(מלאי!D140&lt;&gt;"",מלאי!D140,"")</f>
        <v>UNI 027</v>
      </c>
      <c r="B135" s="8" t="str">
        <f>IF(מלאי!D140&lt;&gt;"",מלאי!B140&amp;IF(מלאי!C140&lt;&gt;""," ("&amp;מלאי!C140&amp;")",""),"")</f>
        <v>Shirt (Maritime)</v>
      </c>
      <c r="C135" s="8" t="str">
        <f>IFERROR(INDEX(הגדרות!$S$2:$S$50,MATCH(מלאי!B140,הגדרות!$R$2:$R$50,0)),"")</f>
        <v/>
      </c>
      <c r="D135" s="8"/>
      <c r="E135" s="8"/>
    </row>
    <row r="136" spans="1:5" ht="15" customHeight="1" x14ac:dyDescent="0.35">
      <c r="A136" s="8" t="e">
        <f>IF(מלאי!#REF!&lt;&gt;"",מלאי!#REF!,"")</f>
        <v>#REF!</v>
      </c>
      <c r="B136" s="8" t="e">
        <f>IF(מלאי!#REF!&lt;&gt;"",מלאי!#REF!&amp;IF(מלאי!#REF!&lt;&gt;""," ("&amp;מלאי!#REF!&amp;")",""),"")</f>
        <v>#REF!</v>
      </c>
      <c r="C136" s="8" t="str">
        <f>IFERROR(INDEX(הגדרות!$S$2:$S$50,MATCH(מלאי!#REF!,הגדרות!$R$2:$R$50,0)),"")</f>
        <v/>
      </c>
      <c r="D136" s="8"/>
      <c r="E136" s="8"/>
    </row>
    <row r="137" spans="1:5" ht="15" customHeight="1" x14ac:dyDescent="0.35">
      <c r="A137" s="8" t="e">
        <f>IF(מלאי!#REF!&lt;&gt;"",מלאי!#REF!,"")</f>
        <v>#REF!</v>
      </c>
      <c r="B137" s="8" t="e">
        <f>IF(מלאי!#REF!&lt;&gt;"",מלאי!#REF!&amp;IF(מלאי!#REF!&lt;&gt;""," ("&amp;מלאי!#REF!&amp;")",""),"")</f>
        <v>#REF!</v>
      </c>
      <c r="C137" s="8" t="str">
        <f>IFERROR(INDEX(הגדרות!$S$2:$S$50,MATCH(מלאי!#REF!,הגדרות!$R$2:$R$50,0)),"")</f>
        <v/>
      </c>
      <c r="D137" s="8"/>
      <c r="E137" s="8"/>
    </row>
    <row r="138" spans="1:5" ht="15" customHeight="1" x14ac:dyDescent="0.35">
      <c r="A138" s="8" t="e">
        <f>IF(מלאי!#REF!&lt;&gt;"",מלאי!#REF!,"")</f>
        <v>#REF!</v>
      </c>
      <c r="B138" s="8" t="e">
        <f>IF(מלאי!#REF!&lt;&gt;"",מלאי!#REF!&amp;IF(מלאי!#REF!&lt;&gt;""," ("&amp;מלאי!#REF!&amp;")",""),"")</f>
        <v>#REF!</v>
      </c>
      <c r="C138" s="8" t="str">
        <f>IFERROR(INDEX(הגדרות!$S$2:$S$50,MATCH(מלאי!#REF!,הגדרות!$R$2:$R$50,0)),"")</f>
        <v/>
      </c>
      <c r="D138" s="8"/>
      <c r="E138" s="8"/>
    </row>
    <row r="139" spans="1:5" ht="15" customHeight="1" x14ac:dyDescent="0.35">
      <c r="A139" s="8" t="str">
        <f>IF(מלאי!D141&lt;&gt;"",מלאי!D141,"")</f>
        <v>חליפת צלף הדגמה</v>
      </c>
      <c r="B139" s="8" t="str">
        <f>IF(מלאי!D141&lt;&gt;"",מלאי!B141&amp;IF(מלאי!C141&lt;&gt;""," ("&amp;מלאי!C141&amp;")",""),"")</f>
        <v>Sniper Assault (V1)</v>
      </c>
      <c r="C139" s="8" t="str">
        <f>IFERROR(INDEX(הגדרות!$S$2:$S$50,MATCH(מלאי!B141,הגדרות!$R$2:$R$50,0)),"")</f>
        <v/>
      </c>
      <c r="D139" s="8"/>
      <c r="E139" s="8"/>
    </row>
    <row r="140" spans="1:5" ht="15" customHeight="1" x14ac:dyDescent="0.35">
      <c r="A140" s="8" t="str">
        <f>IF(מלאי!D142&lt;&gt;"",מלאי!D142,"")</f>
        <v>חליפת צלף תצוגה</v>
      </c>
      <c r="B140" s="8" t="str">
        <f>IF(מלאי!D142&lt;&gt;"",מלאי!B142&amp;IF(מלאי!C142&lt;&gt;""," ("&amp;מלאי!C142&amp;")",""),"")</f>
        <v>Sniper Assault (V1)</v>
      </c>
      <c r="C140" s="8" t="str">
        <f>IFERROR(INDEX(הגדרות!$S$2:$S$50,MATCH(מלאי!B142,הגדרות!$R$2:$R$50,0)),"")</f>
        <v/>
      </c>
      <c r="D140" s="8"/>
      <c r="E140" s="8"/>
    </row>
    <row r="141" spans="1:5" ht="15" customHeight="1" x14ac:dyDescent="0.35">
      <c r="A141" s="8" t="str">
        <f>IF(מלאי!D143&lt;&gt;"",מלאי!D143,"")</f>
        <v>SRV Blanket 1</v>
      </c>
      <c r="B141" s="8" t="str">
        <f>IF(מלאי!D143&lt;&gt;"",מלאי!B143&amp;IF(מלאי!C143&lt;&gt;""," ("&amp;מלאי!C143&amp;")",""),"")</f>
        <v>Survival Blanket (V1)</v>
      </c>
      <c r="C141" s="8" t="str">
        <f>IFERROR(INDEX(הגדרות!$S$2:$S$50,MATCH(מלאי!B143,הגדרות!$R$2:$R$50,0)),"")</f>
        <v/>
      </c>
      <c r="D141" s="8"/>
      <c r="E141" s="8"/>
    </row>
    <row r="142" spans="1:5" ht="15" customHeight="1" x14ac:dyDescent="0.35">
      <c r="A142" s="8" t="str">
        <f>IF(מלאי!D144&lt;&gt;"",מלאי!D144,"")</f>
        <v>SRV Blanket 3</v>
      </c>
      <c r="B142" s="8" t="str">
        <f>IF(מלאי!D144&lt;&gt;"",מלאי!B144&amp;IF(מלאי!C144&lt;&gt;""," ("&amp;מלאי!C144&amp;")",""),"")</f>
        <v>Survival Blanket (V1)</v>
      </c>
      <c r="C142" s="8" t="str">
        <f>IFERROR(INDEX(הגדרות!$S$2:$S$50,MATCH(מלאי!B144,הגדרות!$R$2:$R$50,0)),"")</f>
        <v/>
      </c>
      <c r="D142" s="8"/>
      <c r="E142" s="8"/>
    </row>
    <row r="143" spans="1:5" ht="15" customHeight="1" x14ac:dyDescent="0.35">
      <c r="A143" s="8" t="str">
        <f>IF(מלאי!D145&lt;&gt;"",מלאי!D145,"")</f>
        <v>SRV Blanket 4</v>
      </c>
      <c r="B143" s="8" t="str">
        <f>IF(מלאי!D145&lt;&gt;"",מלאי!B145&amp;IF(מלאי!C145&lt;&gt;""," ("&amp;מלאי!C145&amp;")",""),"")</f>
        <v>Survival Blanket (V1)</v>
      </c>
      <c r="C143" s="8" t="str">
        <f>IFERROR(INDEX(הגדרות!$S$2:$S$50,MATCH(מלאי!B145,הגדרות!$R$2:$R$50,0)),"")</f>
        <v/>
      </c>
      <c r="D143" s="8"/>
      <c r="E143" s="8"/>
    </row>
    <row r="144" spans="1:5" ht="15" customHeight="1" x14ac:dyDescent="0.35">
      <c r="A144" s="8" t="str">
        <f>IF(מלאי!D146&lt;&gt;"",מלאי!D146,"")</f>
        <v>SRV Blanket 2</v>
      </c>
      <c r="B144" s="8" t="e">
        <f>IF(מלאי!D146&lt;&gt;"",מלאי!#REF!&amp;IF(מלאי!C146&lt;&gt;""," ("&amp;מלאי!C146&amp;")",""),"")</f>
        <v>#REF!</v>
      </c>
      <c r="C144" s="8" t="str">
        <f>IFERROR(INDEX(הגדרות!$S$2:$S$50,MATCH(מלאי!#REF!,הגדרות!$R$2:$R$50,0)),"")</f>
        <v/>
      </c>
      <c r="D144" s="8"/>
      <c r="E144" s="8"/>
    </row>
    <row r="145" spans="1:5" ht="15" customHeight="1" x14ac:dyDescent="0.35">
      <c r="A145" s="8" t="e">
        <f>IF(מלאי!#REF!&lt;&gt;"",מלאי!#REF!,"")</f>
        <v>#REF!</v>
      </c>
      <c r="B145" s="8" t="e">
        <f>IF(מלאי!#REF!&lt;&gt;"",מלאי!B146&amp;IF(מלאי!#REF!&lt;&gt;""," ("&amp;מלאי!#REF!&amp;")",""),"")</f>
        <v>#REF!</v>
      </c>
      <c r="C145" s="8" t="str">
        <f>IFERROR(INDEX(הגדרות!$S$2:$S$50,MATCH(מלאי!B146,הגדרות!$R$2:$R$50,0)),"")</f>
        <v/>
      </c>
      <c r="D145" s="8"/>
      <c r="E145" s="8"/>
    </row>
    <row r="146" spans="1:5" ht="15" customHeight="1" x14ac:dyDescent="0.35">
      <c r="A146" s="8" t="str">
        <f>IF(מלאי!D147&lt;&gt;"",מלאי!D147,"")</f>
        <v>SRV Blanket 6</v>
      </c>
      <c r="B146" s="8" t="str">
        <f>IF(מלאי!D147&lt;&gt;"",מלאי!B147&amp;IF(מלאי!C147&lt;&gt;""," ("&amp;מלאי!C147&amp;")",""),"")</f>
        <v>Survival Blanket (V1)</v>
      </c>
      <c r="C146" s="8" t="str">
        <f>IFERROR(INDEX(הגדרות!$S$2:$S$50,MATCH(מלאי!B147,הגדרות!$R$2:$R$50,0)),"")</f>
        <v/>
      </c>
      <c r="D146" s="8"/>
      <c r="E146" s="8"/>
    </row>
    <row r="147" spans="1:5" ht="15" customHeight="1" x14ac:dyDescent="0.35">
      <c r="A147" s="8" t="e">
        <f>IF(מלאי!#REF!&lt;&gt;"",מלאי!#REF!,"")</f>
        <v>#REF!</v>
      </c>
      <c r="B147" s="8" t="e">
        <f>IF(מלאי!#REF!&lt;&gt;"",מלאי!#REF!&amp;IF(מלאי!#REF!&lt;&gt;""," ("&amp;מלאי!#REF!&amp;")",""),"")</f>
        <v>#REF!</v>
      </c>
      <c r="C147" s="8" t="str">
        <f>IFERROR(INDEX(הגדרות!$S$2:$S$50,MATCH(מלאי!#REF!,הגדרות!$R$2:$R$50,0)),"")</f>
        <v/>
      </c>
      <c r="D147" s="8"/>
      <c r="E147" s="8"/>
    </row>
    <row r="148" spans="1:5" ht="15" customHeight="1" x14ac:dyDescent="0.35">
      <c r="A148" s="8" t="str">
        <f>IF(מלאי!D148&lt;&gt;"",מלאי!D148,"")</f>
        <v>יריעת הישרדות קרוע 5</v>
      </c>
      <c r="B148" s="8" t="str">
        <f>IF(מלאי!D148&lt;&gt;"",מלאי!B148&amp;IF(מלאי!C148&lt;&gt;""," ("&amp;מלאי!C148&amp;")",""),"")</f>
        <v>Survival Blanket (V1)</v>
      </c>
      <c r="C148" s="8" t="str">
        <f>IFERROR(INDEX(הגדרות!$S$2:$S$50,MATCH(מלאי!B148,הגדרות!$R$2:$R$50,0)),"")</f>
        <v/>
      </c>
      <c r="D148" s="8"/>
      <c r="E148" s="8"/>
    </row>
    <row r="149" spans="1:5" ht="15" customHeight="1" x14ac:dyDescent="0.35">
      <c r="A149" s="8" t="str">
        <f>IF(מלאי!D149&lt;&gt;"",מלאי!D149,"")</f>
        <v>SRV Blanket 10</v>
      </c>
      <c r="B149" s="8" t="str">
        <f>IF(מלאי!D149&lt;&gt;"",מלאי!B149&amp;IF(מלאי!C149&lt;&gt;""," ("&amp;מלאי!C149&amp;")",""),"")</f>
        <v>Survival Blanket (V1)</v>
      </c>
      <c r="C149" s="8" t="str">
        <f>IFERROR(INDEX(הגדרות!$S$2:$S$50,MATCH(מלאי!B149,הגדרות!$R$2:$R$50,0)),"")</f>
        <v/>
      </c>
      <c r="D149" s="8"/>
      <c r="E149" s="8"/>
    </row>
    <row r="150" spans="1:5" ht="15" customHeight="1" x14ac:dyDescent="0.35">
      <c r="A150" s="8" t="str">
        <f>IF(מלאי!D150&lt;&gt;"",מלאי!D150,"")</f>
        <v>SRV Blanket 11</v>
      </c>
      <c r="B150" s="8" t="str">
        <f>IF(מלאי!D150&lt;&gt;"",מלאי!B150&amp;IF(מלאי!C150&lt;&gt;""," ("&amp;מלאי!C150&amp;")",""),"")</f>
        <v>Survival Blanket (V1)</v>
      </c>
      <c r="C150" s="8" t="str">
        <f>IFERROR(INDEX(הגדרות!$S$2:$S$50,MATCH(מלאי!B150,הגדרות!$R$2:$R$50,0)),"")</f>
        <v/>
      </c>
      <c r="D150" s="8"/>
      <c r="E150" s="8"/>
    </row>
    <row r="151" spans="1:5" ht="15" customHeight="1" x14ac:dyDescent="0.35">
      <c r="A151" s="8" t="str">
        <f>IF(מלאי!D151&lt;&gt;"",מלאי!D151,"")</f>
        <v>SRV Blanket 12</v>
      </c>
      <c r="B151" s="8" t="str">
        <f>IF(מלאי!D151&lt;&gt;"",מלאי!B151&amp;IF(מלאי!C151&lt;&gt;""," ("&amp;מלאי!C151&amp;")",""),"")</f>
        <v>Survival Blanket (V1)</v>
      </c>
      <c r="C151" s="8" t="str">
        <f>IFERROR(INDEX(הגדרות!$S$2:$S$50,MATCH(מלאי!B151,הגדרות!$R$2:$R$50,0)),"")</f>
        <v/>
      </c>
      <c r="D151" s="8"/>
      <c r="E151" s="8"/>
    </row>
    <row r="152" spans="1:5" ht="15" customHeight="1" x14ac:dyDescent="0.35">
      <c r="A152" s="8" t="str">
        <f>IF(מלאי!D152&lt;&gt;"",מלאי!D152,"")</f>
        <v>SRV Blanket 13</v>
      </c>
      <c r="B152" s="8" t="str">
        <f>IF(מלאי!D152&lt;&gt;"",מלאי!B152&amp;IF(מלאי!C152&lt;&gt;""," ("&amp;מלאי!C152&amp;")",""),"")</f>
        <v>Survival Blanket (V1)</v>
      </c>
      <c r="C152" s="8" t="str">
        <f>IFERROR(INDEX(הגדרות!$S$2:$S$50,MATCH(מלאי!B152,הגדרות!$R$2:$R$50,0)),"")</f>
        <v/>
      </c>
      <c r="D152" s="8"/>
      <c r="E152" s="8"/>
    </row>
    <row r="153" spans="1:5" ht="15" customHeight="1" x14ac:dyDescent="0.35">
      <c r="A153" s="8" t="str">
        <f>IF(מלאי!D153&lt;&gt;"",מלאי!D153,"")</f>
        <v>SRV Blanket 14</v>
      </c>
      <c r="B153" s="8" t="str">
        <f>IF(מלאי!D153&lt;&gt;"",מלאי!B153&amp;IF(מלאי!C153&lt;&gt;""," ("&amp;מלאי!C153&amp;")",""),"")</f>
        <v>Survival Blanket (V1)</v>
      </c>
      <c r="C153" s="8" t="str">
        <f>IFERROR(INDEX(הגדרות!$S$2:$S$50,MATCH(מלאי!B153,הגדרות!$R$2:$R$50,0)),"")</f>
        <v/>
      </c>
      <c r="D153" s="8"/>
      <c r="E153" s="8"/>
    </row>
    <row r="154" spans="1:5" ht="15" customHeight="1" x14ac:dyDescent="0.35">
      <c r="A154" s="8" t="str">
        <f>IF(מלאי!D154&lt;&gt;"",מלאי!D154,"")</f>
        <v>SRV Blanket 15</v>
      </c>
      <c r="B154" s="8" t="str">
        <f>IF(מלאי!D154&lt;&gt;"",מלאי!B154&amp;IF(מלאי!C154&lt;&gt;""," ("&amp;מלאי!C154&amp;")",""),"")</f>
        <v>Survival Blanket (V1)</v>
      </c>
      <c r="C154" s="8" t="str">
        <f>IFERROR(INDEX(הגדרות!$S$2:$S$50,MATCH(מלאי!B154,הגדרות!$R$2:$R$50,0)),"")</f>
        <v/>
      </c>
      <c r="D154" s="8"/>
      <c r="E154" s="8"/>
    </row>
    <row r="155" spans="1:5" ht="15" customHeight="1" x14ac:dyDescent="0.35">
      <c r="A155" s="8" t="str">
        <f>IF(מלאי!D155&lt;&gt;"",מלאי!D155,"")</f>
        <v>SRV Blanket 16</v>
      </c>
      <c r="B155" s="8" t="str">
        <f>IF(מלאי!D155&lt;&gt;"",מלאי!B155&amp;IF(מלאי!C155&lt;&gt;""," ("&amp;מלאי!C155&amp;")",""),"")</f>
        <v>Survival Blanket (V1)</v>
      </c>
      <c r="C155" s="8" t="str">
        <f>IFERROR(INDEX(הגדרות!$S$2:$S$50,MATCH(מלאי!B155,הגדרות!$R$2:$R$50,0)),"")</f>
        <v/>
      </c>
      <c r="D155" s="8"/>
      <c r="E155" s="8"/>
    </row>
    <row r="156" spans="1:5" ht="15" customHeight="1" x14ac:dyDescent="0.35">
      <c r="A156" s="8" t="str">
        <f>IF(מלאי!D156&lt;&gt;"",מלאי!D156,"")</f>
        <v>SRV Blanket 17</v>
      </c>
      <c r="B156" s="8" t="str">
        <f>IF(מלאי!D156&lt;&gt;"",מלאי!B156&amp;IF(מלאי!C156&lt;&gt;""," ("&amp;מלאי!C156&amp;")",""),"")</f>
        <v>Survival Blanket (V1)</v>
      </c>
      <c r="C156" s="8" t="str">
        <f>IFERROR(INDEX(הגדרות!$S$2:$S$50,MATCH(מלאי!B156,הגדרות!$R$2:$R$50,0)),"")</f>
        <v/>
      </c>
      <c r="D156" s="8"/>
      <c r="E156" s="8"/>
    </row>
    <row r="157" spans="1:5" ht="15" customHeight="1" x14ac:dyDescent="0.35">
      <c r="A157" s="8" t="str">
        <f>IF(מלאי!D157&lt;&gt;"",מלאי!D157,"")</f>
        <v>SRV Blanket 18</v>
      </c>
      <c r="B157" s="8" t="str">
        <f>IF(מלאי!D157&lt;&gt;"",מלאי!B157&amp;IF(מלאי!C157&lt;&gt;""," ("&amp;מלאי!C157&amp;")",""),"")</f>
        <v>Survival Blanket (V1)</v>
      </c>
      <c r="C157" s="8" t="str">
        <f>IFERROR(INDEX(הגדרות!$S$2:$S$50,MATCH(מלאי!B157,הגדרות!$R$2:$R$50,0)),"")</f>
        <v/>
      </c>
      <c r="D157" s="8"/>
      <c r="E157" s="8"/>
    </row>
    <row r="158" spans="1:5" ht="15" customHeight="1" x14ac:dyDescent="0.35">
      <c r="A158" s="8" t="str">
        <f>IF(מלאי!D158&lt;&gt;"",מלאי!D158,"")</f>
        <v>SRV Blanket 19</v>
      </c>
      <c r="B158" s="8" t="str">
        <f>IF(מלאי!D158&lt;&gt;"",מלאי!B158&amp;IF(מלאי!C158&lt;&gt;""," ("&amp;מלאי!C158&amp;")",""),"")</f>
        <v>Survival Blanket (V1)</v>
      </c>
      <c r="C158" s="8" t="str">
        <f>IFERROR(INDEX(הגדרות!$S$2:$S$50,MATCH(מלאי!B158,הגדרות!$R$2:$R$50,0)),"")</f>
        <v/>
      </c>
      <c r="D158" s="8"/>
      <c r="E158" s="8"/>
    </row>
    <row r="159" spans="1:5" ht="15" customHeight="1" x14ac:dyDescent="0.35">
      <c r="A159" s="8" t="str">
        <f>IF(מלאי!D159&lt;&gt;"",מלאי!D159,"")</f>
        <v>SRV Blanket 20</v>
      </c>
      <c r="B159" s="8" t="str">
        <f>IF(מלאי!D159&lt;&gt;"",מלאי!B159&amp;IF(מלאי!C159&lt;&gt;""," ("&amp;מלאי!C159&amp;")",""),"")</f>
        <v>Survival Blanket (V1)</v>
      </c>
      <c r="C159" s="8" t="str">
        <f>IFERROR(INDEX(הגדרות!$S$2:$S$50,MATCH(מלאי!B159,הגדרות!$R$2:$R$50,0)),"")</f>
        <v/>
      </c>
      <c r="D159" s="8"/>
      <c r="E159" s="8"/>
    </row>
    <row r="160" spans="1:5" ht="15" customHeight="1" x14ac:dyDescent="0.35">
      <c r="A160" s="8" t="str">
        <f>IF(מלאי!D160&lt;&gt;"",מלאי!D160,"")</f>
        <v>SRV Blanket 21</v>
      </c>
      <c r="B160" s="8" t="str">
        <f>IF(מלאי!D160&lt;&gt;"",מלאי!B160&amp;IF(מלאי!C160&lt;&gt;""," ("&amp;מלאי!C160&amp;")",""),"")</f>
        <v>Survival Blanket (V1)</v>
      </c>
      <c r="C160" s="8" t="str">
        <f>IFERROR(INDEX(הגדרות!$S$2:$S$50,MATCH(מלאי!B160,הגדרות!$R$2:$R$50,0)),"")</f>
        <v/>
      </c>
      <c r="D160" s="8"/>
      <c r="E160" s="8"/>
    </row>
    <row r="161" spans="1:5" ht="15" customHeight="1" x14ac:dyDescent="0.35">
      <c r="A161" s="8" t="str">
        <f>IF(מלאי!D161&lt;&gt;"",מלאי!D161,"")</f>
        <v>SRV Blanket 23</v>
      </c>
      <c r="B161" s="8" t="str">
        <f>IF(מלאי!D161&lt;&gt;"",מלאי!B161&amp;IF(מלאי!C161&lt;&gt;""," ("&amp;מלאי!C161&amp;")",""),"")</f>
        <v>Survival Blanket (V1)</v>
      </c>
      <c r="C161" s="8" t="str">
        <f>IFERROR(INDEX(הגדרות!$S$2:$S$50,MATCH(מלאי!B161,הגדרות!$R$2:$R$50,0)),"")</f>
        <v/>
      </c>
      <c r="D161" s="8"/>
      <c r="E161" s="8"/>
    </row>
    <row r="162" spans="1:5" ht="15" customHeight="1" x14ac:dyDescent="0.35">
      <c r="A162" s="8" t="str">
        <f>IF(מלאי!D162&lt;&gt;"",מלאי!D162,"")</f>
        <v>יריעה 9  - בואקום</v>
      </c>
      <c r="B162" s="8" t="str">
        <f>IF(מלאי!D162&lt;&gt;"",מלאי!B162&amp;IF(מלאי!C162&lt;&gt;""," ("&amp;מלאי!C162&amp;")",""),"")</f>
        <v>Survival Blanket (V1)</v>
      </c>
      <c r="C162" s="8" t="str">
        <f>IFERROR(INDEX(הגדרות!$S$2:$S$50,MATCH(מלאי!B162,הגדרות!$R$2:$R$50,0)),"")</f>
        <v/>
      </c>
      <c r="D162" s="8"/>
      <c r="E162" s="8"/>
    </row>
    <row r="163" spans="1:5" ht="15" customHeight="1" x14ac:dyDescent="0.35">
      <c r="A163" s="8" t="str">
        <f>IF(מלאי!D163&lt;&gt;"",מלאי!D163,"")</f>
        <v>SRV Blanket 22</v>
      </c>
      <c r="B163" s="8" t="str">
        <f>IF(מלאי!D163&lt;&gt;"",מלאי!B163&amp;IF(מלאי!C163&lt;&gt;""," ("&amp;מלאי!C163&amp;")",""),"")</f>
        <v>Survival Blanket (V1)</v>
      </c>
      <c r="C163" s="8" t="str">
        <f>IFERROR(INDEX(הגדרות!$S$2:$S$50,MATCH(מלאי!B163,הגדרות!$R$2:$R$50,0)),"")</f>
        <v/>
      </c>
      <c r="D163" s="8"/>
      <c r="E163" s="8"/>
    </row>
    <row r="164" spans="1:5" ht="15" customHeight="1" x14ac:dyDescent="0.35">
      <c r="A164" s="8" t="str">
        <f>IF(מלאי!D164&lt;&gt;"",מלאי!D164,"")</f>
        <v>SRV Blanket 7</v>
      </c>
      <c r="B164" s="8" t="str">
        <f>IF(מלאי!D164&lt;&gt;"",מלאי!B164&amp;IF(מלאי!C164&lt;&gt;""," ("&amp;מלאי!C164&amp;")",""),"")</f>
        <v>Survival Blanket (V1)</v>
      </c>
      <c r="C164" s="8" t="str">
        <f>IFERROR(INDEX(הגדרות!$S$2:$S$50,MATCH(מלאי!B164,הגדרות!$R$2:$R$50,0)),"")</f>
        <v/>
      </c>
      <c r="D164" s="8"/>
      <c r="E164" s="8"/>
    </row>
    <row r="165" spans="1:5" ht="15" customHeight="1" x14ac:dyDescent="0.35">
      <c r="A165" s="8" t="str">
        <f>IF(מלאי!D165&lt;&gt;"",מלאי!D165,"")</f>
        <v>SRV Blanket 8</v>
      </c>
      <c r="B165" s="8" t="str">
        <f>IF(מלאי!D165&lt;&gt;"",מלאי!B165&amp;IF(מלאי!C165&lt;&gt;""," ("&amp;מלאי!C165&amp;")",""),"")</f>
        <v>Survival Blanket (V1)</v>
      </c>
      <c r="C165" s="8" t="str">
        <f>IFERROR(INDEX(הגדרות!$S$2:$S$50,MATCH(מלאי!B165,הגדרות!$R$2:$R$50,0)),"")</f>
        <v/>
      </c>
      <c r="D165" s="8"/>
      <c r="E165" s="8"/>
    </row>
    <row r="166" spans="1:5" ht="15" customHeight="1" x14ac:dyDescent="0.35">
      <c r="A166" s="8" t="str">
        <f>IF(מלאי!D166&lt;&gt;"",מלאי!D166,"")</f>
        <v xml:space="preserve">יריעת הישרדות מאכ 23 </v>
      </c>
      <c r="B166" s="8" t="str">
        <f>IF(מלאי!D166&lt;&gt;"",מלאי!B166&amp;IF(מלאי!C166&lt;&gt;""," ("&amp;מלאי!C166&amp;")",""),"")</f>
        <v>Survival Blanket (V1)</v>
      </c>
      <c r="C166" s="8" t="str">
        <f>IFERROR(INDEX(הגדרות!$S$2:$S$50,MATCH(מלאי!B166,הגדרות!$R$2:$R$50,0)),"")</f>
        <v/>
      </c>
      <c r="D166" s="8"/>
      <c r="E166" s="8"/>
    </row>
    <row r="167" spans="1:5" ht="15" customHeight="1" x14ac:dyDescent="0.35">
      <c r="A167" s="8" t="str">
        <f>IF(מלאי!D167&lt;&gt;"",מלאי!D167,"")</f>
        <v>SWAT הדגמה</v>
      </c>
      <c r="B167" s="8" t="str">
        <f>IF(מלאי!D167&lt;&gt;"",מלאי!B167&amp;IF(מלאי!C167&lt;&gt;""," ("&amp;מלאי!C167&amp;")",""),"")</f>
        <v>SWAT 3-Part SUIT (V1)</v>
      </c>
      <c r="C167" s="8" t="str">
        <f>IFERROR(INDEX(הגדרות!$S$2:$S$50,MATCH(מלאי!B167,הגדרות!$R$2:$R$50,0)),"")</f>
        <v/>
      </c>
      <c r="D167" s="8"/>
      <c r="E167" s="8"/>
    </row>
    <row r="168" spans="1:5" ht="15" customHeight="1" x14ac:dyDescent="0.35">
      <c r="A168" s="8" t="str">
        <f>IF(מלאי!D168&lt;&gt;"",מלאי!D168,"")</f>
        <v>SWAT תצוגה</v>
      </c>
      <c r="B168" s="8" t="str">
        <f>IF(מלאי!D168&lt;&gt;"",מלאי!B168&amp;IF(מלאי!C168&lt;&gt;""," ("&amp;מלאי!C168&amp;")",""),"")</f>
        <v>SWAT 3-Part SUIT (V1)</v>
      </c>
      <c r="C168" s="8" t="str">
        <f>IFERROR(INDEX(הגדרות!$S$2:$S$50,MATCH(מלאי!B168,הגדרות!$R$2:$R$50,0)),"")</f>
        <v/>
      </c>
      <c r="D168" s="8"/>
      <c r="E168" s="8"/>
    </row>
    <row r="169" spans="1:5" ht="15" customHeight="1" x14ac:dyDescent="0.35">
      <c r="A169" s="8" t="str">
        <f>IF(מלאי!D169&lt;&gt;"",מלאי!D169,"")</f>
        <v>Vehicle HS 2- 12*12</v>
      </c>
      <c r="B169" s="8" t="str">
        <f>IF(מלאי!D169&lt;&gt;"",מלאי!B169&amp;IF(מלאי!C169&lt;&gt;""," ("&amp;מלאי!C169&amp;")",""),"")</f>
        <v>Vehicle hide site 9*12</v>
      </c>
      <c r="C169" s="8" t="str">
        <f>IFERROR(INDEX(הגדרות!$S$2:$S$50,MATCH(מלאי!B169,הגדרות!$R$2:$R$50,0)),"")</f>
        <v/>
      </c>
      <c r="D169" s="8"/>
      <c r="E169" s="8"/>
    </row>
    <row r="170" spans="1:5" ht="15" customHeight="1" x14ac:dyDescent="0.35">
      <c r="A170" s="8" t="str">
        <f>IF(מלאי!D170&lt;&gt;"",מלאי!D170,"")</f>
        <v>Vehicle HS 3- 9*12</v>
      </c>
      <c r="B170" s="8" t="str">
        <f>IF(מלאי!D170&lt;&gt;"",מלאי!B170&amp;IF(מלאי!C170&lt;&gt;""," ("&amp;מלאי!C170&amp;")",""),"")</f>
        <v>Vehicle hide site 9*12</v>
      </c>
      <c r="C170" s="8" t="str">
        <f>IFERROR(INDEX(הגדרות!$S$2:$S$50,MATCH(מלאי!B170,הגדרות!$R$2:$R$50,0)),"")</f>
        <v/>
      </c>
      <c r="D170" s="8"/>
      <c r="E170" s="8"/>
    </row>
    <row r="171" spans="1:5" ht="15" customHeight="1" x14ac:dyDescent="0.35">
      <c r="A171" s="8" t="str">
        <f>IF(מלאי!D171&lt;&gt;"",מלאי!D171,"")</f>
        <v>Vehicle HS 4- 9*12</v>
      </c>
      <c r="B171" s="8" t="str">
        <f>IF(מלאי!D171&lt;&gt;"",מלאי!B171&amp;IF(מלאי!C171&lt;&gt;""," ("&amp;מלאי!C171&amp;")",""),"")</f>
        <v>Vehicle hide site 9*12</v>
      </c>
      <c r="C171" s="8" t="str">
        <f>IFERROR(INDEX(הגדרות!$S$2:$S$50,MATCH(מלאי!B171,הגדרות!$R$2:$R$50,0)),"")</f>
        <v/>
      </c>
      <c r="D171" s="8"/>
      <c r="E171" s="8"/>
    </row>
    <row r="172" spans="1:5" ht="15" customHeight="1" x14ac:dyDescent="0.35">
      <c r="A172" s="8" t="str">
        <f>IF(מלאי!D172&lt;&gt;"",מלאי!D172,"")</f>
        <v>Vehicle HS 7- 9*12</v>
      </c>
      <c r="B172" s="8" t="str">
        <f>IF(מלאי!D172&lt;&gt;"",מלאי!B172&amp;IF(מלאי!C172&lt;&gt;""," ("&amp;מלאי!C172&amp;")",""),"")</f>
        <v>Vehicle hide site 9*12 (v1)</v>
      </c>
      <c r="C172" s="8" t="str">
        <f>IFERROR(INDEX(הגדרות!$S$2:$S$50,MATCH(מלאי!B172,הגדרות!$R$2:$R$50,0)),"")</f>
        <v/>
      </c>
      <c r="D172" s="8"/>
      <c r="E172" s="8"/>
    </row>
    <row r="173" spans="1:5" ht="15" customHeight="1" x14ac:dyDescent="0.35">
      <c r="A173" s="8" t="str">
        <f>IF(מלאי!D173&lt;&gt;"",מלאי!D173,"")</f>
        <v>Vehicle HS 1- 9*13</v>
      </c>
      <c r="B173" s="8" t="str">
        <f>IF(מלאי!D173&lt;&gt;"",מלאי!B173&amp;IF(מלאי!C173&lt;&gt;""," ("&amp;מלאי!C173&amp;")",""),"")</f>
        <v>Vehicle hide site 9*13</v>
      </c>
      <c r="C173" s="8" t="str">
        <f>IFERROR(INDEX(הגדרות!$S$2:$S$50,MATCH(מלאי!B173,הגדרות!$R$2:$R$50,0)),"")</f>
        <v/>
      </c>
      <c r="D173" s="8"/>
      <c r="E173" s="8"/>
    </row>
    <row r="174" spans="1:5" ht="15" customHeight="1" x14ac:dyDescent="0.35">
      <c r="A174" s="8" t="str">
        <f>IF(מלאי!D174&lt;&gt;"",מלאי!D174,"")</f>
        <v>Vehicle HS 5- 9*13</v>
      </c>
      <c r="B174" s="8" t="str">
        <f>IF(מלאי!D174&lt;&gt;"",מלאי!B174&amp;IF(מלאי!C174&lt;&gt;""," ("&amp;מלאי!C174&amp;")",""),"")</f>
        <v>Vehicle hide site 9*13</v>
      </c>
      <c r="C174" s="8" t="str">
        <f>IFERROR(INDEX(הגדרות!$S$2:$S$50,MATCH(מלאי!B174,הגדרות!$R$2:$R$50,0)),"")</f>
        <v/>
      </c>
      <c r="D174" s="8"/>
      <c r="E174" s="8"/>
    </row>
    <row r="175" spans="1:5" ht="15" customHeight="1" x14ac:dyDescent="0.35">
      <c r="A175" s="8" t="str">
        <f>IF(מלאי!D175&lt;&gt;"",מלאי!D175,"")</f>
        <v>Vehicle HS 6- 9*14</v>
      </c>
      <c r="B175" s="8" t="str">
        <f>IF(מלאי!D175&lt;&gt;"",מלאי!B175&amp;IF(מלאי!C175&lt;&gt;""," ("&amp;מלאי!C175&amp;")",""),"")</f>
        <v>Vehicle hide site 9*13</v>
      </c>
      <c r="C175" s="8" t="str">
        <f>IFERROR(INDEX(הגדרות!$S$2:$S$50,MATCH(מלאי!B175,הגדרות!$R$2:$R$50,0)),"")</f>
        <v/>
      </c>
      <c r="D175" s="8"/>
      <c r="E175" s="8"/>
    </row>
    <row r="176" spans="1:5" ht="15" customHeight="1" x14ac:dyDescent="0.35">
      <c r="A176" s="8" t="str">
        <f>IF(מלאי!D176&lt;&gt;"",מלאי!D176,"")</f>
        <v>OV 011</v>
      </c>
      <c r="B176" s="8" t="str">
        <f>IF(מלאי!D176&lt;&gt;"",מלאי!B176&amp;IF(מלאי!C176&lt;&gt;""," ("&amp;מלאי!C176&amp;")",""),"")</f>
        <v>Vest cover</v>
      </c>
      <c r="C176" s="8" t="str">
        <f>IFERROR(INDEX(הגדרות!$S$2:$S$50,MATCH(מלאי!B176,הגדרות!$R$2:$R$50,0)),"")</f>
        <v/>
      </c>
      <c r="D176" s="8"/>
      <c r="E176" s="8"/>
    </row>
    <row r="177" spans="1:5" ht="15" customHeight="1" x14ac:dyDescent="0.35">
      <c r="A177" s="8" t="str">
        <f>IF(מלאי!D177&lt;&gt;"",מלאי!D177,"")</f>
        <v>OV 024</v>
      </c>
      <c r="B177" s="8" t="str">
        <f>IF(מלאי!D177&lt;&gt;"",מלאי!B177&amp;IF(מלאי!C177&lt;&gt;""," ("&amp;מלאי!C177&amp;")",""),"")</f>
        <v>Vest cover (LTD)</v>
      </c>
      <c r="C177" s="8" t="str">
        <f>IFERROR(INDEX(הגדרות!$S$2:$S$50,MATCH(מלאי!B177,הגדרות!$R$2:$R$50,0)),"")</f>
        <v/>
      </c>
      <c r="D177" s="8"/>
      <c r="E177" s="8"/>
    </row>
    <row r="178" spans="1:5" ht="15" customHeight="1" x14ac:dyDescent="0.35">
      <c r="A178" s="8" t="str">
        <f>IF(מלאי!D178&lt;&gt;"",מלאי!D178,"")</f>
        <v>OV 010</v>
      </c>
      <c r="B178" s="8" t="str">
        <f>IF(מלאי!D178&lt;&gt;"",מלאי!B178&amp;IF(מלאי!C178&lt;&gt;""," ("&amp;מלאי!C178&amp;")",""),"")</f>
        <v>Vest cover (ישראלי)</v>
      </c>
      <c r="C178" s="8" t="str">
        <f>IFERROR(INDEX(הגדרות!$S$2:$S$50,MATCH(מלאי!B178,הגדרות!$R$2:$R$50,0)),"")</f>
        <v/>
      </c>
      <c r="D178" s="8"/>
      <c r="E178" s="8"/>
    </row>
    <row r="179" spans="1:5" ht="15" customHeight="1" x14ac:dyDescent="0.35">
      <c r="A179" s="8" t="str">
        <f>IF(מלאי!D179&lt;&gt;"",מלאי!D179,"")</f>
        <v>OV 012</v>
      </c>
      <c r="B179" s="8" t="str">
        <f>IF(מלאי!D179&lt;&gt;"",מלאי!B179&amp;IF(מלאי!C179&lt;&gt;""," ("&amp;מלאי!C179&amp;")",""),"")</f>
        <v>Vest cover</v>
      </c>
      <c r="C179" s="8" t="str">
        <f>IFERROR(INDEX(הגדרות!$S$2:$S$50,MATCH(מלאי!B179,הגדרות!$R$2:$R$50,0)),"")</f>
        <v/>
      </c>
      <c r="D179" s="8"/>
      <c r="E179" s="8"/>
    </row>
    <row r="180" spans="1:5" ht="15" customHeight="1" x14ac:dyDescent="0.35">
      <c r="A180" s="8" t="str">
        <f>IF(מלאי!D180&lt;&gt;"",מלאי!D180,"")</f>
        <v>UNI 061</v>
      </c>
      <c r="B180" s="8" t="str">
        <f>IF(מלאי!D180&lt;&gt;"",מלאי!B180&amp;IF(מלאי!C180&lt;&gt;""," ("&amp;מלאי!C180&amp;")",""),"")</f>
        <v>Vest cover</v>
      </c>
      <c r="C180" s="8" t="str">
        <f>IFERROR(INDEX(הגדרות!$S$2:$S$50,MATCH(מלאי!B180,הגדרות!$R$2:$R$50,0)),"")</f>
        <v/>
      </c>
      <c r="D180" s="8"/>
      <c r="E180" s="8"/>
    </row>
    <row r="181" spans="1:5" ht="15" customHeight="1" x14ac:dyDescent="0.35">
      <c r="A181" s="8" t="str">
        <f>IF(מלאי!D181&lt;&gt;"",מלאי!D181,"")</f>
        <v>OV 009</v>
      </c>
      <c r="B181" s="8" t="str">
        <f>IF(מלאי!D181&lt;&gt;"",מלאי!B181&amp;IF(מלאי!C181&lt;&gt;""," ("&amp;מלאי!C181&amp;")",""),"")</f>
        <v>Vest cover (ישראלי)</v>
      </c>
      <c r="C181" s="8" t="str">
        <f>IFERROR(INDEX(הגדרות!$S$2:$S$50,MATCH(מלאי!B181,הגדרות!$R$2:$R$50,0)),"")</f>
        <v/>
      </c>
      <c r="D181" s="8"/>
      <c r="E181" s="8"/>
    </row>
    <row r="182" spans="1:5" ht="15" customHeight="1" x14ac:dyDescent="0.35">
      <c r="A182" s="8" t="str">
        <f>IF(מלאי!D182&lt;&gt;"",מלאי!D182,"")</f>
        <v>OV 014</v>
      </c>
      <c r="B182" s="8" t="str">
        <f>IF(מלאי!D182&lt;&gt;"",מלאי!B182&amp;IF(מלאי!C182&lt;&gt;""," ("&amp;מלאי!C182&amp;")",""),"")</f>
        <v>Vest cover</v>
      </c>
      <c r="C182" s="8" t="str">
        <f>IFERROR(INDEX(הגדרות!$S$2:$S$50,MATCH(מלאי!B182,הגדרות!$R$2:$R$50,0)),"")</f>
        <v/>
      </c>
      <c r="D182" s="8"/>
      <c r="E182" s="8"/>
    </row>
    <row r="183" spans="1:5" ht="15" customHeight="1" x14ac:dyDescent="0.35">
      <c r="A183" s="8" t="str">
        <f>IF(מלאי!D183&lt;&gt;"",מלאי!D183,"")</f>
        <v>יריעה אטומה תצוגה</v>
      </c>
      <c r="B183" s="8" t="str">
        <f>IF(מלאי!D183&lt;&gt;"",מלאי!B183&amp;IF(מלאי!C183&lt;&gt;""," ("&amp;מלאי!C183&amp;")",""),"")</f>
        <v>Water Proof Survival Blanket (V1)</v>
      </c>
      <c r="C183" s="8" t="str">
        <f>IFERROR(INDEX(הגדרות!$S$2:$S$50,MATCH(מלאי!B183,הגדרות!$R$2:$R$50,0)),"")</f>
        <v/>
      </c>
      <c r="D183" s="8"/>
      <c r="E183" s="8"/>
    </row>
    <row r="184" spans="1:5" ht="15" customHeight="1" x14ac:dyDescent="0.35">
      <c r="A184" s="8" t="str">
        <f>IF(מלאי!D184&lt;&gt;"",מלאי!D184,"")</f>
        <v>יריעה אטומה הדגמה</v>
      </c>
      <c r="B184" s="8" t="str">
        <f>IF(מלאי!D184&lt;&gt;"",מלאי!B184&amp;IF(מלאי!C184&lt;&gt;""," ("&amp;מלאי!C184&amp;")",""),"")</f>
        <v>Water Proof Survival Blanket (V1)</v>
      </c>
      <c r="C184" s="8" t="str">
        <f>IFERROR(INDEX(הגדרות!$S$2:$S$50,MATCH(מלאי!B184,הגדרות!$R$2:$R$50,0)),"")</f>
        <v/>
      </c>
      <c r="D184" s="8"/>
      <c r="E184" s="8"/>
    </row>
    <row r="185" spans="1:5" ht="15" customHeight="1" x14ac:dyDescent="0.35">
      <c r="A185" s="8" t="str">
        <f>IF(מלאי!D185&lt;&gt;"",מלאי!D185,"")</f>
        <v>מאלט - לmrzr</v>
      </c>
      <c r="B185" s="8" t="str">
        <f>IF(מלאי!D185&lt;&gt;"",מלאי!B185&amp;IF(מלאי!C185&lt;&gt;""," ("&amp;מלאי!C185&amp;")",""),"")</f>
        <v>חלקים של עמדות</v>
      </c>
      <c r="C185" s="8" t="str">
        <f>IFERROR(INDEX(הגדרות!$S$2:$S$50,MATCH(מלאי!B185,הגדרות!$R$2:$R$50,0)),"")</f>
        <v/>
      </c>
      <c r="D185" s="8"/>
      <c r="E185" s="8"/>
    </row>
    <row r="186" spans="1:5" ht="15" customHeight="1" x14ac:dyDescent="0.35">
      <c r="A186" s="8" t="str">
        <f>IF(מלאי!D186&lt;&gt;"",מלאי!D186,"")</f>
        <v>רשת לקטים 9*9</v>
      </c>
      <c r="B186" s="8" t="str">
        <f>IF(מלאי!D186&lt;&gt;"",מלאי!B186&amp;IF(מלאי!C186&lt;&gt;""," ("&amp;מלאי!C186&amp;")",""),"")</f>
        <v>חלקים של עמדות</v>
      </c>
      <c r="C186" s="8" t="str">
        <f>IFERROR(INDEX(הגדרות!$S$2:$S$50,MATCH(מלאי!B186,הגדרות!$R$2:$R$50,0)),"")</f>
        <v/>
      </c>
      <c r="D186" s="8"/>
      <c r="E186" s="8"/>
    </row>
    <row r="187" spans="1:5" ht="15" customHeight="1" x14ac:dyDescent="0.35">
      <c r="A187" s="8" t="str">
        <f>IF(מלאי!D187&lt;&gt;"",מלאי!D187,"")</f>
        <v>IRR מדגים</v>
      </c>
      <c r="B187" s="8" t="str">
        <f>IF(מלאי!D187&lt;&gt;"",מלאי!B187&amp;IF(מלאי!C187&lt;&gt;""," ("&amp;מלאי!C187&amp;")",""),"")</f>
        <v>יריעת החשכה</v>
      </c>
      <c r="C187" s="8" t="str">
        <f>IFERROR(INDEX(הגדרות!$S$2:$S$50,MATCH(מלאי!B187,הגדרות!$R$2:$R$50,0)),"")</f>
        <v/>
      </c>
      <c r="D187" s="8"/>
      <c r="E187" s="8"/>
    </row>
    <row r="188" spans="1:5" ht="15" customHeight="1" x14ac:dyDescent="0.35">
      <c r="A188" s="8" t="str">
        <f>IF(מלאי!D188&lt;&gt;"",מלאי!D188,"")</f>
        <v>עמדת חוד 1</v>
      </c>
      <c r="B188" s="8" t="str">
        <f>IF(מלאי!D188&lt;&gt;"",מלאי!B188&amp;IF(מלאי!C188&lt;&gt;""," ("&amp;מלאי!C188&amp;")",""),"")</f>
        <v>עמדת חוד (V1)</v>
      </c>
      <c r="C188" s="8" t="str">
        <f>IFERROR(INDEX(הגדרות!$S$2:$S$50,MATCH(מלאי!B188,הגדרות!$R$2:$R$50,0)),"")</f>
        <v/>
      </c>
      <c r="D188" s="8"/>
      <c r="E188" s="8"/>
    </row>
    <row r="189" spans="1:5" ht="15" customHeight="1" x14ac:dyDescent="0.35">
      <c r="A189" s="8" t="str">
        <f>IF(מלאי!D189&lt;&gt;"",מלאי!D189,"")</f>
        <v>עמדת חוד 2</v>
      </c>
      <c r="B189" s="8" t="str">
        <f>IF(מלאי!D189&lt;&gt;"",מלאי!B189&amp;IF(מלאי!C189&lt;&gt;""," ("&amp;מלאי!C189&amp;")",""),"")</f>
        <v>עמדת חוד (V1)</v>
      </c>
      <c r="C189" s="8" t="str">
        <f>IFERROR(INDEX(הגדרות!$S$2:$S$50,MATCH(מלאי!B189,הגדרות!$R$2:$R$50,0)),"")</f>
        <v/>
      </c>
      <c r="D189" s="8"/>
      <c r="E189" s="8"/>
    </row>
    <row r="190" spans="1:5" ht="15" customHeight="1" x14ac:dyDescent="0.35">
      <c r="A190" s="8" t="str">
        <f>IF(מלאי!D190&lt;&gt;"",מלאי!D190,"")</f>
        <v>רשת הצללה להדגמות</v>
      </c>
      <c r="B190" s="8" t="str">
        <f>IF(מלאי!D190&lt;&gt;"",מלאי!B190&amp;IF(מלאי!C190&lt;&gt;""," ("&amp;מלאי!C190&amp;")",""),"")</f>
        <v>רשת הצללה (V1)</v>
      </c>
      <c r="C190" s="8" t="str">
        <f>IFERROR(INDEX(הגדרות!$S$2:$S$50,MATCH(מלאי!B190,הגדרות!$R$2:$R$50,0)),"")</f>
        <v/>
      </c>
      <c r="D190" s="8"/>
      <c r="E190" s="8"/>
    </row>
    <row r="191" spans="1:5" ht="15" customHeight="1" x14ac:dyDescent="0.35">
      <c r="A191" s="8" t="str">
        <f>IF(מלאי!D191&lt;&gt;"",מלאי!D191,"")</f>
        <v>bagi hs 1</v>
      </c>
      <c r="B191" s="8" t="str">
        <f>IF(מלאי!D191&lt;&gt;"",מלאי!B191&amp;IF(מלאי!C191&lt;&gt;""," ("&amp;מלאי!C191&amp;")",""),"")</f>
        <v xml:space="preserve"> (bagi)</v>
      </c>
      <c r="C191" s="8" t="str">
        <f>IFERROR(INDEX(הגדרות!$S$2:$S$50,MATCH(מלאי!B191,הגדרות!$R$2:$R$50,0)),"")</f>
        <v/>
      </c>
      <c r="D191" s="8"/>
      <c r="E191" s="8"/>
    </row>
    <row r="192" spans="1:5" ht="15" customHeight="1" x14ac:dyDescent="0.35">
      <c r="A192" s="8" t="str">
        <f>IF(מלאי!D192&lt;&gt;"",מלאי!D192,"")</f>
        <v>UNI 002</v>
      </c>
      <c r="B192" s="8" t="str">
        <f>IF(מלאי!D192&lt;&gt;"",מלאי!B192&amp;IF(מלאי!C192&lt;&gt;""," ("&amp;מלאי!C192&amp;")",""),"")</f>
        <v>Boonie hat (V1)</v>
      </c>
      <c r="C192" s="8" t="str">
        <f>IFERROR(INDEX(הגדרות!$S$2:$S$50,MATCH(מלאי!B192,הגדרות!$R$2:$R$50,0)),"")</f>
        <v/>
      </c>
      <c r="D192" s="8"/>
      <c r="E192" s="8"/>
    </row>
    <row r="193" spans="1:5" ht="15" customHeight="1" x14ac:dyDescent="0.35">
      <c r="A193" s="8" t="str">
        <f>IF(מלאי!D193&lt;&gt;"",מלאי!D193,"")</f>
        <v>UNI 049</v>
      </c>
      <c r="B193" s="8" t="str">
        <f>IF(מלאי!D193&lt;&gt;"",מלאי!B193&amp;IF(מלאי!C193&lt;&gt;""," ("&amp;מלאי!C193&amp;")",""),"")</f>
        <v>Pants (ישראלי)</v>
      </c>
      <c r="C193" s="8" t="str">
        <f>IFERROR(INDEX(הגדרות!$S$2:$S$50,MATCH(מלאי!B193,הגדרות!$R$2:$R$50,0)),"")</f>
        <v/>
      </c>
      <c r="D193" s="8"/>
      <c r="E193" s="8"/>
    </row>
    <row r="194" spans="1:5" ht="15" customHeight="1" x14ac:dyDescent="0.35">
      <c r="A194" s="8" t="str">
        <f>IF(מלאי!D194&lt;&gt;"",מלאי!D194,"")</f>
        <v>UNI 063</v>
      </c>
      <c r="B194" s="8" t="str">
        <f>IF(מלאי!D194&lt;&gt;"",מלאי!B194&amp;IF(מלאי!C194&lt;&gt;""," ("&amp;מלאי!C194&amp;")",""),"")</f>
        <v>Balaclava (ישראלי)</v>
      </c>
      <c r="C194" s="8" t="str">
        <f>IFERROR(INDEX(הגדרות!$S$2:$S$50,MATCH(מלאי!B194,הגדרות!$R$2:$R$50,0)),"")</f>
        <v/>
      </c>
      <c r="D194" s="8"/>
      <c r="E194" s="8"/>
    </row>
    <row r="195" spans="1:5" ht="15" customHeight="1" x14ac:dyDescent="0.35">
      <c r="A195" s="8" t="str">
        <f>IF(מלאי!D195&lt;&gt;"",מלאי!D195,"")</f>
        <v>UNI 064</v>
      </c>
      <c r="B195" s="8" t="str">
        <f>IF(מלאי!D195&lt;&gt;"",מלאי!B195&amp;IF(מלאי!C195&lt;&gt;""," ("&amp;מלאי!C195&amp;")",""),"")</f>
        <v>Pants (Eclipse)</v>
      </c>
      <c r="C195" s="8" t="str">
        <f>IFERROR(INDEX(הגדרות!$S$2:$S$50,MATCH(מלאי!B195,הגדרות!$R$2:$R$50,0)),"")</f>
        <v/>
      </c>
      <c r="D195" s="8"/>
      <c r="E195" s="8"/>
    </row>
    <row r="196" spans="1:5" ht="15" customHeight="1" x14ac:dyDescent="0.35">
      <c r="A196" s="8" t="str">
        <f>IF(מלאי!D196&lt;&gt;"",מלאי!D196,"")</f>
        <v>UNI 065</v>
      </c>
      <c r="B196" s="8" t="str">
        <f>IF(מלאי!D196&lt;&gt;"",מלאי!B196&amp;IF(מלאי!C196&lt;&gt;""," ("&amp;מלאי!C196&amp;")",""),"")</f>
        <v>Shirt (Eclipse)</v>
      </c>
      <c r="C196" s="8" t="str">
        <f>IFERROR(INDEX(הגדרות!$S$2:$S$50,MATCH(מלאי!B196,הגדרות!$R$2:$R$50,0)),"")</f>
        <v/>
      </c>
      <c r="D196" s="8"/>
      <c r="E196" s="8"/>
    </row>
    <row r="197" spans="1:5" ht="15" customHeight="1" x14ac:dyDescent="0.35">
      <c r="A197" s="8" t="str">
        <f>IF(מלאי!D197&lt;&gt;"",מלאי!D197,"")</f>
        <v>UNI 066</v>
      </c>
      <c r="B197" s="8" t="str">
        <f>IF(מלאי!D197&lt;&gt;"",מלאי!B197&amp;IF(מלאי!C197&lt;&gt;""," ("&amp;מלאי!C197&amp;")",""),"")</f>
        <v>Pants (Eclipse)</v>
      </c>
      <c r="C197" s="8" t="str">
        <f>IFERROR(INDEX(הגדרות!$S$2:$S$50,MATCH(מלאי!B197,הגדרות!$R$2:$R$50,0)),"")</f>
        <v/>
      </c>
      <c r="D197" s="8"/>
      <c r="E197" s="8"/>
    </row>
    <row r="198" spans="1:5" ht="15" customHeight="1" x14ac:dyDescent="0.35">
      <c r="A198" s="8" t="str">
        <f>IF(מלאי!D198&lt;&gt;"",מלאי!D198,"")</f>
        <v>UNI 067</v>
      </c>
      <c r="B198" s="8" t="str">
        <f>IF(מלאי!D198&lt;&gt;"",מלאי!B198&amp;IF(מלאי!C198&lt;&gt;""," ("&amp;מלאי!C198&amp;")",""),"")</f>
        <v>Shirt (Eclipse)</v>
      </c>
      <c r="C198" s="8" t="str">
        <f>IFERROR(INDEX(הגדרות!$S$2:$S$50,MATCH(מלאי!B198,הגדרות!$R$2:$R$50,0)),"")</f>
        <v/>
      </c>
      <c r="D198" s="8"/>
      <c r="E198" s="8"/>
    </row>
    <row r="199" spans="1:5" ht="15" customHeight="1" x14ac:dyDescent="0.35">
      <c r="A199" s="8" t="str">
        <f>IF(מלאי!D199&lt;&gt;"",מלאי!D199,"")</f>
        <v>UNI 068</v>
      </c>
      <c r="B199" s="8" t="str">
        <f>IF(מלאי!D199&lt;&gt;"",מלאי!B199&amp;IF(מלאי!C199&lt;&gt;""," ("&amp;מלאי!C199&amp;")",""),"")</f>
        <v>Headcover (ELITE)</v>
      </c>
      <c r="C199" s="8" t="str">
        <f>IFERROR(INDEX(הגדרות!$S$2:$S$50,MATCH(מלאי!B199,הגדרות!$R$2:$R$50,0)),"")</f>
        <v/>
      </c>
      <c r="D199" s="8"/>
      <c r="E199" s="8"/>
    </row>
    <row r="200" spans="1:5" ht="15" customHeight="1" x14ac:dyDescent="0.35">
      <c r="A200" s="8" t="str">
        <f>IF(מלאי!D200&lt;&gt;"",מלאי!D200,"")</f>
        <v>UNI 069</v>
      </c>
      <c r="B200" s="8" t="str">
        <f>IF(מלאי!D200&lt;&gt;"",מלאי!B200&amp;IF(מלאי!C200&lt;&gt;""," ("&amp;מלאי!C200&amp;")",""),"")</f>
        <v>Headcover (ELITE)</v>
      </c>
      <c r="C200" s="8" t="str">
        <f>IFERROR(INDEX(הגדרות!$S$2:$S$50,MATCH(מלאי!B200,הגדרות!$R$2:$R$50,0)),"")</f>
        <v/>
      </c>
      <c r="D200" s="8"/>
      <c r="E200" s="8"/>
    </row>
    <row r="201" spans="1:5" ht="15" customHeight="1" x14ac:dyDescent="0.35">
      <c r="A201" s="8" t="str">
        <f>IF(מלאי!D201&lt;&gt;"",מלאי!D201,"")</f>
        <v>UNI 069</v>
      </c>
      <c r="B201" s="8" t="str">
        <f>IF(מלאי!D201&lt;&gt;"",מלאי!B201&amp;IF(מלאי!C201&lt;&gt;""," ("&amp;מלאי!C201&amp;")",""),"")</f>
        <v>Headcover (ELITE)</v>
      </c>
      <c r="C201" s="8" t="str">
        <f>IFERROR(INDEX(הגדרות!$S$2:$S$50,MATCH(מלאי!B201,הגדרות!$R$2:$R$50,0)),"")</f>
        <v/>
      </c>
      <c r="D201" s="8"/>
      <c r="E201" s="8"/>
    </row>
    <row r="202" spans="1:5" ht="15" customHeight="1" x14ac:dyDescent="0.35">
      <c r="A202" s="8" t="str">
        <f>IF(מלאי!D202&lt;&gt;"",מלאי!D202,"")</f>
        <v>UNI 071</v>
      </c>
      <c r="B202" s="8" t="str">
        <f>IF(מלאי!D202&lt;&gt;"",מלאי!B202&amp;IF(מלאי!C202&lt;&gt;""," ("&amp;מלאי!C202&amp;")",""),"")</f>
        <v>Headcover (ELITE)</v>
      </c>
      <c r="C202" s="8" t="str">
        <f>IFERROR(INDEX(הגדרות!$S$2:$S$50,MATCH(מלאי!B202,הגדרות!$R$2:$R$50,0)),"")</f>
        <v/>
      </c>
      <c r="D202" s="8"/>
      <c r="E202" s="8"/>
    </row>
    <row r="203" spans="1:5" ht="15" customHeight="1" x14ac:dyDescent="0.35">
      <c r="A203" s="8" t="str">
        <f>IF(מלאי!D203&lt;&gt;"",מלאי!D203,"")</f>
        <v>AC 001</v>
      </c>
      <c r="B203" s="8" t="str">
        <f>IF(מלאי!D203&lt;&gt;"",מלאי!B203&amp;IF(מלאי!C203&lt;&gt;""," ("&amp;מלאי!C203&amp;")",""),"")</f>
        <v>Bag cover 90L</v>
      </c>
      <c r="C203" s="8" t="str">
        <f>IFERROR(INDEX(הגדרות!$S$2:$S$50,MATCH(מלאי!B203,הגדרות!$R$2:$R$50,0)),"")</f>
        <v/>
      </c>
      <c r="D203" s="8"/>
      <c r="E203" s="8"/>
    </row>
    <row r="204" spans="1:5" ht="15" customHeight="1" x14ac:dyDescent="0.35">
      <c r="A204" s="8" t="str">
        <f>IF(מלאי!D204&lt;&gt;"",מלאי!D204,"")</f>
        <v>AC 002</v>
      </c>
      <c r="B204" s="8" t="str">
        <f>IF(מלאי!D204&lt;&gt;"",מלאי!B204&amp;IF(מלאי!C204&lt;&gt;""," ("&amp;מלאי!C204&amp;")",""),"")</f>
        <v>Bag cover 90L</v>
      </c>
      <c r="C204" s="8" t="str">
        <f>IFERROR(INDEX(הגדרות!$S$2:$S$50,MATCH(מלאי!B204,הגדרות!$R$2:$R$50,0)),"")</f>
        <v/>
      </c>
      <c r="D204" s="8"/>
      <c r="E204" s="8"/>
    </row>
    <row r="205" spans="1:5" ht="15" customHeight="1" x14ac:dyDescent="0.35">
      <c r="A205" s="8" t="str">
        <f>IF(מלאי!D205&lt;&gt;"",מלאי!D205,"")</f>
        <v>AC 003</v>
      </c>
      <c r="B205" s="8" t="str">
        <f>IF(מלאי!D205&lt;&gt;"",מלאי!B205&amp;IF(מלאי!C205&lt;&gt;""," ("&amp;מלאי!C205&amp;")",""),"")</f>
        <v>Bag cover 90L</v>
      </c>
      <c r="C205" s="8" t="str">
        <f>IFERROR(INDEX(הגדרות!$S$2:$S$50,MATCH(מלאי!B205,הגדרות!$R$2:$R$50,0)),"")</f>
        <v/>
      </c>
      <c r="D205" s="8"/>
      <c r="E205" s="8"/>
    </row>
    <row r="206" spans="1:5" ht="15" customHeight="1" x14ac:dyDescent="0.35">
      <c r="A206" s="8" t="str">
        <f>IF(מלאי!D206&lt;&gt;"",מלאי!D206,"")</f>
        <v>UNI072</v>
      </c>
      <c r="B206" s="8" t="str">
        <f>IF(מלאי!D206&lt;&gt;"",מלאי!B206&amp;IF(מלאי!C206&lt;&gt;""," ("&amp;מלאי!C206&amp;")",""),"")</f>
        <v>Balaclava</v>
      </c>
      <c r="C206" s="8" t="str">
        <f>IFERROR(INDEX(הגדרות!$S$2:$S$50,MATCH(מלאי!B206,הגדרות!$R$2:$R$50,0)),"")</f>
        <v/>
      </c>
      <c r="D206" s="8"/>
      <c r="E206" s="8"/>
    </row>
    <row r="207" spans="1:5" ht="15" customHeight="1" x14ac:dyDescent="0.35">
      <c r="A207" s="8" t="str">
        <f>IF(מלאי!D207&lt;&gt;"",מלאי!D207,"")</f>
        <v>MAY1</v>
      </c>
      <c r="B207" s="8" t="str">
        <f>IF(מלאי!D207&lt;&gt;"",מלאי!B207&amp;IF(מלאי!C207&lt;&gt;""," ("&amp;מלאי!C207&amp;")",""),"")</f>
        <v>May Suit (one side)</v>
      </c>
      <c r="C207" s="8" t="str">
        <f>IFERROR(INDEX(הגדרות!$S$2:$S$50,MATCH(מלאי!B207,הגדרות!$R$2:$R$50,0)),"")</f>
        <v/>
      </c>
      <c r="D207" s="8"/>
      <c r="E207" s="8"/>
    </row>
    <row r="208" spans="1:5" ht="15" customHeight="1" x14ac:dyDescent="0.35">
      <c r="A208" s="8" t="str">
        <f>IF(מלאי!D208&lt;&gt;"",מלאי!D208,"")</f>
        <v>Inbar A8</v>
      </c>
      <c r="B208" s="8" t="str">
        <f>IF(מלאי!D208&lt;&gt;"",מלאי!B208&amp;IF(מלאי!C208&lt;&gt;""," ("&amp;מלאי!C208&amp;")",""),"")</f>
        <v>Poncho Inbar (V1)</v>
      </c>
      <c r="C208" s="8" t="str">
        <f>IFERROR(INDEX(הגדרות!$S$2:$S$50,MATCH(מלאי!B208,הגדרות!$R$2:$R$50,0)),"")</f>
        <v/>
      </c>
      <c r="D208" s="8"/>
      <c r="E208" s="8"/>
    </row>
    <row r="209" spans="1:5" ht="15" customHeight="1" x14ac:dyDescent="0.35">
      <c r="A209" s="8" t="str">
        <f>IF(מלאי!D209&lt;&gt;"",מלאי!D209,"")</f>
        <v>poncho inbar b 3d sampals</v>
      </c>
      <c r="B209" s="8" t="str">
        <f>IF(מלאי!D209&lt;&gt;"",מלאי!B209&amp;IF(מלאי!C209&lt;&gt;""," ("&amp;מלאי!C209&amp;")",""),"")</f>
        <v>Poncho Inbar 3D (v2)</v>
      </c>
      <c r="C209" s="8" t="str">
        <f>IFERROR(INDEX(הגדרות!$S$2:$S$50,MATCH(מלאי!B209,הגדרות!$R$2:$R$50,0)),"")</f>
        <v/>
      </c>
      <c r="D209" s="8"/>
      <c r="E209" s="8"/>
    </row>
    <row r="210" spans="1:5" ht="15" customHeight="1" x14ac:dyDescent="0.35">
      <c r="A210" s="8" t="str">
        <f>IF(מלאי!D210&lt;&gt;"",מלאי!D210,"")</f>
        <v>UNI 038</v>
      </c>
      <c r="B210" s="8" t="str">
        <f>IF(מלאי!D210&lt;&gt;"",מלאי!B210&amp;IF(מלאי!C210&lt;&gt;""," ("&amp;מלאי!C210&amp;")",""),"")</f>
        <v>Headcover (ELITE)</v>
      </c>
      <c r="C210" s="8" t="str">
        <f>IFERROR(INDEX(הגדרות!$S$2:$S$50,MATCH(מלאי!B210,הגדרות!$R$2:$R$50,0)),"")</f>
        <v/>
      </c>
      <c r="D210" s="8"/>
      <c r="E210" s="8"/>
    </row>
    <row r="211" spans="1:5" ht="15" customHeight="1" x14ac:dyDescent="0.35">
      <c r="A211" s="8" t="str">
        <f>IF(מלאי!D211&lt;&gt;"",מלאי!D211,"")</f>
        <v>UNI 047</v>
      </c>
      <c r="B211" s="8" t="str">
        <f>IF(מלאי!D211&lt;&gt;"",מלאי!B211&amp;IF(מלאי!C211&lt;&gt;""," ("&amp;מלאי!C211&amp;")",""),"")</f>
        <v>Pants (ישראלי)</v>
      </c>
      <c r="C211" s="8" t="str">
        <f>IFERROR(INDEX(הגדרות!$S$2:$S$50,MATCH(מלאי!B211,הגדרות!$R$2:$R$50,0)),"")</f>
        <v/>
      </c>
      <c r="D211" s="8"/>
      <c r="E211" s="8"/>
    </row>
    <row r="212" spans="1:5" ht="15" customHeight="1" x14ac:dyDescent="0.35">
      <c r="A212" s="8" t="str">
        <f>IF(מלאי!D212&lt;&gt;"",מלאי!D212,"")</f>
        <v>UNI 048</v>
      </c>
      <c r="B212" s="8" t="str">
        <f>IF(מלאי!D212&lt;&gt;"",מלאי!B212&amp;IF(מלאי!C212&lt;&gt;""," ("&amp;מלאי!C212&amp;")",""),"")</f>
        <v>Pants (ישראלי)</v>
      </c>
      <c r="C212" s="8" t="str">
        <f>IFERROR(INDEX(הגדרות!$S$2:$S$50,MATCH(מלאי!B212,הגדרות!$R$2:$R$50,0)),"")</f>
        <v/>
      </c>
      <c r="D212" s="8"/>
      <c r="E212" s="8"/>
    </row>
    <row r="213" spans="1:5" ht="15" customHeight="1" x14ac:dyDescent="0.35">
      <c r="A213" s="8" t="str">
        <f>IF(מלאי!D213&lt;&gt;"",מלאי!D213,"")</f>
        <v>UNI 004</v>
      </c>
      <c r="B213" s="8" t="str">
        <f>IF(מלאי!D213&lt;&gt;"",מלאי!B213&amp;IF(מלאי!C213&lt;&gt;""," ("&amp;מלאי!C213&amp;")",""),"")</f>
        <v>Shirt (Maritime)</v>
      </c>
      <c r="C213" s="8" t="str">
        <f>IFERROR(INDEX(הגדרות!$S$2:$S$50,MATCH(מלאי!B213,הגדרות!$R$2:$R$50,0)),"")</f>
        <v/>
      </c>
      <c r="D213" s="8"/>
      <c r="E213" s="8"/>
    </row>
    <row r="214" spans="1:5" ht="15" customHeight="1" x14ac:dyDescent="0.35">
      <c r="A214" s="8" t="str">
        <f>IF(מלאי!D214&lt;&gt;"",מלאי!D214,"")</f>
        <v>UNI 046</v>
      </c>
      <c r="B214" s="8" t="str">
        <f>IF(מלאי!D214&lt;&gt;"",מלאי!B214&amp;IF(מלאי!C214&lt;&gt;""," ("&amp;מלאי!C214&amp;")",""),"")</f>
        <v>Pants (ישראלי)</v>
      </c>
      <c r="C214" s="8" t="str">
        <f>IFERROR(INDEX(הגדרות!$S$2:$S$50,MATCH(מלאי!B214,הגדרות!$R$2:$R$50,0)),"")</f>
        <v/>
      </c>
      <c r="D214" s="8"/>
      <c r="E214" s="8"/>
    </row>
    <row r="215" spans="1:5" ht="15" customHeight="1" x14ac:dyDescent="0.35">
      <c r="A215" s="8" t="str">
        <f>IF(מלאי!D215&lt;&gt;"",מלאי!D215,"")</f>
        <v xml:space="preserve">U-036  </v>
      </c>
      <c r="B215" s="8" t="str">
        <f>IF(מלאי!D215&lt;&gt;"",מלאי!B215&amp;IF(מלאי!C215&lt;&gt;""," ("&amp;מלאי!C215&amp;")",""),"")</f>
        <v>Pants (MERON)</v>
      </c>
      <c r="C215" s="8" t="str">
        <f>IFERROR(INDEX(הגדרות!$S$2:$S$50,MATCH(מלאי!B215,הגדרות!$R$2:$R$50,0)),"")</f>
        <v/>
      </c>
      <c r="D215" s="8"/>
      <c r="E215" s="8"/>
    </row>
    <row r="216" spans="1:5" ht="15" customHeight="1" x14ac:dyDescent="0.35">
      <c r="A216" s="8" t="str">
        <f>IF(מלאי!D216&lt;&gt;"",מלאי!D216,"")</f>
        <v xml:space="preserve">U-090  </v>
      </c>
      <c r="B216" s="8" t="str">
        <f>IF(מלאי!D216&lt;&gt;"",מלאי!B216&amp;IF(מלאי!C216&lt;&gt;""," ("&amp;מלאי!C216&amp;")",""),"")</f>
        <v>Pants (Eclipse)</v>
      </c>
      <c r="C216" s="8" t="str">
        <f>IFERROR(INDEX(הגדרות!$S$2:$S$50,MATCH(מלאי!B216,הגדרות!$R$2:$R$50,0)),"")</f>
        <v/>
      </c>
      <c r="D216" s="8"/>
      <c r="E216" s="8"/>
    </row>
    <row r="217" spans="1:5" ht="15" customHeight="1" x14ac:dyDescent="0.35">
      <c r="A217" s="8" t="str">
        <f>IF(מלאי!D217&lt;&gt;"",מלאי!D217,"")</f>
        <v xml:space="preserve">U-036  </v>
      </c>
      <c r="B217" s="8" t="str">
        <f>IF(מלאי!D217&lt;&gt;"",מלאי!B217&amp;IF(מלאי!C217&lt;&gt;""," ("&amp;מלאי!C217&amp;")",""),"")</f>
        <v>Shirt (ARBEL)</v>
      </c>
      <c r="C217" s="8" t="str">
        <f>IFERROR(INDEX(הגדרות!$S$2:$S$50,MATCH(מלאי!B217,הגדרות!$R$2:$R$50,0)),"")</f>
        <v/>
      </c>
      <c r="D217" s="8"/>
      <c r="E217" s="8"/>
    </row>
    <row r="218" spans="1:5" ht="15" customHeight="1" x14ac:dyDescent="0.35">
      <c r="A218" s="8" t="str">
        <f>IF(מלאי!D218&lt;&gt;"",מלאי!D218,"")</f>
        <v xml:space="preserve">U-036  </v>
      </c>
      <c r="B218" s="8" t="str">
        <f>IF(מלאי!D218&lt;&gt;"",מלאי!B218&amp;IF(מלאי!C218&lt;&gt;""," ("&amp;מלאי!C218&amp;")",""),"")</f>
        <v>Pants (ARBEL)</v>
      </c>
      <c r="C218" s="8" t="str">
        <f>IFERROR(INDEX(הגדרות!$S$2:$S$50,MATCH(מלאי!B218,הגדרות!$R$2:$R$50,0)),"")</f>
        <v/>
      </c>
      <c r="D218" s="8"/>
      <c r="E218" s="8"/>
    </row>
    <row r="219" spans="1:5" ht="15" customHeight="1" x14ac:dyDescent="0.35">
      <c r="A219" s="8" t="str">
        <f>IF(מלאי!D219&lt;&gt;"",מלאי!D219,"")</f>
        <v>U-091</v>
      </c>
      <c r="B219" s="8" t="e">
        <f>IF(מלאי!D219&lt;&gt;"",מלאי!C219&amp;IF(מלאי!#REF!&lt;&gt;""," ("&amp;מלאי!#REF!&amp;")",""),"")</f>
        <v>#REF!</v>
      </c>
      <c r="C219" s="8" t="str">
        <f>IFERROR(INDEX(הגדרות!$S$2:$S$50,MATCH(מלאי!C219,הגדרות!$R$2:$R$50,0)),"")</f>
        <v/>
      </c>
      <c r="D219" s="8"/>
      <c r="E219" s="8"/>
    </row>
    <row r="220" spans="1:5" ht="15" customHeight="1" x14ac:dyDescent="0.35">
      <c r="A220" s="8" t="str">
        <f>IF(מלאי!D220&lt;&gt;"",מלאי!D220,"")</f>
        <v>UNI 042</v>
      </c>
      <c r="B220" s="8" t="str">
        <f>IF(מלאי!D220&lt;&gt;"",מלאי!B220&amp;IF(מלאי!C220&lt;&gt;""," ("&amp;מלאי!C220&amp;")",""),"")</f>
        <v>Headcover (ELITE)</v>
      </c>
      <c r="C220" s="8" t="str">
        <f>IFERROR(INDEX(הגדרות!$S$2:$S$50,MATCH(מלאי!B220,הגדרות!$R$2:$R$50,0)),"")</f>
        <v/>
      </c>
      <c r="D220" s="8"/>
      <c r="E220" s="8"/>
    </row>
    <row r="221" spans="1:5" ht="15" customHeight="1" x14ac:dyDescent="0.35">
      <c r="A221" s="8" t="str">
        <f>IF(מלאי!D221&lt;&gt;"",מלאי!D221,"")</f>
        <v/>
      </c>
      <c r="B221" s="8" t="str">
        <f>IF(מלאי!D221&lt;&gt;"",מלאי!B221&amp;IF(מלאי!C221&lt;&gt;""," ("&amp;מלאי!C221&amp;")",""),"")</f>
        <v/>
      </c>
      <c r="C221" s="8" t="str">
        <f>IFERROR(INDEX(הגדרות!$S$2:$S$50,MATCH(מלאי!B221,הגדרות!$R$2:$R$50,0)),"")</f>
        <v/>
      </c>
      <c r="D221" s="8"/>
      <c r="E221" s="8"/>
    </row>
    <row r="222" spans="1:5" ht="15" customHeight="1" x14ac:dyDescent="0.35">
      <c r="A222" s="8" t="str">
        <f>IF(מלאי!D222&lt;&gt;"",מלאי!D222,"")</f>
        <v/>
      </c>
      <c r="B222" s="8" t="str">
        <f>IF(מלאי!D222&lt;&gt;"",מלאי!B222&amp;IF(מלאי!C222&lt;&gt;""," ("&amp;מלאי!C222&amp;")",""),"")</f>
        <v/>
      </c>
      <c r="C222" s="8" t="str">
        <f>IFERROR(INDEX(הגדרות!$S$2:$S$50,MATCH(מלאי!B222,הגדרות!$R$2:$R$50,0)),"")</f>
        <v/>
      </c>
      <c r="D222" s="8"/>
      <c r="E222" s="8"/>
    </row>
    <row r="223" spans="1:5" ht="15" customHeight="1" x14ac:dyDescent="0.35">
      <c r="A223" s="8" t="str">
        <f>IF(מלאי!D223&lt;&gt;"",מלאי!D223,"")</f>
        <v/>
      </c>
      <c r="B223" s="8" t="str">
        <f>IF(מלאי!D223&lt;&gt;"",מלאי!B223&amp;IF(מלאי!C223&lt;&gt;""," ("&amp;מלאי!C223&amp;")",""),"")</f>
        <v/>
      </c>
      <c r="C223" s="8" t="str">
        <f>IFERROR(INDEX(הגדרות!$S$2:$S$50,MATCH(מלאי!B223,הגדרות!$R$2:$R$50,0)),"")</f>
        <v/>
      </c>
      <c r="D223" s="8"/>
      <c r="E223" s="8"/>
    </row>
    <row r="224" spans="1:5" ht="15" customHeight="1" x14ac:dyDescent="0.35">
      <c r="A224" s="8" t="str">
        <f>IF(מלאי!D224&lt;&gt;"",מלאי!D224,"")</f>
        <v/>
      </c>
      <c r="B224" s="8" t="str">
        <f>IF(מלאי!D224&lt;&gt;"",מלאי!B224&amp;IF(מלאי!C224&lt;&gt;""," ("&amp;מלאי!C224&amp;")",""),"")</f>
        <v/>
      </c>
      <c r="C224" s="8" t="str">
        <f>IFERROR(INDEX(הגדרות!$S$2:$S$50,MATCH(מלאי!B224,הגדרות!$R$2:$R$50,0)),"")</f>
        <v/>
      </c>
      <c r="D224" s="8"/>
      <c r="E224" s="8"/>
    </row>
    <row r="225" spans="1:5" ht="15" customHeight="1" x14ac:dyDescent="0.35">
      <c r="A225" s="8" t="str">
        <f>IF(מלאי!D225&lt;&gt;"",מלאי!D225,"")</f>
        <v/>
      </c>
      <c r="B225" s="8" t="str">
        <f>IF(מלאי!D225&lt;&gt;"",מלאי!B225&amp;IF(מלאי!C225&lt;&gt;""," ("&amp;מלאי!C225&amp;")",""),"")</f>
        <v/>
      </c>
      <c r="C225" s="8" t="str">
        <f>IFERROR(INDEX(הגדרות!$S$2:$S$50,MATCH(מלאי!B225,הגדרות!$R$2:$R$50,0)),"")</f>
        <v/>
      </c>
      <c r="D225" s="8"/>
      <c r="E225" s="8"/>
    </row>
    <row r="226" spans="1:5" ht="15" customHeight="1" x14ac:dyDescent="0.35">
      <c r="A226" s="8" t="str">
        <f>IF(מלאי!D226&lt;&gt;"",מלאי!D226,"")</f>
        <v/>
      </c>
      <c r="B226" s="8" t="str">
        <f>IF(מלאי!D226&lt;&gt;"",מלאי!B226&amp;IF(מלאי!C226&lt;&gt;""," ("&amp;מלאי!C226&amp;")",""),"")</f>
        <v/>
      </c>
      <c r="C226" s="8" t="str">
        <f>IFERROR(INDEX(הגדרות!$S$2:$S$50,MATCH(מלאי!B226,הגדרות!$R$2:$R$50,0)),"")</f>
        <v/>
      </c>
      <c r="D226" s="8"/>
      <c r="E226" s="8"/>
    </row>
    <row r="227" spans="1:5" ht="15" customHeight="1" x14ac:dyDescent="0.35">
      <c r="A227" s="8" t="str">
        <f>IF(מלאי!D227&lt;&gt;"",מלאי!D227,"")</f>
        <v/>
      </c>
      <c r="B227" s="8" t="str">
        <f>IF(מלאי!D227&lt;&gt;"",מלאי!B227&amp;IF(מלאי!C227&lt;&gt;""," ("&amp;מלאי!C227&amp;")",""),"")</f>
        <v/>
      </c>
      <c r="C227" s="8" t="str">
        <f>IFERROR(INDEX(הגדרות!$S$2:$S$50,MATCH(מלאי!B227,הגדרות!$R$2:$R$50,0)),"")</f>
        <v/>
      </c>
      <c r="D227" s="8"/>
      <c r="E227" s="8"/>
    </row>
    <row r="228" spans="1:5" ht="15" customHeight="1" x14ac:dyDescent="0.35">
      <c r="A228" s="8" t="str">
        <f>IF(מלאי!D228&lt;&gt;"",מלאי!D228,"")</f>
        <v/>
      </c>
      <c r="B228" s="8" t="str">
        <f>IF(מלאי!D228&lt;&gt;"",מלאי!B228&amp;IF(מלאי!C228&lt;&gt;""," ("&amp;מלאי!C228&amp;")",""),"")</f>
        <v/>
      </c>
      <c r="C228" s="8" t="str">
        <f>IFERROR(INDEX(הגדרות!$S$2:$S$50,MATCH(מלאי!B228,הגדרות!$R$2:$R$50,0)),"")</f>
        <v/>
      </c>
      <c r="D228" s="8"/>
      <c r="E228" s="8"/>
    </row>
    <row r="229" spans="1:5" ht="15" customHeight="1" x14ac:dyDescent="0.35">
      <c r="A229" s="8" t="str">
        <f>IF(מלאי!D229&lt;&gt;"",מלאי!D229,"")</f>
        <v/>
      </c>
      <c r="B229" s="8" t="str">
        <f>IF(מלאי!D229&lt;&gt;"",מלאי!B229&amp;IF(מלאי!C229&lt;&gt;""," ("&amp;מלאי!C229&amp;")",""),"")</f>
        <v/>
      </c>
      <c r="C229" s="8" t="str">
        <f>IFERROR(INDEX(הגדרות!$S$2:$S$50,MATCH(מלאי!B229,הגדרות!$R$2:$R$50,0)),"")</f>
        <v/>
      </c>
      <c r="D229" s="8"/>
      <c r="E229" s="8"/>
    </row>
    <row r="230" spans="1:5" ht="15" customHeight="1" x14ac:dyDescent="0.35">
      <c r="A230" s="8" t="str">
        <f>IF(מלאי!D230&lt;&gt;"",מלאי!D230,"")</f>
        <v/>
      </c>
      <c r="B230" s="8" t="str">
        <f>IF(מלאי!D230&lt;&gt;"",מלאי!B230&amp;IF(מלאי!C230&lt;&gt;""," ("&amp;מלאי!C230&amp;")",""),"")</f>
        <v/>
      </c>
      <c r="C230" s="8" t="str">
        <f>IFERROR(INDEX(הגדרות!$S$2:$S$50,MATCH(מלאי!B230,הגדרות!$R$2:$R$50,0)),"")</f>
        <v/>
      </c>
      <c r="D230" s="8"/>
      <c r="E230" s="8"/>
    </row>
    <row r="231" spans="1:5" ht="15" customHeight="1" x14ac:dyDescent="0.35">
      <c r="A231" s="8" t="str">
        <f>IF(מלאי!D231&lt;&gt;"",מלאי!D231,"")</f>
        <v/>
      </c>
      <c r="B231" s="8" t="str">
        <f>IF(מלאי!D231&lt;&gt;"",מלאי!B231&amp;IF(מלאי!C231&lt;&gt;""," ("&amp;מלאי!C231&amp;")",""),"")</f>
        <v/>
      </c>
      <c r="C231" s="8" t="str">
        <f>IFERROR(INDEX(הגדרות!$S$2:$S$50,MATCH(מלאי!B231,הגדרות!$R$2:$R$50,0)),"")</f>
        <v/>
      </c>
      <c r="D231" s="8"/>
      <c r="E231" s="8"/>
    </row>
    <row r="232" spans="1:5" ht="15" customHeight="1" x14ac:dyDescent="0.35">
      <c r="A232" s="8" t="str">
        <f>IF(מלאי!D232&lt;&gt;"",מלאי!D232,"")</f>
        <v/>
      </c>
      <c r="B232" s="8" t="str">
        <f>IF(מלאי!D232&lt;&gt;"",מלאי!B232&amp;IF(מלאי!C232&lt;&gt;""," ("&amp;מלאי!C232&amp;")",""),"")</f>
        <v/>
      </c>
      <c r="C232" s="8" t="str">
        <f>IFERROR(INDEX(הגדרות!$S$2:$S$50,MATCH(מלאי!B232,הגדרות!$R$2:$R$50,0)),"")</f>
        <v/>
      </c>
      <c r="D232" s="8"/>
      <c r="E232" s="8"/>
    </row>
    <row r="233" spans="1:5" ht="15" customHeight="1" x14ac:dyDescent="0.35">
      <c r="A233" s="8" t="str">
        <f>IF(מלאי!D233&lt;&gt;"",מלאי!D233,"")</f>
        <v/>
      </c>
      <c r="B233" s="8" t="str">
        <f>IF(מלאי!D233&lt;&gt;"",מלאי!B233&amp;IF(מלאי!C233&lt;&gt;""," ("&amp;מלאי!C233&amp;")",""),"")</f>
        <v/>
      </c>
      <c r="C233" s="8" t="str">
        <f>IFERROR(INDEX(הגדרות!$S$2:$S$50,MATCH(מלאי!B233,הגדרות!$R$2:$R$50,0)),"")</f>
        <v/>
      </c>
      <c r="D233" s="8"/>
      <c r="E233" s="8"/>
    </row>
    <row r="234" spans="1:5" ht="15" customHeight="1" x14ac:dyDescent="0.35">
      <c r="A234" s="8" t="str">
        <f>IF(מלאי!D234&lt;&gt;"",מלאי!D234,"")</f>
        <v/>
      </c>
      <c r="B234" s="8" t="str">
        <f>IF(מלאי!D234&lt;&gt;"",מלאי!B234&amp;IF(מלאי!C234&lt;&gt;""," ("&amp;מלאי!C234&amp;")",""),"")</f>
        <v/>
      </c>
      <c r="C234" s="8" t="str">
        <f>IFERROR(INDEX(הגדרות!$S$2:$S$50,MATCH(מלאי!B234,הגדרות!$R$2:$R$50,0)),"")</f>
        <v/>
      </c>
      <c r="D234" s="8"/>
      <c r="E234" s="8"/>
    </row>
    <row r="235" spans="1:5" ht="15" customHeight="1" x14ac:dyDescent="0.35">
      <c r="A235" s="8" t="str">
        <f>IF(מלאי!D235&lt;&gt;"",מלאי!D235,"")</f>
        <v/>
      </c>
      <c r="B235" s="8" t="str">
        <f>IF(מלאי!D235&lt;&gt;"",מלאי!B235&amp;IF(מלאי!C235&lt;&gt;""," ("&amp;מלאי!C235&amp;")",""),"")</f>
        <v/>
      </c>
      <c r="C235" s="8" t="str">
        <f>IFERROR(INDEX(הגדרות!$S$2:$S$50,MATCH(מלאי!B235,הגדרות!$R$2:$R$50,0)),"")</f>
        <v/>
      </c>
      <c r="D235" s="8"/>
      <c r="E235" s="8"/>
    </row>
    <row r="236" spans="1:5" ht="15" customHeight="1" x14ac:dyDescent="0.35">
      <c r="A236" s="8" t="str">
        <f>IF(מלאי!D236&lt;&gt;"",מלאי!D236,"")</f>
        <v/>
      </c>
      <c r="B236" s="8" t="str">
        <f>IF(מלאי!D236&lt;&gt;"",מלאי!B236&amp;IF(מלאי!C236&lt;&gt;""," ("&amp;מלאי!C236&amp;")",""),"")</f>
        <v/>
      </c>
      <c r="C236" s="8" t="str">
        <f>IFERROR(INDEX(הגדרות!$S$2:$S$50,MATCH(מלאי!B236,הגדרות!$R$2:$R$50,0)),"")</f>
        <v/>
      </c>
      <c r="D236" s="8"/>
      <c r="E236" s="8"/>
    </row>
    <row r="237" spans="1:5" ht="15" customHeight="1" x14ac:dyDescent="0.35">
      <c r="A237" s="8" t="str">
        <f>IF(מלאי!D237&lt;&gt;"",מלאי!D237,"")</f>
        <v/>
      </c>
      <c r="B237" s="8" t="str">
        <f>IF(מלאי!D237&lt;&gt;"",מלאי!B237&amp;IF(מלאי!C237&lt;&gt;""," ("&amp;מלאי!C237&amp;")",""),"")</f>
        <v/>
      </c>
      <c r="C237" s="8" t="str">
        <f>IFERROR(INDEX(הגדרות!$S$2:$S$50,MATCH(מלאי!B237,הגדרות!$R$2:$R$50,0)),"")</f>
        <v/>
      </c>
      <c r="D237" s="8"/>
      <c r="E237" s="8"/>
    </row>
    <row r="238" spans="1:5" ht="15" customHeight="1" x14ac:dyDescent="0.35">
      <c r="A238" s="8" t="str">
        <f>IF(מלאי!D238&lt;&gt;"",מלאי!D238,"")</f>
        <v/>
      </c>
      <c r="B238" s="8" t="str">
        <f>IF(מלאי!D238&lt;&gt;"",מלאי!B238&amp;IF(מלאי!C238&lt;&gt;""," ("&amp;מלאי!C238&amp;")",""),"")</f>
        <v/>
      </c>
      <c r="C238" s="8" t="str">
        <f>IFERROR(INDEX(הגדרות!$S$2:$S$50,MATCH(מלאי!B238,הגדרות!$R$2:$R$50,0)),"")</f>
        <v/>
      </c>
      <c r="D238" s="8"/>
      <c r="E238" s="8"/>
    </row>
    <row r="239" spans="1:5" ht="15" customHeight="1" x14ac:dyDescent="0.35">
      <c r="A239" s="8" t="str">
        <f>IF(מלאי!D239&lt;&gt;"",מלאי!D239,"")</f>
        <v/>
      </c>
      <c r="B239" s="8" t="str">
        <f>IF(מלאי!D239&lt;&gt;"",מלאי!B239&amp;IF(מלאי!C239&lt;&gt;""," ("&amp;מלאי!C239&amp;")",""),"")</f>
        <v/>
      </c>
      <c r="C239" s="8" t="str">
        <f>IFERROR(INDEX(הגדרות!$S$2:$S$50,MATCH(מלאי!B239,הגדרות!$R$2:$R$50,0)),"")</f>
        <v/>
      </c>
      <c r="D239" s="8"/>
      <c r="E239" s="8"/>
    </row>
    <row r="240" spans="1:5" ht="15" customHeight="1" x14ac:dyDescent="0.35">
      <c r="A240" s="8" t="str">
        <f>IF(מלאי!D240&lt;&gt;"",מלאי!D240,"")</f>
        <v/>
      </c>
      <c r="B240" s="8" t="str">
        <f>IF(מלאי!D240&lt;&gt;"",מלאי!B240&amp;IF(מלאי!C240&lt;&gt;""," ("&amp;מלאי!C240&amp;")",""),"")</f>
        <v/>
      </c>
      <c r="C240" s="8" t="str">
        <f>IFERROR(INDEX(הגדרות!$S$2:$S$50,MATCH(מלאי!B240,הגדרות!$R$2:$R$50,0)),"")</f>
        <v/>
      </c>
      <c r="D240" s="8"/>
      <c r="E240" s="8"/>
    </row>
    <row r="241" spans="1:5" ht="15" customHeight="1" x14ac:dyDescent="0.35">
      <c r="A241" s="8" t="str">
        <f>IF(מלאי!D241&lt;&gt;"",מלאי!D241,"")</f>
        <v/>
      </c>
      <c r="B241" s="8" t="str">
        <f>IF(מלאי!D241&lt;&gt;"",מלאי!B241&amp;IF(מלאי!C241&lt;&gt;""," ("&amp;מלאי!C241&amp;")",""),"")</f>
        <v/>
      </c>
      <c r="C241" s="8" t="str">
        <f>IFERROR(INDEX(הגדרות!$S$2:$S$50,MATCH(מלאי!B241,הגדרות!$R$2:$R$50,0)),"")</f>
        <v/>
      </c>
      <c r="D241" s="8"/>
      <c r="E241" s="8"/>
    </row>
    <row r="242" spans="1:5" ht="15" customHeight="1" x14ac:dyDescent="0.35">
      <c r="A242" s="8" t="str">
        <f>IF(מלאי!D242&lt;&gt;"",מלאי!D242,"")</f>
        <v/>
      </c>
      <c r="B242" s="8" t="str">
        <f>IF(מלאי!D242&lt;&gt;"",מלאי!B242&amp;IF(מלאי!C242&lt;&gt;""," ("&amp;מלאי!C242&amp;")",""),"")</f>
        <v/>
      </c>
      <c r="C242" s="8" t="str">
        <f>IFERROR(INDEX(הגדרות!$S$2:$S$50,MATCH(מלאי!B242,הגדרות!$R$2:$R$50,0)),"")</f>
        <v/>
      </c>
      <c r="D242" s="8"/>
      <c r="E242" s="8"/>
    </row>
    <row r="243" spans="1:5" ht="15" customHeight="1" x14ac:dyDescent="0.35">
      <c r="A243" s="8" t="str">
        <f>IF(מלאי!D243&lt;&gt;"",מלאי!D243,"")</f>
        <v/>
      </c>
      <c r="B243" s="8" t="str">
        <f>IF(מלאי!D243&lt;&gt;"",מלאי!B243&amp;IF(מלאי!C243&lt;&gt;""," ("&amp;מלאי!C243&amp;")",""),"")</f>
        <v/>
      </c>
      <c r="C243" s="8" t="str">
        <f>IFERROR(INDEX(הגדרות!$S$2:$S$50,MATCH(מלאי!B243,הגדרות!$R$2:$R$50,0)),"")</f>
        <v/>
      </c>
      <c r="D243" s="8"/>
      <c r="E243" s="8"/>
    </row>
    <row r="244" spans="1:5" ht="15" customHeight="1" x14ac:dyDescent="0.35">
      <c r="A244" s="8" t="str">
        <f>IF(מלאי!D244&lt;&gt;"",מלאי!D244,"")</f>
        <v/>
      </c>
      <c r="B244" s="8" t="str">
        <f>IF(מלאי!D244&lt;&gt;"",מלאי!B244&amp;IF(מלאי!C244&lt;&gt;""," ("&amp;מלאי!C244&amp;")",""),"")</f>
        <v/>
      </c>
      <c r="C244" s="8" t="str">
        <f>IFERROR(INDEX(הגדרות!$S$2:$S$50,MATCH(מלאי!B244,הגדרות!$R$2:$R$50,0)),"")</f>
        <v/>
      </c>
      <c r="D244" s="8"/>
      <c r="E244" s="8"/>
    </row>
    <row r="245" spans="1:5" ht="15" customHeight="1" x14ac:dyDescent="0.35">
      <c r="A245" s="8" t="str">
        <f>IF(מלאי!D245&lt;&gt;"",מלאי!D245,"")</f>
        <v/>
      </c>
      <c r="B245" s="8" t="str">
        <f>IF(מלאי!D245&lt;&gt;"",מלאי!B245&amp;IF(מלאי!C245&lt;&gt;""," ("&amp;מלאי!C245&amp;")",""),"")</f>
        <v/>
      </c>
      <c r="C245" s="8" t="str">
        <f>IFERROR(INDEX(הגדרות!$S$2:$S$50,MATCH(מלאי!B245,הגדרות!$R$2:$R$50,0)),"")</f>
        <v/>
      </c>
      <c r="D245" s="8"/>
      <c r="E245" s="8"/>
    </row>
    <row r="246" spans="1:5" ht="15" customHeight="1" x14ac:dyDescent="0.35">
      <c r="A246" s="8" t="str">
        <f>IF(מלאי!D246&lt;&gt;"",מלאי!D246,"")</f>
        <v/>
      </c>
      <c r="B246" s="8" t="str">
        <f>IF(מלאי!D246&lt;&gt;"",מלאי!B246&amp;IF(מלאי!C246&lt;&gt;""," ("&amp;מלאי!C246&amp;")",""),"")</f>
        <v/>
      </c>
      <c r="C246" s="8" t="str">
        <f>IFERROR(INDEX(הגדרות!$S$2:$S$50,MATCH(מלאי!B246,הגדרות!$R$2:$R$50,0)),"")</f>
        <v/>
      </c>
      <c r="D246" s="8"/>
      <c r="E246" s="8"/>
    </row>
    <row r="247" spans="1:5" ht="15" customHeight="1" x14ac:dyDescent="0.35">
      <c r="A247" s="8" t="str">
        <f>IF(מלאי!D247&lt;&gt;"",מלאי!D247,"")</f>
        <v/>
      </c>
      <c r="B247" s="8" t="str">
        <f>IF(מלאי!D247&lt;&gt;"",מלאי!B247&amp;IF(מלאי!C247&lt;&gt;""," ("&amp;מלאי!C247&amp;")",""),"")</f>
        <v/>
      </c>
      <c r="C247" s="8" t="str">
        <f>IFERROR(INDEX(הגדרות!$S$2:$S$50,MATCH(מלאי!B247,הגדרות!$R$2:$R$50,0)),"")</f>
        <v/>
      </c>
      <c r="D247" s="8"/>
      <c r="E247" s="8"/>
    </row>
    <row r="248" spans="1:5" ht="15" customHeight="1" x14ac:dyDescent="0.35">
      <c r="A248" s="8" t="str">
        <f>IF(מלאי!D248&lt;&gt;"",מלאי!D248,"")</f>
        <v/>
      </c>
      <c r="B248" s="8" t="str">
        <f>IF(מלאי!D248&lt;&gt;"",מלאי!B248&amp;IF(מלאי!C248&lt;&gt;""," ("&amp;מלאי!C248&amp;")",""),"")</f>
        <v/>
      </c>
      <c r="C248" s="8" t="str">
        <f>IFERROR(INDEX(הגדרות!$S$2:$S$50,MATCH(מלאי!B248,הגדרות!$R$2:$R$50,0)),"")</f>
        <v/>
      </c>
      <c r="D248" s="8"/>
      <c r="E248" s="8"/>
    </row>
    <row r="249" spans="1:5" ht="15" customHeight="1" x14ac:dyDescent="0.35">
      <c r="A249" s="8" t="str">
        <f>IF(מלאי!D249&lt;&gt;"",מלאי!D249,"")</f>
        <v/>
      </c>
      <c r="B249" s="8" t="str">
        <f>IF(מלאי!D249&lt;&gt;"",מלאי!B249&amp;IF(מלאי!C249&lt;&gt;""," ("&amp;מלאי!C249&amp;")",""),"")</f>
        <v/>
      </c>
      <c r="C249" s="8" t="str">
        <f>IFERROR(INDEX(הגדרות!$S$2:$S$50,MATCH(מלאי!B249,הגדרות!$R$2:$R$50,0)),"")</f>
        <v/>
      </c>
      <c r="D249" s="8"/>
      <c r="E249" s="8"/>
    </row>
    <row r="250" spans="1:5" ht="15" customHeight="1" x14ac:dyDescent="0.35">
      <c r="A250" s="8" t="str">
        <f>IF(מלאי!D250&lt;&gt;"",מלאי!D250,"")</f>
        <v/>
      </c>
      <c r="B250" s="8" t="str">
        <f>IF(מלאי!D250&lt;&gt;"",מלאי!B250&amp;IF(מלאי!C250&lt;&gt;""," ("&amp;מלאי!C250&amp;")",""),"")</f>
        <v/>
      </c>
      <c r="C250" s="8" t="str">
        <f>IFERROR(INDEX(הגדרות!$S$2:$S$50,MATCH(מלאי!B250,הגדרות!$R$2:$R$50,0)),"")</f>
        <v/>
      </c>
      <c r="D250" s="8"/>
      <c r="E250" s="8"/>
    </row>
    <row r="251" spans="1:5" ht="15" customHeight="1" x14ac:dyDescent="0.35">
      <c r="A251" s="8" t="str">
        <f>IF(מלאי!D251&lt;&gt;"",מלאי!D251,"")</f>
        <v/>
      </c>
      <c r="B251" s="8" t="str">
        <f>IF(מלאי!D251&lt;&gt;"",מלאי!B251&amp;IF(מלאי!C251&lt;&gt;""," ("&amp;מלאי!C251&amp;")",""),"")</f>
        <v/>
      </c>
      <c r="C251" s="8" t="str">
        <f>IFERROR(INDEX(הגדרות!$S$2:$S$50,MATCH(מלאי!B251,הגדרות!$R$2:$R$50,0)),"")</f>
        <v/>
      </c>
      <c r="D251" s="8"/>
      <c r="E251" s="8"/>
    </row>
    <row r="252" spans="1:5" ht="15" customHeight="1" x14ac:dyDescent="0.35">
      <c r="A252" s="8" t="str">
        <f>IF(מלאי!D252&lt;&gt;"",מלאי!D252,"")</f>
        <v/>
      </c>
      <c r="B252" s="8" t="str">
        <f>IF(מלאי!D252&lt;&gt;"",מלאי!B252&amp;IF(מלאי!C252&lt;&gt;""," ("&amp;מלאי!C252&amp;")",""),"")</f>
        <v/>
      </c>
      <c r="C252" s="8" t="str">
        <f>IFERROR(INDEX(הגדרות!$S$2:$S$50,MATCH(מלאי!B252,הגדרות!$R$2:$R$50,0)),"")</f>
        <v/>
      </c>
      <c r="D252" s="8"/>
      <c r="E252" s="8"/>
    </row>
    <row r="253" spans="1:5" ht="15" customHeight="1" x14ac:dyDescent="0.35">
      <c r="A253" s="8" t="str">
        <f>IF(מלאי!D253&lt;&gt;"",מלאי!D253,"")</f>
        <v/>
      </c>
      <c r="B253" s="8" t="str">
        <f>IF(מלאי!D253&lt;&gt;"",מלאי!B253&amp;IF(מלאי!C253&lt;&gt;""," ("&amp;מלאי!C253&amp;")",""),"")</f>
        <v/>
      </c>
      <c r="C253" s="8" t="str">
        <f>IFERROR(INDEX(הגדרות!$S$2:$S$50,MATCH(מלאי!B253,הגדרות!$R$2:$R$50,0)),"")</f>
        <v/>
      </c>
      <c r="D253" s="8"/>
      <c r="E253" s="8"/>
    </row>
    <row r="254" spans="1:5" ht="15" customHeight="1" x14ac:dyDescent="0.35">
      <c r="A254" s="8" t="str">
        <f>IF(מלאי!D254&lt;&gt;"",מלאי!D254,"")</f>
        <v/>
      </c>
      <c r="B254" s="8" t="str">
        <f>IF(מלאי!D254&lt;&gt;"",מלאי!B254&amp;IF(מלאי!C254&lt;&gt;""," ("&amp;מלאי!C254&amp;")",""),"")</f>
        <v/>
      </c>
      <c r="C254" s="8" t="str">
        <f>IFERROR(INDEX(הגדרות!$S$2:$S$50,MATCH(מלאי!B254,הגדרות!$R$2:$R$50,0)),"")</f>
        <v/>
      </c>
      <c r="D254" s="8"/>
      <c r="E254" s="8"/>
    </row>
    <row r="255" spans="1:5" ht="15" customHeight="1" x14ac:dyDescent="0.35">
      <c r="A255" s="8" t="str">
        <f>IF(מלאי!D255&lt;&gt;"",מלאי!D255,"")</f>
        <v/>
      </c>
      <c r="B255" s="8" t="str">
        <f>IF(מלאי!D255&lt;&gt;"",מלאי!B255&amp;IF(מלאי!C255&lt;&gt;""," ("&amp;מלאי!C255&amp;")",""),"")</f>
        <v/>
      </c>
      <c r="C255" s="8" t="str">
        <f>IFERROR(INDEX(הגדרות!$S$2:$S$50,MATCH(מלאי!B255,הגדרות!$R$2:$R$50,0)),"")</f>
        <v/>
      </c>
      <c r="D255" s="8"/>
      <c r="E255" s="8"/>
    </row>
    <row r="256" spans="1:5" ht="15" customHeight="1" x14ac:dyDescent="0.35">
      <c r="A256" s="8" t="str">
        <f>IF(מלאי!D256&lt;&gt;"",מלאי!D256,"")</f>
        <v/>
      </c>
      <c r="B256" s="8" t="str">
        <f>IF(מלאי!D256&lt;&gt;"",מלאי!B256&amp;IF(מלאי!C256&lt;&gt;""," ("&amp;מלאי!C256&amp;")",""),"")</f>
        <v/>
      </c>
      <c r="C256" s="8" t="str">
        <f>IFERROR(INDEX(הגדרות!$S$2:$S$50,MATCH(מלאי!B256,הגדרות!$R$2:$R$50,0)),"")</f>
        <v/>
      </c>
      <c r="D256" s="8"/>
      <c r="E256" s="8"/>
    </row>
    <row r="257" spans="1:5" ht="15" customHeight="1" x14ac:dyDescent="0.35">
      <c r="A257" s="8" t="str">
        <f>IF(מלאי!D257&lt;&gt;"",מלאי!D257,"")</f>
        <v/>
      </c>
      <c r="B257" s="8" t="str">
        <f>IF(מלאי!D257&lt;&gt;"",מלאי!B257&amp;IF(מלאי!C257&lt;&gt;""," ("&amp;מלאי!C257&amp;")",""),"")</f>
        <v/>
      </c>
      <c r="C257" s="8" t="str">
        <f>IFERROR(INDEX(הגדרות!$S$2:$S$50,MATCH(מלאי!B257,הגדרות!$R$2:$R$50,0)),"")</f>
        <v/>
      </c>
      <c r="D257" s="8"/>
      <c r="E257" s="8"/>
    </row>
    <row r="258" spans="1:5" ht="15" customHeight="1" x14ac:dyDescent="0.35">
      <c r="A258" s="8" t="str">
        <f>IF(מלאי!D258&lt;&gt;"",מלאי!D258,"")</f>
        <v/>
      </c>
      <c r="B258" s="8" t="str">
        <f>IF(מלאי!D258&lt;&gt;"",מלאי!B258&amp;IF(מלאי!C258&lt;&gt;""," ("&amp;מלאי!C258&amp;")",""),"")</f>
        <v/>
      </c>
      <c r="C258" s="8" t="str">
        <f>IFERROR(INDEX(הגדרות!$S$2:$S$50,MATCH(מלאי!B258,הגדרות!$R$2:$R$50,0)),"")</f>
        <v/>
      </c>
      <c r="D258" s="8"/>
      <c r="E258" s="8"/>
    </row>
    <row r="259" spans="1:5" ht="15" customHeight="1" x14ac:dyDescent="0.35">
      <c r="A259" s="8" t="str">
        <f>IF(מלאי!D259&lt;&gt;"",מלאי!D259,"")</f>
        <v/>
      </c>
      <c r="B259" s="8" t="str">
        <f>IF(מלאי!D259&lt;&gt;"",מלאי!B259&amp;IF(מלאי!C259&lt;&gt;""," ("&amp;מלאי!C259&amp;")",""),"")</f>
        <v/>
      </c>
      <c r="C259" s="8" t="str">
        <f>IFERROR(INDEX(הגדרות!$S$2:$S$50,MATCH(מלאי!B259,הגדרות!$R$2:$R$50,0)),"")</f>
        <v/>
      </c>
      <c r="D259" s="8"/>
      <c r="E259" s="8"/>
    </row>
    <row r="260" spans="1:5" ht="15" customHeight="1" x14ac:dyDescent="0.35">
      <c r="A260" s="8" t="str">
        <f>IF(מלאי!D260&lt;&gt;"",מלאי!D260,"")</f>
        <v/>
      </c>
      <c r="B260" s="8" t="str">
        <f>IF(מלאי!D260&lt;&gt;"",מלאי!B260&amp;IF(מלאי!C260&lt;&gt;""," ("&amp;מלאי!C260&amp;")",""),"")</f>
        <v/>
      </c>
      <c r="C260" s="8" t="str">
        <f>IFERROR(INDEX(הגדרות!$S$2:$S$50,MATCH(מלאי!B260,הגדרות!$R$2:$R$50,0)),"")</f>
        <v/>
      </c>
      <c r="D260" s="8"/>
      <c r="E260" s="8"/>
    </row>
    <row r="261" spans="1:5" ht="15" customHeight="1" x14ac:dyDescent="0.35">
      <c r="A261" s="8" t="str">
        <f>IF(מלאי!D261&lt;&gt;"",מלאי!D261,"")</f>
        <v/>
      </c>
      <c r="B261" s="8" t="str">
        <f>IF(מלאי!D261&lt;&gt;"",מלאי!B261&amp;IF(מלאי!C261&lt;&gt;""," ("&amp;מלאי!C261&amp;")",""),"")</f>
        <v/>
      </c>
      <c r="C261" s="8" t="str">
        <f>IFERROR(INDEX(הגדרות!$S$2:$S$50,MATCH(מלאי!B261,הגדרות!$R$2:$R$50,0)),"")</f>
        <v/>
      </c>
      <c r="D261" s="8"/>
      <c r="E261" s="8"/>
    </row>
    <row r="262" spans="1:5" ht="15" customHeight="1" x14ac:dyDescent="0.35">
      <c r="A262" s="8" t="str">
        <f>IF(מלאי!D262&lt;&gt;"",מלאי!D262,"")</f>
        <v/>
      </c>
      <c r="B262" s="8" t="str">
        <f>IF(מלאי!D262&lt;&gt;"",מלאי!B262&amp;IF(מלאי!C262&lt;&gt;""," ("&amp;מלאי!C262&amp;")",""),"")</f>
        <v/>
      </c>
      <c r="C262" s="8" t="str">
        <f>IFERROR(INDEX(הגדרות!$S$2:$S$50,MATCH(מלאי!B262,הגדרות!$R$2:$R$50,0)),"")</f>
        <v/>
      </c>
      <c r="D262" s="8"/>
      <c r="E262" s="8"/>
    </row>
    <row r="263" spans="1:5" ht="15" customHeight="1" x14ac:dyDescent="0.35">
      <c r="A263" s="8" t="str">
        <f>IF(מלאי!D263&lt;&gt;"",מלאי!D263,"")</f>
        <v/>
      </c>
      <c r="B263" s="8" t="str">
        <f>IF(מלאי!D263&lt;&gt;"",מלאי!B263&amp;IF(מלאי!C263&lt;&gt;""," ("&amp;מלאי!C263&amp;")",""),"")</f>
        <v/>
      </c>
      <c r="C263" s="8" t="str">
        <f>IFERROR(INDEX(הגדרות!$S$2:$S$50,MATCH(מלאי!B263,הגדרות!$R$2:$R$50,0)),"")</f>
        <v/>
      </c>
      <c r="D263" s="8"/>
      <c r="E263" s="8"/>
    </row>
    <row r="264" spans="1:5" ht="15" customHeight="1" x14ac:dyDescent="0.35">
      <c r="A264" s="8" t="str">
        <f>IF(מלאי!D264&lt;&gt;"",מלאי!D264,"")</f>
        <v/>
      </c>
      <c r="B264" s="8" t="str">
        <f>IF(מלאי!D264&lt;&gt;"",מלאי!B264&amp;IF(מלאי!C264&lt;&gt;""," ("&amp;מלאי!C264&amp;")",""),"")</f>
        <v/>
      </c>
      <c r="C264" s="8" t="str">
        <f>IFERROR(INDEX(הגדרות!$S$2:$S$50,MATCH(מלאי!B264,הגדרות!$R$2:$R$50,0)),"")</f>
        <v/>
      </c>
      <c r="D264" s="8"/>
      <c r="E264" s="8"/>
    </row>
    <row r="265" spans="1:5" ht="15" customHeight="1" x14ac:dyDescent="0.35">
      <c r="A265" s="8" t="str">
        <f>IF(מלאי!D265&lt;&gt;"",מלאי!D265,"")</f>
        <v/>
      </c>
      <c r="B265" s="8" t="str">
        <f>IF(מלאי!D265&lt;&gt;"",מלאי!B265&amp;IF(מלאי!C265&lt;&gt;""," ("&amp;מלאי!C265&amp;")",""),"")</f>
        <v/>
      </c>
      <c r="C265" s="8" t="str">
        <f>IFERROR(INDEX(הגדרות!$S$2:$S$50,MATCH(מלאי!B265,הגדרות!$R$2:$R$50,0)),"")</f>
        <v/>
      </c>
      <c r="D265" s="8"/>
      <c r="E265" s="8"/>
    </row>
    <row r="266" spans="1:5" ht="15" customHeight="1" x14ac:dyDescent="0.35">
      <c r="A266" s="8" t="str">
        <f>IF(מלאי!D266&lt;&gt;"",מלאי!D266,"")</f>
        <v/>
      </c>
      <c r="B266" s="8" t="str">
        <f>IF(מלאי!D266&lt;&gt;"",מלאי!B266&amp;IF(מלאי!C266&lt;&gt;""," ("&amp;מלאי!C266&amp;")",""),"")</f>
        <v/>
      </c>
      <c r="C266" s="8" t="str">
        <f>IFERROR(INDEX(הגדרות!$S$2:$S$50,MATCH(מלאי!B266,הגדרות!$R$2:$R$50,0)),"")</f>
        <v/>
      </c>
      <c r="D266" s="8"/>
      <c r="E266" s="8"/>
    </row>
    <row r="267" spans="1:5" ht="15" customHeight="1" x14ac:dyDescent="0.35">
      <c r="A267" s="8" t="str">
        <f>IF(מלאי!D267&lt;&gt;"",מלאי!D267,"")</f>
        <v/>
      </c>
      <c r="B267" s="8" t="str">
        <f>IF(מלאי!D267&lt;&gt;"",מלאי!B267&amp;IF(מלאי!C267&lt;&gt;""," ("&amp;מלאי!C267&amp;")",""),"")</f>
        <v/>
      </c>
      <c r="C267" s="8" t="str">
        <f>IFERROR(INDEX(הגדרות!$S$2:$S$50,MATCH(מלאי!B267,הגדרות!$R$2:$R$50,0)),"")</f>
        <v/>
      </c>
      <c r="D267" s="8"/>
      <c r="E267" s="8"/>
    </row>
    <row r="268" spans="1:5" ht="15" customHeight="1" x14ac:dyDescent="0.35">
      <c r="A268" s="8" t="str">
        <f>IF(מלאי!D268&lt;&gt;"",מלאי!D268,"")</f>
        <v/>
      </c>
      <c r="B268" s="8" t="str">
        <f>IF(מלאי!D268&lt;&gt;"",מלאי!B268&amp;IF(מלאי!C268&lt;&gt;""," ("&amp;מלאי!C268&amp;")",""),"")</f>
        <v/>
      </c>
      <c r="C268" s="8" t="str">
        <f>IFERROR(INDEX(הגדרות!$S$2:$S$50,MATCH(מלאי!B268,הגדרות!$R$2:$R$50,0)),"")</f>
        <v/>
      </c>
      <c r="D268" s="8"/>
      <c r="E268" s="8"/>
    </row>
    <row r="269" spans="1:5" ht="15" customHeight="1" x14ac:dyDescent="0.35">
      <c r="A269" s="8" t="str">
        <f>IF(מלאי!D269&lt;&gt;"",מלאי!D269,"")</f>
        <v/>
      </c>
      <c r="B269" s="8" t="str">
        <f>IF(מלאי!D269&lt;&gt;"",מלאי!B269&amp;IF(מלאי!C269&lt;&gt;""," ("&amp;מלאי!C269&amp;")",""),"")</f>
        <v/>
      </c>
      <c r="C269" s="8" t="str">
        <f>IFERROR(INDEX(הגדרות!$S$2:$S$50,MATCH(מלאי!B269,הגדרות!$R$2:$R$50,0)),"")</f>
        <v/>
      </c>
      <c r="D269" s="8"/>
      <c r="E269" s="8"/>
    </row>
    <row r="270" spans="1:5" ht="15" customHeight="1" x14ac:dyDescent="0.35">
      <c r="A270" s="8" t="str">
        <f>IF(מלאי!D270&lt;&gt;"",מלאי!D270,"")</f>
        <v/>
      </c>
      <c r="B270" s="8" t="str">
        <f>IF(מלאי!D270&lt;&gt;"",מלאי!B270&amp;IF(מלאי!C270&lt;&gt;""," ("&amp;מלאי!C270&amp;")",""),"")</f>
        <v/>
      </c>
      <c r="C270" s="8" t="str">
        <f>IFERROR(INDEX(הגדרות!$S$2:$S$50,MATCH(מלאי!B270,הגדרות!$R$2:$R$50,0)),"")</f>
        <v/>
      </c>
      <c r="D270" s="8"/>
      <c r="E270" s="8"/>
    </row>
    <row r="271" spans="1:5" ht="15" customHeight="1" x14ac:dyDescent="0.35">
      <c r="A271" s="8" t="str">
        <f>IF(מלאי!D271&lt;&gt;"",מלאי!D271,"")</f>
        <v/>
      </c>
      <c r="B271" s="8" t="str">
        <f>IF(מלאי!D271&lt;&gt;"",מלאי!B271&amp;IF(מלאי!C271&lt;&gt;""," ("&amp;מלאי!C271&amp;")",""),"")</f>
        <v/>
      </c>
      <c r="C271" s="8" t="str">
        <f>IFERROR(INDEX(הגדרות!$S$2:$S$50,MATCH(מלאי!B271,הגדרות!$R$2:$R$50,0)),"")</f>
        <v/>
      </c>
      <c r="D271" s="8"/>
      <c r="E271" s="8"/>
    </row>
    <row r="272" spans="1:5" ht="15" customHeight="1" x14ac:dyDescent="0.35">
      <c r="A272" s="8" t="str">
        <f>IF(מלאי!D272&lt;&gt;"",מלאי!D272,"")</f>
        <v/>
      </c>
      <c r="B272" s="8" t="str">
        <f>IF(מלאי!D272&lt;&gt;"",מלאי!B272&amp;IF(מלאי!C272&lt;&gt;""," ("&amp;מלאי!C272&amp;")",""),"")</f>
        <v/>
      </c>
      <c r="C272" s="8" t="str">
        <f>IFERROR(INDEX(הגדרות!$S$2:$S$50,MATCH(מלאי!B272,הגדרות!$R$2:$R$50,0)),"")</f>
        <v/>
      </c>
      <c r="D272" s="8"/>
      <c r="E272" s="8"/>
    </row>
    <row r="273" spans="1:5" ht="15" customHeight="1" x14ac:dyDescent="0.35">
      <c r="A273" s="8" t="str">
        <f>IF(מלאי!D273&lt;&gt;"",מלאי!D273,"")</f>
        <v/>
      </c>
      <c r="B273" s="8" t="str">
        <f>IF(מלאי!D273&lt;&gt;"",מלאי!B273&amp;IF(מלאי!C273&lt;&gt;""," ("&amp;מלאי!C273&amp;")",""),"")</f>
        <v/>
      </c>
      <c r="C273" s="8" t="str">
        <f>IFERROR(INDEX(הגדרות!$S$2:$S$50,MATCH(מלאי!B273,הגדרות!$R$2:$R$50,0)),"")</f>
        <v/>
      </c>
      <c r="D273" s="8"/>
      <c r="E273" s="8"/>
    </row>
    <row r="274" spans="1:5" ht="15" customHeight="1" x14ac:dyDescent="0.35">
      <c r="A274" s="8" t="str">
        <f>IF(מלאי!D274&lt;&gt;"",מלאי!D274,"")</f>
        <v/>
      </c>
      <c r="B274" s="8" t="str">
        <f>IF(מלאי!D274&lt;&gt;"",מלאי!B274&amp;IF(מלאי!C274&lt;&gt;""," ("&amp;מלאי!C274&amp;")",""),"")</f>
        <v/>
      </c>
      <c r="C274" s="8" t="str">
        <f>IFERROR(INDEX(הגדרות!$S$2:$S$50,MATCH(מלאי!B274,הגדרות!$R$2:$R$50,0)),"")</f>
        <v/>
      </c>
      <c r="D274" s="8"/>
      <c r="E274" s="8"/>
    </row>
    <row r="275" spans="1:5" ht="15" customHeight="1" x14ac:dyDescent="0.35">
      <c r="A275" s="8" t="str">
        <f>IF(מלאי!D275&lt;&gt;"",מלאי!D275,"")</f>
        <v/>
      </c>
      <c r="B275" s="8" t="str">
        <f>IF(מלאי!D275&lt;&gt;"",מלאי!B275&amp;IF(מלאי!C275&lt;&gt;""," ("&amp;מלאי!C275&amp;")",""),"")</f>
        <v/>
      </c>
      <c r="C275" s="8" t="str">
        <f>IFERROR(INDEX(הגדרות!$S$2:$S$50,MATCH(מלאי!B275,הגדרות!$R$2:$R$50,0)),"")</f>
        <v/>
      </c>
      <c r="D275" s="8"/>
      <c r="E275" s="8"/>
    </row>
    <row r="276" spans="1:5" ht="15" customHeight="1" x14ac:dyDescent="0.35">
      <c r="A276" s="8" t="str">
        <f>IF(מלאי!D276&lt;&gt;"",מלאי!D276,"")</f>
        <v/>
      </c>
      <c r="B276" s="8" t="str">
        <f>IF(מלאי!D276&lt;&gt;"",מלאי!B276&amp;IF(מלאי!C276&lt;&gt;""," ("&amp;מלאי!C276&amp;")",""),"")</f>
        <v/>
      </c>
      <c r="C276" s="8" t="str">
        <f>IFERROR(INDEX(הגדרות!$S$2:$S$50,MATCH(מלאי!B276,הגדרות!$R$2:$R$50,0)),"")</f>
        <v/>
      </c>
      <c r="D276" s="8"/>
      <c r="E276" s="8"/>
    </row>
    <row r="277" spans="1:5" ht="15" customHeight="1" x14ac:dyDescent="0.35">
      <c r="A277" s="8" t="str">
        <f>IF(מלאי!D277&lt;&gt;"",מלאי!D277,"")</f>
        <v/>
      </c>
      <c r="B277" s="8" t="str">
        <f>IF(מלאי!D277&lt;&gt;"",מלאי!B277&amp;IF(מלאי!C277&lt;&gt;""," ("&amp;מלאי!C277&amp;")",""),"")</f>
        <v/>
      </c>
      <c r="C277" s="8" t="str">
        <f>IFERROR(INDEX(הגדרות!$S$2:$S$50,MATCH(מלאי!B277,הגדרות!$R$2:$R$50,0)),"")</f>
        <v/>
      </c>
      <c r="D277" s="8"/>
      <c r="E277" s="8"/>
    </row>
    <row r="278" spans="1:5" ht="15" customHeight="1" x14ac:dyDescent="0.35">
      <c r="A278" s="8" t="str">
        <f>IF(מלאי!D278&lt;&gt;"",מלאי!D278,"")</f>
        <v/>
      </c>
      <c r="B278" s="8" t="str">
        <f>IF(מלאי!D278&lt;&gt;"",מלאי!B278&amp;IF(מלאי!C278&lt;&gt;""," ("&amp;מלאי!C278&amp;")",""),"")</f>
        <v/>
      </c>
      <c r="C278" s="8" t="str">
        <f>IFERROR(INDEX(הגדרות!$S$2:$S$50,MATCH(מלאי!B278,הגדרות!$R$2:$R$50,0)),"")</f>
        <v/>
      </c>
      <c r="D278" s="8"/>
      <c r="E278" s="8"/>
    </row>
    <row r="279" spans="1:5" ht="15" customHeight="1" x14ac:dyDescent="0.35">
      <c r="A279" s="8" t="str">
        <f>IF(מלאי!D279&lt;&gt;"",מלאי!D279,"")</f>
        <v/>
      </c>
      <c r="B279" s="8" t="str">
        <f>IF(מלאי!D279&lt;&gt;"",מלאי!B279&amp;IF(מלאי!C279&lt;&gt;""," ("&amp;מלאי!C279&amp;")",""),"")</f>
        <v/>
      </c>
      <c r="C279" s="8" t="str">
        <f>IFERROR(INDEX(הגדרות!$S$2:$S$50,MATCH(מלאי!B279,הגדרות!$R$2:$R$50,0)),"")</f>
        <v/>
      </c>
      <c r="D279" s="8"/>
      <c r="E279" s="8"/>
    </row>
    <row r="280" spans="1:5" ht="15" customHeight="1" x14ac:dyDescent="0.35">
      <c r="A280" s="8" t="str">
        <f>IF(מלאי!D280&lt;&gt;"",מלאי!D280,"")</f>
        <v/>
      </c>
      <c r="B280" s="8" t="str">
        <f>IF(מלאי!D280&lt;&gt;"",מלאי!B280&amp;IF(מלאי!C280&lt;&gt;""," ("&amp;מלאי!C280&amp;")",""),"")</f>
        <v/>
      </c>
      <c r="C280" s="8" t="str">
        <f>IFERROR(INDEX(הגדרות!$S$2:$S$50,MATCH(מלאי!B280,הגדרות!$R$2:$R$50,0)),"")</f>
        <v/>
      </c>
      <c r="D280" s="8"/>
      <c r="E280" s="8"/>
    </row>
    <row r="281" spans="1:5" ht="15" customHeight="1" x14ac:dyDescent="0.35">
      <c r="A281" s="8" t="str">
        <f>IF(מלאי!D281&lt;&gt;"",מלאי!D281,"")</f>
        <v/>
      </c>
      <c r="B281" s="8" t="str">
        <f>IF(מלאי!D281&lt;&gt;"",מלאי!B281&amp;IF(מלאי!C281&lt;&gt;""," ("&amp;מלאי!C281&amp;")",""),"")</f>
        <v/>
      </c>
      <c r="C281" s="8" t="str">
        <f>IFERROR(INDEX(הגדרות!$S$2:$S$50,MATCH(מלאי!B281,הגדרות!$R$2:$R$50,0)),"")</f>
        <v/>
      </c>
      <c r="D281" s="8"/>
      <c r="E281" s="8"/>
    </row>
    <row r="282" spans="1:5" ht="15" customHeight="1" x14ac:dyDescent="0.35">
      <c r="A282" s="8" t="str">
        <f>IF(מלאי!D282&lt;&gt;"",מלאי!D282,"")</f>
        <v/>
      </c>
      <c r="B282" s="8" t="str">
        <f>IF(מלאי!D282&lt;&gt;"",מלאי!B282&amp;IF(מלאי!C282&lt;&gt;""," ("&amp;מלאי!C282&amp;")",""),"")</f>
        <v/>
      </c>
      <c r="C282" s="8" t="str">
        <f>IFERROR(INDEX(הגדרות!$S$2:$S$50,MATCH(מלאי!B282,הגדרות!$R$2:$R$50,0)),"")</f>
        <v/>
      </c>
      <c r="D282" s="8"/>
      <c r="E282" s="8"/>
    </row>
    <row r="283" spans="1:5" ht="15" customHeight="1" x14ac:dyDescent="0.35">
      <c r="A283" s="8" t="str">
        <f>IF(מלאי!D283&lt;&gt;"",מלאי!D283,"")</f>
        <v/>
      </c>
      <c r="B283" s="8" t="str">
        <f>IF(מלאי!D283&lt;&gt;"",מלאי!B283&amp;IF(מלאי!C283&lt;&gt;""," ("&amp;מלאי!C283&amp;")",""),"")</f>
        <v/>
      </c>
      <c r="C283" s="8" t="str">
        <f>IFERROR(INDEX(הגדרות!$S$2:$S$50,MATCH(מלאי!B283,הגדרות!$R$2:$R$50,0)),"")</f>
        <v/>
      </c>
      <c r="D283" s="8"/>
      <c r="E283" s="8"/>
    </row>
    <row r="284" spans="1:5" ht="15" customHeight="1" x14ac:dyDescent="0.35">
      <c r="A284" s="8" t="str">
        <f>IF(מלאי!D284&lt;&gt;"",מלאי!D284,"")</f>
        <v/>
      </c>
      <c r="B284" s="8" t="str">
        <f>IF(מלאי!D284&lt;&gt;"",מלאי!B284&amp;IF(מלאי!C284&lt;&gt;""," ("&amp;מלאי!C284&amp;")",""),"")</f>
        <v/>
      </c>
      <c r="C284" s="8" t="str">
        <f>IFERROR(INDEX(הגדרות!$S$2:$S$50,MATCH(מלאי!B284,הגדרות!$R$2:$R$50,0)),"")</f>
        <v/>
      </c>
      <c r="D284" s="8"/>
      <c r="E284" s="8"/>
    </row>
    <row r="285" spans="1:5" ht="15" customHeight="1" x14ac:dyDescent="0.35">
      <c r="A285" s="8" t="str">
        <f>IF(מלאי!D285&lt;&gt;"",מלאי!D285,"")</f>
        <v/>
      </c>
      <c r="B285" s="8" t="str">
        <f>IF(מלאי!D285&lt;&gt;"",מלאי!B285&amp;IF(מלאי!C285&lt;&gt;""," ("&amp;מלאי!C285&amp;")",""),"")</f>
        <v/>
      </c>
      <c r="C285" s="8" t="str">
        <f>IFERROR(INDEX(הגדרות!$S$2:$S$50,MATCH(מלאי!B285,הגדרות!$R$2:$R$50,0)),"")</f>
        <v/>
      </c>
      <c r="D285" s="8"/>
      <c r="E285" s="8"/>
    </row>
    <row r="286" spans="1:5" ht="15" customHeight="1" x14ac:dyDescent="0.35">
      <c r="A286" s="8" t="str">
        <f>IF(מלאי!D286&lt;&gt;"",מלאי!D286,"")</f>
        <v/>
      </c>
      <c r="B286" s="8" t="str">
        <f>IF(מלאי!D286&lt;&gt;"",מלאי!B286&amp;IF(מלאי!C286&lt;&gt;""," ("&amp;מלאי!C286&amp;")",""),"")</f>
        <v/>
      </c>
      <c r="C286" s="8" t="str">
        <f>IFERROR(INDEX(הגדרות!$S$2:$S$50,MATCH(מלאי!B286,הגדרות!$R$2:$R$50,0)),"")</f>
        <v/>
      </c>
      <c r="D286" s="8"/>
      <c r="E286" s="8"/>
    </row>
    <row r="287" spans="1:5" ht="15" customHeight="1" x14ac:dyDescent="0.35">
      <c r="A287" s="8" t="str">
        <f>IF(מלאי!D287&lt;&gt;"",מלאי!D287,"")</f>
        <v/>
      </c>
      <c r="B287" s="8" t="str">
        <f>IF(מלאי!D287&lt;&gt;"",מלאי!B287&amp;IF(מלאי!C287&lt;&gt;""," ("&amp;מלאי!C287&amp;")",""),"")</f>
        <v/>
      </c>
      <c r="C287" s="8" t="str">
        <f>IFERROR(INDEX(הגדרות!$S$2:$S$50,MATCH(מלאי!B287,הגדרות!$R$2:$R$50,0)),"")</f>
        <v/>
      </c>
      <c r="D287" s="8"/>
      <c r="E287" s="8"/>
    </row>
    <row r="288" spans="1:5" ht="15" customHeight="1" x14ac:dyDescent="0.35">
      <c r="A288" s="8" t="str">
        <f>IF(מלאי!D288&lt;&gt;"",מלאי!D288,"")</f>
        <v/>
      </c>
      <c r="B288" s="8" t="str">
        <f>IF(מלאי!D288&lt;&gt;"",מלאי!B288&amp;IF(מלאי!C288&lt;&gt;""," ("&amp;מלאי!C288&amp;")",""),"")</f>
        <v/>
      </c>
      <c r="C288" s="8" t="str">
        <f>IFERROR(INDEX(הגדרות!$S$2:$S$50,MATCH(מלאי!B288,הגדרות!$R$2:$R$50,0)),"")</f>
        <v/>
      </c>
      <c r="D288" s="8"/>
      <c r="E288" s="8"/>
    </row>
    <row r="289" spans="1:5" ht="15" customHeight="1" x14ac:dyDescent="0.35">
      <c r="A289" s="8" t="str">
        <f>IF(מלאי!D289&lt;&gt;"",מלאי!D289,"")</f>
        <v/>
      </c>
      <c r="B289" s="8" t="str">
        <f>IF(מלאי!D289&lt;&gt;"",מלאי!B289&amp;IF(מלאי!C289&lt;&gt;""," ("&amp;מלאי!C289&amp;")",""),"")</f>
        <v/>
      </c>
      <c r="C289" s="8" t="str">
        <f>IFERROR(INDEX(הגדרות!$S$2:$S$50,MATCH(מלאי!B289,הגדרות!$R$2:$R$50,0)),"")</f>
        <v/>
      </c>
      <c r="D289" s="8"/>
      <c r="E289" s="8"/>
    </row>
    <row r="290" spans="1:5" ht="15" customHeight="1" x14ac:dyDescent="0.35">
      <c r="A290" s="8" t="str">
        <f>IF(מלאי!D290&lt;&gt;"",מלאי!D290,"")</f>
        <v/>
      </c>
      <c r="B290" s="8" t="str">
        <f>IF(מלאי!D290&lt;&gt;"",מלאי!B290&amp;IF(מלאי!C290&lt;&gt;""," ("&amp;מלאי!C290&amp;")",""),"")</f>
        <v/>
      </c>
      <c r="C290" s="8" t="str">
        <f>IFERROR(INDEX(הגדרות!$S$2:$S$50,MATCH(מלאי!B290,הגדרות!$R$2:$R$50,0)),"")</f>
        <v/>
      </c>
      <c r="D290" s="8"/>
      <c r="E290" s="8"/>
    </row>
    <row r="291" spans="1:5" ht="15" customHeight="1" x14ac:dyDescent="0.35">
      <c r="A291" s="8" t="str">
        <f>IF(מלאי!D291&lt;&gt;"",מלאי!D291,"")</f>
        <v/>
      </c>
      <c r="B291" s="8" t="str">
        <f>IF(מלאי!D291&lt;&gt;"",מלאי!B291&amp;IF(מלאי!C291&lt;&gt;""," ("&amp;מלאי!C291&amp;")",""),"")</f>
        <v/>
      </c>
      <c r="C291" s="8" t="str">
        <f>IFERROR(INDEX(הגדרות!$S$2:$S$50,MATCH(מלאי!B291,הגדרות!$R$2:$R$50,0)),"")</f>
        <v/>
      </c>
      <c r="D291" s="8"/>
      <c r="E291" s="8"/>
    </row>
    <row r="292" spans="1:5" ht="15" customHeight="1" x14ac:dyDescent="0.35">
      <c r="A292" s="8" t="str">
        <f>IF(מלאי!D292&lt;&gt;"",מלאי!D292,"")</f>
        <v/>
      </c>
      <c r="B292" s="8" t="str">
        <f>IF(מלאי!D292&lt;&gt;"",מלאי!B292&amp;IF(מלאי!C292&lt;&gt;""," ("&amp;מלאי!C292&amp;")",""),"")</f>
        <v/>
      </c>
      <c r="C292" s="8" t="str">
        <f>IFERROR(INDEX(הגדרות!$S$2:$S$50,MATCH(מלאי!B292,הגדרות!$R$2:$R$50,0)),"")</f>
        <v/>
      </c>
      <c r="D292" s="8"/>
      <c r="E292" s="8"/>
    </row>
    <row r="293" spans="1:5" ht="15" customHeight="1" x14ac:dyDescent="0.35">
      <c r="A293" s="8" t="str">
        <f>IF(מלאי!D293&lt;&gt;"",מלאי!D293,"")</f>
        <v/>
      </c>
      <c r="B293" s="8" t="str">
        <f>IF(מלאי!D293&lt;&gt;"",מלאי!B293&amp;IF(מלאי!C293&lt;&gt;""," ("&amp;מלאי!C293&amp;")",""),"")</f>
        <v/>
      </c>
      <c r="C293" s="8" t="str">
        <f>IFERROR(INDEX(הגדרות!$S$2:$S$50,MATCH(מלאי!B293,הגדרות!$R$2:$R$50,0)),"")</f>
        <v/>
      </c>
      <c r="D293" s="8"/>
      <c r="E293" s="8"/>
    </row>
    <row r="294" spans="1:5" ht="15" customHeight="1" x14ac:dyDescent="0.35">
      <c r="A294" s="8" t="str">
        <f>IF(מלאי!D294&lt;&gt;"",מלאי!D294,"")</f>
        <v/>
      </c>
      <c r="B294" s="8" t="str">
        <f>IF(מלאי!D294&lt;&gt;"",מלאי!B294&amp;IF(מלאי!C294&lt;&gt;""," ("&amp;מלאי!C294&amp;")",""),"")</f>
        <v/>
      </c>
      <c r="C294" s="8" t="str">
        <f>IFERROR(INDEX(הגדרות!$S$2:$S$50,MATCH(מלאי!B294,הגדרות!$R$2:$R$50,0)),"")</f>
        <v/>
      </c>
      <c r="D294" s="8"/>
      <c r="E294" s="8"/>
    </row>
    <row r="295" spans="1:5" ht="15" customHeight="1" x14ac:dyDescent="0.35">
      <c r="A295" s="8" t="str">
        <f>IF(מלאי!D295&lt;&gt;"",מלאי!D295,"")</f>
        <v/>
      </c>
      <c r="B295" s="8" t="str">
        <f>IF(מלאי!D295&lt;&gt;"",מלאי!B295&amp;IF(מלאי!C295&lt;&gt;""," ("&amp;מלאי!C295&amp;")",""),"")</f>
        <v/>
      </c>
      <c r="C295" s="8" t="str">
        <f>IFERROR(INDEX(הגדרות!$S$2:$S$50,MATCH(מלאי!B295,הגדרות!$R$2:$R$50,0)),"")</f>
        <v/>
      </c>
      <c r="D295" s="8"/>
      <c r="E295" s="8"/>
    </row>
    <row r="296" spans="1:5" ht="15" customHeight="1" x14ac:dyDescent="0.35">
      <c r="A296" s="8" t="str">
        <f>IF(מלאי!D296&lt;&gt;"",מלאי!D296,"")</f>
        <v/>
      </c>
      <c r="B296" s="8" t="str">
        <f>IF(מלאי!D296&lt;&gt;"",מלאי!B296&amp;IF(מלאי!C296&lt;&gt;""," ("&amp;מלאי!C296&amp;")",""),"")</f>
        <v/>
      </c>
      <c r="C296" s="8" t="str">
        <f>IFERROR(INDEX(הגדרות!$S$2:$S$50,MATCH(מלאי!B296,הגדרות!$R$2:$R$50,0)),"")</f>
        <v/>
      </c>
      <c r="D296" s="8"/>
      <c r="E296" s="8"/>
    </row>
    <row r="297" spans="1:5" ht="15" customHeight="1" x14ac:dyDescent="0.35">
      <c r="A297" s="8" t="str">
        <f>IF(מלאי!D297&lt;&gt;"",מלאי!D297,"")</f>
        <v/>
      </c>
      <c r="B297" s="8" t="str">
        <f>IF(מלאי!D297&lt;&gt;"",מלאי!B297&amp;IF(מלאי!C297&lt;&gt;""," ("&amp;מלאי!C297&amp;")",""),"")</f>
        <v/>
      </c>
      <c r="C297" s="8" t="str">
        <f>IFERROR(INDEX(הגדרות!$S$2:$S$50,MATCH(מלאי!B297,הגדרות!$R$2:$R$50,0)),"")</f>
        <v/>
      </c>
      <c r="D297" s="8"/>
      <c r="E297" s="8"/>
    </row>
    <row r="298" spans="1:5" ht="15" customHeight="1" x14ac:dyDescent="0.35">
      <c r="A298" s="8" t="str">
        <f>IF(מלאי!D298&lt;&gt;"",מלאי!D298,"")</f>
        <v/>
      </c>
      <c r="B298" s="8" t="str">
        <f>IF(מלאי!D298&lt;&gt;"",מלאי!B298&amp;IF(מלאי!C298&lt;&gt;""," ("&amp;מלאי!C298&amp;")",""),"")</f>
        <v/>
      </c>
      <c r="C298" s="8" t="str">
        <f>IFERROR(INDEX(הגדרות!$S$2:$S$50,MATCH(מלאי!B298,הגדרות!$R$2:$R$50,0)),"")</f>
        <v/>
      </c>
      <c r="D298" s="8"/>
      <c r="E298" s="8"/>
    </row>
    <row r="299" spans="1:5" ht="15" customHeight="1" x14ac:dyDescent="0.35">
      <c r="A299" s="8" t="str">
        <f>IF(מלאי!D299&lt;&gt;"",מלאי!D299,"")</f>
        <v/>
      </c>
      <c r="B299" s="8" t="str">
        <f>IF(מלאי!D299&lt;&gt;"",מלאי!B299&amp;IF(מלאי!C299&lt;&gt;""," ("&amp;מלאי!C299&amp;")",""),"")</f>
        <v/>
      </c>
      <c r="C299" s="8" t="str">
        <f>IFERROR(INDEX(הגדרות!$S$2:$S$50,MATCH(מלאי!B299,הגדרות!$R$2:$R$50,0)),"")</f>
        <v/>
      </c>
      <c r="D299" s="8"/>
      <c r="E299" s="8"/>
    </row>
    <row r="300" spans="1:5" ht="15" customHeight="1" x14ac:dyDescent="0.35">
      <c r="A300" s="8" t="str">
        <f>IF(מלאי!D300&lt;&gt;"",מלאי!D300,"")</f>
        <v/>
      </c>
      <c r="B300" s="8" t="str">
        <f>IF(מלאי!D300&lt;&gt;"",מלאי!B300&amp;IF(מלאי!C300&lt;&gt;""," ("&amp;מלאי!C300&amp;")",""),"")</f>
        <v/>
      </c>
      <c r="C300" s="8" t="str">
        <f>IFERROR(INDEX(הגדרות!$S$2:$S$50,MATCH(מלאי!B300,הגדרות!$R$2:$R$50,0)),"")</f>
        <v/>
      </c>
      <c r="D300" s="8"/>
      <c r="E300" s="8"/>
    </row>
    <row r="301" spans="1:5" ht="15" customHeight="1" x14ac:dyDescent="0.35">
      <c r="A301" s="8" t="str">
        <f>IF(מלאי!D301&lt;&gt;"",מלאי!D301,"")</f>
        <v/>
      </c>
      <c r="B301" s="8" t="str">
        <f>IF(מלאי!D301&lt;&gt;"",מלאי!B301&amp;IF(מלאי!C301&lt;&gt;""," ("&amp;מלאי!C301&amp;")",""),"")</f>
        <v/>
      </c>
      <c r="C301" s="8" t="str">
        <f>IFERROR(INDEX(הגדרות!$S$2:$S$50,MATCH(מלאי!B301,הגדרות!$R$2:$R$50,0)),"")</f>
        <v/>
      </c>
      <c r="D301" s="8"/>
      <c r="E301" s="8"/>
    </row>
    <row r="302" spans="1:5" ht="15" customHeight="1" x14ac:dyDescent="0.35">
      <c r="A302" s="8" t="str">
        <f>IF(מלאי!D302&lt;&gt;"",מלאי!D302,"")</f>
        <v/>
      </c>
      <c r="B302" s="8" t="str">
        <f>IF(מלאי!D302&lt;&gt;"",מלאי!B302&amp;IF(מלאי!C302&lt;&gt;""," ("&amp;מלאי!C302&amp;")",""),"")</f>
        <v/>
      </c>
      <c r="C302" s="8" t="str">
        <f>IFERROR(INDEX(הגדרות!$S$2:$S$50,MATCH(מלאי!B302,הגדרות!$R$2:$R$50,0)),"")</f>
        <v/>
      </c>
      <c r="D302" s="8"/>
      <c r="E302" s="8"/>
    </row>
    <row r="303" spans="1:5" ht="15" customHeight="1" x14ac:dyDescent="0.35">
      <c r="A303" s="8" t="str">
        <f>IF(מלאי!D303&lt;&gt;"",מלאי!D303,"")</f>
        <v/>
      </c>
      <c r="B303" s="8" t="str">
        <f>IF(מלאי!D303&lt;&gt;"",מלאי!B303&amp;IF(מלאי!C303&lt;&gt;""," ("&amp;מלאי!C303&amp;")",""),"")</f>
        <v/>
      </c>
      <c r="C303" s="8" t="str">
        <f>IFERROR(INDEX(הגדרות!$S$2:$S$50,MATCH(מלאי!B303,הגדרות!$R$2:$R$50,0)),"")</f>
        <v/>
      </c>
      <c r="D303" s="8"/>
      <c r="E303" s="8"/>
    </row>
    <row r="304" spans="1:5" ht="15" customHeight="1" x14ac:dyDescent="0.35">
      <c r="A304" s="8" t="str">
        <f>IF(מלאי!D304&lt;&gt;"",מלאי!D304,"")</f>
        <v/>
      </c>
      <c r="B304" s="8" t="str">
        <f>IF(מלאי!D304&lt;&gt;"",מלאי!B304&amp;IF(מלאי!C304&lt;&gt;""," ("&amp;מלאי!C304&amp;")",""),"")</f>
        <v/>
      </c>
      <c r="C304" s="8" t="str">
        <f>IFERROR(INDEX(הגדרות!$S$2:$S$50,MATCH(מלאי!B304,הגדרות!$R$2:$R$50,0)),"")</f>
        <v/>
      </c>
      <c r="D304" s="8"/>
      <c r="E304" s="8"/>
    </row>
    <row r="305" spans="1:5" ht="15" customHeight="1" x14ac:dyDescent="0.35">
      <c r="A305" s="8" t="str">
        <f>IF(מלאי!D305&lt;&gt;"",מלאי!D305,"")</f>
        <v/>
      </c>
      <c r="B305" s="8" t="str">
        <f>IF(מלאי!D305&lt;&gt;"",מלאי!B305&amp;IF(מלאי!C305&lt;&gt;""," ("&amp;מלאי!C305&amp;")",""),"")</f>
        <v/>
      </c>
      <c r="C305" s="8" t="str">
        <f>IFERROR(INDEX(הגדרות!$S$2:$S$50,MATCH(מלאי!B305,הגדרות!$R$2:$R$50,0)),"")</f>
        <v/>
      </c>
      <c r="D305" s="8"/>
      <c r="E305" s="8"/>
    </row>
    <row r="306" spans="1:5" ht="15" customHeight="1" x14ac:dyDescent="0.35">
      <c r="A306" s="8" t="str">
        <f>IF(מלאי!D306&lt;&gt;"",מלאי!D306,"")</f>
        <v/>
      </c>
      <c r="B306" s="8" t="str">
        <f>IF(מלאי!D306&lt;&gt;"",מלאי!B306&amp;IF(מלאי!C306&lt;&gt;""," ("&amp;מלאי!C306&amp;")",""),"")</f>
        <v/>
      </c>
      <c r="C306" s="8" t="str">
        <f>IFERROR(INDEX(הגדרות!$S$2:$S$50,MATCH(מלאי!B306,הגדרות!$R$2:$R$50,0)),"")</f>
        <v/>
      </c>
      <c r="D306" s="8"/>
      <c r="E306" s="8"/>
    </row>
    <row r="307" spans="1:5" ht="15" customHeight="1" x14ac:dyDescent="0.35">
      <c r="A307" s="8" t="str">
        <f>IF(מלאי!D307&lt;&gt;"",מלאי!D307,"")</f>
        <v/>
      </c>
      <c r="B307" s="8" t="str">
        <f>IF(מלאי!D307&lt;&gt;"",מלאי!B307&amp;IF(מלאי!C307&lt;&gt;""," ("&amp;מלאי!C307&amp;")",""),"")</f>
        <v/>
      </c>
      <c r="C307" s="8" t="str">
        <f>IFERROR(INDEX(הגדרות!$S$2:$S$50,MATCH(מלאי!B307,הגדרות!$R$2:$R$50,0)),"")</f>
        <v/>
      </c>
      <c r="D307" s="8"/>
      <c r="E307" s="8"/>
    </row>
    <row r="308" spans="1:5" ht="15" customHeight="1" x14ac:dyDescent="0.35">
      <c r="A308" s="8" t="str">
        <f>IF(מלאי!D308&lt;&gt;"",מלאי!D308,"")</f>
        <v/>
      </c>
      <c r="B308" s="8" t="str">
        <f>IF(מלאי!D308&lt;&gt;"",מלאי!B308&amp;IF(מלאי!C308&lt;&gt;""," ("&amp;מלאי!C308&amp;")",""),"")</f>
        <v/>
      </c>
      <c r="C308" s="8" t="str">
        <f>IFERROR(INDEX(הגדרות!$S$2:$S$50,MATCH(מלאי!B308,הגדרות!$R$2:$R$50,0)),"")</f>
        <v/>
      </c>
      <c r="D308" s="8"/>
      <c r="E308" s="8"/>
    </row>
    <row r="309" spans="1:5" ht="15" customHeight="1" x14ac:dyDescent="0.35">
      <c r="A309" s="8" t="str">
        <f>IF(מלאי!D309&lt;&gt;"",מלאי!D309,"")</f>
        <v/>
      </c>
      <c r="B309" s="8" t="str">
        <f>IF(מלאי!D309&lt;&gt;"",מלאי!B309&amp;IF(מלאי!C309&lt;&gt;""," ("&amp;מלאי!C309&amp;")",""),"")</f>
        <v/>
      </c>
      <c r="C309" s="8" t="str">
        <f>IFERROR(INDEX(הגדרות!$S$2:$S$50,MATCH(מלאי!B309,הגדרות!$R$2:$R$50,0)),"")</f>
        <v/>
      </c>
      <c r="D309" s="8"/>
      <c r="E309" s="8"/>
    </row>
    <row r="310" spans="1:5" ht="15" customHeight="1" x14ac:dyDescent="0.35">
      <c r="A310" s="8" t="str">
        <f>IF(מלאי!D310&lt;&gt;"",מלאי!D310,"")</f>
        <v/>
      </c>
      <c r="B310" s="8" t="str">
        <f>IF(מלאי!D310&lt;&gt;"",מלאי!B310&amp;IF(מלאי!C310&lt;&gt;""," ("&amp;מלאי!C310&amp;")",""),"")</f>
        <v/>
      </c>
      <c r="C310" s="8" t="str">
        <f>IFERROR(INDEX(הגדרות!$S$2:$S$50,MATCH(מלאי!B310,הגדרות!$R$2:$R$50,0)),"")</f>
        <v/>
      </c>
      <c r="D310" s="8"/>
      <c r="E310" s="8"/>
    </row>
    <row r="311" spans="1:5" ht="15" customHeight="1" x14ac:dyDescent="0.35">
      <c r="A311" s="8" t="str">
        <f>IF(מלאי!D311&lt;&gt;"",מלאי!D311,"")</f>
        <v/>
      </c>
      <c r="B311" s="8" t="str">
        <f>IF(מלאי!D311&lt;&gt;"",מלאי!B311&amp;IF(מלאי!C311&lt;&gt;""," ("&amp;מלאי!C311&amp;")",""),"")</f>
        <v/>
      </c>
      <c r="C311" s="8" t="str">
        <f>IFERROR(INDEX(הגדרות!$S$2:$S$50,MATCH(מלאי!B311,הגדרות!$R$2:$R$50,0)),"")</f>
        <v/>
      </c>
      <c r="D311" s="8"/>
      <c r="E311" s="8"/>
    </row>
    <row r="312" spans="1:5" ht="15" customHeight="1" x14ac:dyDescent="0.35">
      <c r="A312" s="8" t="str">
        <f>IF(מלאי!D312&lt;&gt;"",מלאי!D312,"")</f>
        <v/>
      </c>
      <c r="B312" s="8" t="str">
        <f>IF(מלאי!D312&lt;&gt;"",מלאי!B312&amp;IF(מלאי!C312&lt;&gt;""," ("&amp;מלאי!C312&amp;")",""),"")</f>
        <v/>
      </c>
      <c r="C312" s="8" t="str">
        <f>IFERROR(INDEX(הגדרות!$S$2:$S$50,MATCH(מלאי!B312,הגדרות!$R$2:$R$50,0)),"")</f>
        <v/>
      </c>
      <c r="D312" s="8"/>
      <c r="E312" s="8"/>
    </row>
    <row r="313" spans="1:5" ht="15" customHeight="1" x14ac:dyDescent="0.35">
      <c r="A313" s="8" t="str">
        <f>IF(מלאי!D313&lt;&gt;"",מלאי!D313,"")</f>
        <v/>
      </c>
      <c r="B313" s="8" t="str">
        <f>IF(מלאי!D313&lt;&gt;"",מלאי!B313&amp;IF(מלאי!C313&lt;&gt;""," ("&amp;מלאי!C313&amp;")",""),"")</f>
        <v/>
      </c>
      <c r="C313" s="8" t="str">
        <f>IFERROR(INDEX(הגדרות!$S$2:$S$50,MATCH(מלאי!B313,הגדרות!$R$2:$R$50,0)),"")</f>
        <v/>
      </c>
      <c r="D313" s="8"/>
      <c r="E313" s="8"/>
    </row>
    <row r="314" spans="1:5" ht="15" customHeight="1" x14ac:dyDescent="0.35">
      <c r="A314" s="8" t="str">
        <f>IF(מלאי!D314&lt;&gt;"",מלאי!D314,"")</f>
        <v/>
      </c>
      <c r="B314" s="8" t="str">
        <f>IF(מלאי!D314&lt;&gt;"",מלאי!B314&amp;IF(מלאי!C314&lt;&gt;""," ("&amp;מלאי!C314&amp;")",""),"")</f>
        <v/>
      </c>
      <c r="C314" s="8" t="str">
        <f>IFERROR(INDEX(הגדרות!$S$2:$S$50,MATCH(מלאי!B314,הגדרות!$R$2:$R$50,0)),"")</f>
        <v/>
      </c>
      <c r="D314" s="8"/>
      <c r="E314" s="8"/>
    </row>
    <row r="315" spans="1:5" ht="15" customHeight="1" x14ac:dyDescent="0.35">
      <c r="A315" s="8" t="str">
        <f>IF(מלאי!D315&lt;&gt;"",מלאי!D315,"")</f>
        <v/>
      </c>
      <c r="B315" s="8" t="str">
        <f>IF(מלאי!D315&lt;&gt;"",מלאי!B315&amp;IF(מלאי!C315&lt;&gt;""," ("&amp;מלאי!C315&amp;")",""),"")</f>
        <v/>
      </c>
      <c r="C315" s="8" t="str">
        <f>IFERROR(INDEX(הגדרות!$S$2:$S$50,MATCH(מלאי!B315,הגדרות!$R$2:$R$50,0)),"")</f>
        <v/>
      </c>
      <c r="D315" s="8"/>
      <c r="E315" s="8"/>
    </row>
    <row r="316" spans="1:5" ht="15" customHeight="1" x14ac:dyDescent="0.35">
      <c r="A316" s="8" t="str">
        <f>IF(מלאי!D316&lt;&gt;"",מלאי!D316,"")</f>
        <v/>
      </c>
      <c r="B316" s="8" t="str">
        <f>IF(מלאי!D316&lt;&gt;"",מלאי!B316&amp;IF(מלאי!C316&lt;&gt;""," ("&amp;מלאי!C316&amp;")",""),"")</f>
        <v/>
      </c>
      <c r="C316" s="8" t="str">
        <f>IFERROR(INDEX(הגדרות!$S$2:$S$50,MATCH(מלאי!B316,הגדרות!$R$2:$R$50,0)),"")</f>
        <v/>
      </c>
      <c r="D316" s="8"/>
      <c r="E316" s="8"/>
    </row>
    <row r="317" spans="1:5" ht="15" customHeight="1" x14ac:dyDescent="0.35">
      <c r="A317" s="8" t="str">
        <f>IF(מלאי!D317&lt;&gt;"",מלאי!D317,"")</f>
        <v/>
      </c>
      <c r="B317" s="8" t="str">
        <f>IF(מלאי!D317&lt;&gt;"",מלאי!B317&amp;IF(מלאי!C317&lt;&gt;""," ("&amp;מלאי!C317&amp;")",""),"")</f>
        <v/>
      </c>
      <c r="C317" s="8" t="str">
        <f>IFERROR(INDEX(הגדרות!$S$2:$S$50,MATCH(מלאי!B317,הגדרות!$R$2:$R$50,0)),"")</f>
        <v/>
      </c>
      <c r="D317" s="8"/>
      <c r="E317" s="8"/>
    </row>
    <row r="318" spans="1:5" ht="15" customHeight="1" x14ac:dyDescent="0.35">
      <c r="A318" s="8" t="str">
        <f>IF(מלאי!D318&lt;&gt;"",מלאי!D318,"")</f>
        <v/>
      </c>
      <c r="B318" s="8" t="str">
        <f>IF(מלאי!D318&lt;&gt;"",מלאי!B318&amp;IF(מלאי!C318&lt;&gt;""," ("&amp;מלאי!C318&amp;")",""),"")</f>
        <v/>
      </c>
      <c r="C318" s="8" t="str">
        <f>IFERROR(INDEX(הגדרות!$S$2:$S$50,MATCH(מלאי!B318,הגדרות!$R$2:$R$50,0)),"")</f>
        <v/>
      </c>
      <c r="D318" s="8"/>
      <c r="E318" s="8"/>
    </row>
    <row r="319" spans="1:5" ht="15" customHeight="1" x14ac:dyDescent="0.35">
      <c r="A319" s="8" t="str">
        <f>IF(מלאי!D319&lt;&gt;"",מלאי!D319,"")</f>
        <v/>
      </c>
      <c r="B319" s="8" t="str">
        <f>IF(מלאי!D319&lt;&gt;"",מלאי!B319&amp;IF(מלאי!C319&lt;&gt;""," ("&amp;מלאי!C319&amp;")",""),"")</f>
        <v/>
      </c>
      <c r="C319" s="8" t="str">
        <f>IFERROR(INDEX(הגדרות!$S$2:$S$50,MATCH(מלאי!B319,הגדרות!$R$2:$R$50,0)),"")</f>
        <v/>
      </c>
      <c r="D319" s="8"/>
      <c r="E319" s="8"/>
    </row>
    <row r="320" spans="1:5" ht="15" customHeight="1" x14ac:dyDescent="0.35">
      <c r="A320" s="8" t="str">
        <f>IF(מלאי!D320&lt;&gt;"",מלאי!D320,"")</f>
        <v/>
      </c>
      <c r="B320" s="8" t="str">
        <f>IF(מלאי!D320&lt;&gt;"",מלאי!B320&amp;IF(מלאי!C320&lt;&gt;""," ("&amp;מלאי!C320&amp;")",""),"")</f>
        <v/>
      </c>
      <c r="C320" s="8" t="str">
        <f>IFERROR(INDEX(הגדרות!$S$2:$S$50,MATCH(מלאי!B320,הגדרות!$R$2:$R$50,0)),"")</f>
        <v/>
      </c>
      <c r="D320" s="8"/>
      <c r="E320" s="8"/>
    </row>
    <row r="321" spans="1:5" ht="15" customHeight="1" x14ac:dyDescent="0.35">
      <c r="A321" s="8" t="str">
        <f>IF(מלאי!D321&lt;&gt;"",מלאי!D321,"")</f>
        <v/>
      </c>
      <c r="B321" s="8" t="str">
        <f>IF(מלאי!D321&lt;&gt;"",מלאי!B321&amp;IF(מלאי!C321&lt;&gt;""," ("&amp;מלאי!C321&amp;")",""),"")</f>
        <v/>
      </c>
      <c r="C321" s="8" t="str">
        <f>IFERROR(INDEX(הגדרות!$S$2:$S$50,MATCH(מלאי!B321,הגדרות!$R$2:$R$50,0)),"")</f>
        <v/>
      </c>
      <c r="D321" s="8"/>
      <c r="E321" s="8"/>
    </row>
    <row r="322" spans="1:5" ht="15" customHeight="1" x14ac:dyDescent="0.35">
      <c r="A322" s="8" t="str">
        <f>IF(מלאי!D322&lt;&gt;"",מלאי!D322,"")</f>
        <v/>
      </c>
      <c r="B322" s="8" t="str">
        <f>IF(מלאי!D322&lt;&gt;"",מלאי!B322&amp;IF(מלאי!C322&lt;&gt;""," ("&amp;מלאי!C322&amp;")",""),"")</f>
        <v/>
      </c>
      <c r="C322" s="8" t="str">
        <f>IFERROR(INDEX(הגדרות!$S$2:$S$50,MATCH(מלאי!B322,הגדרות!$R$2:$R$50,0)),"")</f>
        <v/>
      </c>
      <c r="D322" s="8"/>
      <c r="E322" s="8"/>
    </row>
    <row r="323" spans="1:5" ht="15" customHeight="1" x14ac:dyDescent="0.35">
      <c r="A323" s="8" t="str">
        <f>IF(מלאי!D323&lt;&gt;"",מלאי!D323,"")</f>
        <v/>
      </c>
      <c r="B323" s="8" t="str">
        <f>IF(מלאי!D323&lt;&gt;"",מלאי!B323&amp;IF(מלאי!C323&lt;&gt;""," ("&amp;מלאי!C323&amp;")",""),"")</f>
        <v/>
      </c>
      <c r="C323" s="8" t="str">
        <f>IFERROR(INDEX(הגדרות!$S$2:$S$50,MATCH(מלאי!B323,הגדרות!$R$2:$R$50,0)),"")</f>
        <v/>
      </c>
      <c r="D323" s="8"/>
      <c r="E323" s="8"/>
    </row>
    <row r="324" spans="1:5" ht="15" customHeight="1" x14ac:dyDescent="0.35">
      <c r="A324" s="8" t="str">
        <f>IF(מלאי!D324&lt;&gt;"",מלאי!D324,"")</f>
        <v/>
      </c>
      <c r="B324" s="8" t="str">
        <f>IF(מלאי!D324&lt;&gt;"",מלאי!B324&amp;IF(מלאי!C324&lt;&gt;""," ("&amp;מלאי!C324&amp;")",""),"")</f>
        <v/>
      </c>
      <c r="C324" s="8" t="str">
        <f>IFERROR(INDEX(הגדרות!$S$2:$S$50,MATCH(מלאי!B324,הגדרות!$R$2:$R$50,0)),"")</f>
        <v/>
      </c>
      <c r="D324" s="8"/>
      <c r="E324" s="8"/>
    </row>
    <row r="325" spans="1:5" ht="15" customHeight="1" x14ac:dyDescent="0.35">
      <c r="A325" s="8" t="str">
        <f>IF(מלאי!D325&lt;&gt;"",מלאי!D325,"")</f>
        <v/>
      </c>
      <c r="B325" s="8" t="str">
        <f>IF(מלאי!D325&lt;&gt;"",מלאי!B325&amp;IF(מלאי!C325&lt;&gt;""," ("&amp;מלאי!C325&amp;")",""),"")</f>
        <v/>
      </c>
      <c r="C325" s="8" t="str">
        <f>IFERROR(INDEX(הגדרות!$S$2:$S$50,MATCH(מלאי!B325,הגדרות!$R$2:$R$50,0)),"")</f>
        <v/>
      </c>
      <c r="D325" s="8"/>
      <c r="E325" s="8"/>
    </row>
    <row r="326" spans="1:5" ht="15" customHeight="1" x14ac:dyDescent="0.35">
      <c r="A326" s="8" t="str">
        <f>IF(מלאי!D326&lt;&gt;"",מלאי!D326,"")</f>
        <v/>
      </c>
      <c r="B326" s="8" t="str">
        <f>IF(מלאי!D326&lt;&gt;"",מלאי!B326&amp;IF(מלאי!C326&lt;&gt;""," ("&amp;מלאי!C326&amp;")",""),"")</f>
        <v/>
      </c>
      <c r="C326" s="8" t="str">
        <f>IFERROR(INDEX(הגדרות!$S$2:$S$50,MATCH(מלאי!B326,הגדרות!$R$2:$R$50,0)),"")</f>
        <v/>
      </c>
      <c r="D326" s="8"/>
      <c r="E326" s="8"/>
    </row>
    <row r="327" spans="1:5" ht="15" customHeight="1" x14ac:dyDescent="0.35">
      <c r="A327" s="8" t="str">
        <f>IF(מלאי!D327&lt;&gt;"",מלאי!D327,"")</f>
        <v/>
      </c>
      <c r="B327" s="8" t="str">
        <f>IF(מלאי!D327&lt;&gt;"",מלאי!B327&amp;IF(מלאי!C327&lt;&gt;""," ("&amp;מלאי!C327&amp;")",""),"")</f>
        <v/>
      </c>
      <c r="C327" s="8" t="str">
        <f>IFERROR(INDEX(הגדרות!$S$2:$S$50,MATCH(מלאי!B327,הגדרות!$R$2:$R$50,0)),"")</f>
        <v/>
      </c>
      <c r="D327" s="8"/>
      <c r="E327" s="8"/>
    </row>
    <row r="328" spans="1:5" ht="15" customHeight="1" x14ac:dyDescent="0.35">
      <c r="A328" s="8" t="str">
        <f>IF(מלאי!D328&lt;&gt;"",מלאי!D328,"")</f>
        <v/>
      </c>
      <c r="B328" s="8" t="str">
        <f>IF(מלאי!D328&lt;&gt;"",מלאי!B328&amp;IF(מלאי!C328&lt;&gt;""," ("&amp;מלאי!C328&amp;")",""),"")</f>
        <v/>
      </c>
      <c r="C328" s="8" t="str">
        <f>IFERROR(INDEX(הגדרות!$S$2:$S$50,MATCH(מלאי!B328,הגדרות!$R$2:$R$50,0)),"")</f>
        <v/>
      </c>
      <c r="D328" s="8"/>
      <c r="E328" s="8"/>
    </row>
    <row r="329" spans="1:5" ht="15" customHeight="1" x14ac:dyDescent="0.35">
      <c r="A329" s="8" t="str">
        <f>IF(מלאי!D329&lt;&gt;"",מלאי!D329,"")</f>
        <v/>
      </c>
      <c r="B329" s="8" t="str">
        <f>IF(מלאי!D329&lt;&gt;"",מלאי!B329&amp;IF(מלאי!C329&lt;&gt;""," ("&amp;מלאי!C329&amp;")",""),"")</f>
        <v/>
      </c>
      <c r="C329" s="8" t="str">
        <f>IFERROR(INDEX(הגדרות!$S$2:$S$50,MATCH(מלאי!B329,הגדרות!$R$2:$R$50,0)),"")</f>
        <v/>
      </c>
      <c r="D329" s="8"/>
      <c r="E329" s="8"/>
    </row>
    <row r="330" spans="1:5" ht="15" customHeight="1" x14ac:dyDescent="0.35">
      <c r="A330" s="8" t="str">
        <f>IF(מלאי!D330&lt;&gt;"",מלאי!D330,"")</f>
        <v/>
      </c>
      <c r="B330" s="8" t="str">
        <f>IF(מלאי!D330&lt;&gt;"",מלאי!B330&amp;IF(מלאי!C330&lt;&gt;""," ("&amp;מלאי!C330&amp;")",""),"")</f>
        <v/>
      </c>
      <c r="C330" s="8" t="str">
        <f>IFERROR(INDEX(הגדרות!$S$2:$S$50,MATCH(מלאי!B330,הגדרות!$R$2:$R$50,0)),"")</f>
        <v/>
      </c>
      <c r="D330" s="8"/>
      <c r="E330" s="8"/>
    </row>
    <row r="331" spans="1:5" ht="15" customHeight="1" x14ac:dyDescent="0.35">
      <c r="A331" s="8" t="str">
        <f>IF(מלאי!D331&lt;&gt;"",מלאי!D331,"")</f>
        <v/>
      </c>
      <c r="B331" s="8" t="str">
        <f>IF(מלאי!D331&lt;&gt;"",מלאי!B331&amp;IF(מלאי!C331&lt;&gt;""," ("&amp;מלאי!C331&amp;")",""),"")</f>
        <v/>
      </c>
      <c r="C331" s="8" t="str">
        <f>IFERROR(INDEX(הגדרות!$S$2:$S$50,MATCH(מלאי!B331,הגדרות!$R$2:$R$50,0)),"")</f>
        <v/>
      </c>
      <c r="D331" s="8"/>
      <c r="E331" s="8"/>
    </row>
    <row r="332" spans="1:5" ht="15" customHeight="1" x14ac:dyDescent="0.35">
      <c r="A332" s="8" t="str">
        <f>IF(מלאי!D332&lt;&gt;"",מלאי!D332,"")</f>
        <v/>
      </c>
      <c r="B332" s="8" t="str">
        <f>IF(מלאי!D332&lt;&gt;"",מלאי!B332&amp;IF(מלאי!C332&lt;&gt;""," ("&amp;מלאי!C332&amp;")",""),"")</f>
        <v/>
      </c>
      <c r="C332" s="8" t="str">
        <f>IFERROR(INDEX(הגדרות!$S$2:$S$50,MATCH(מלאי!B332,הגדרות!$R$2:$R$50,0)),"")</f>
        <v/>
      </c>
      <c r="D332" s="8"/>
      <c r="E332" s="8"/>
    </row>
    <row r="333" spans="1:5" ht="15" customHeight="1" x14ac:dyDescent="0.35">
      <c r="A333" s="8" t="str">
        <f>IF(מלאי!D333&lt;&gt;"",מלאי!D333,"")</f>
        <v/>
      </c>
      <c r="B333" s="8" t="str">
        <f>IF(מלאי!D333&lt;&gt;"",מלאי!B333&amp;IF(מלאי!C333&lt;&gt;""," ("&amp;מלאי!C333&amp;")",""),"")</f>
        <v/>
      </c>
      <c r="C333" s="8" t="str">
        <f>IFERROR(INDEX(הגדרות!$S$2:$S$50,MATCH(מלאי!B333,הגדרות!$R$2:$R$50,0)),"")</f>
        <v/>
      </c>
      <c r="D333" s="8"/>
      <c r="E333" s="8"/>
    </row>
    <row r="334" spans="1:5" ht="15" customHeight="1" x14ac:dyDescent="0.35">
      <c r="A334" s="8" t="str">
        <f>IF(מלאי!D334&lt;&gt;"",מלאי!D334,"")</f>
        <v/>
      </c>
      <c r="B334" s="8" t="str">
        <f>IF(מלאי!D334&lt;&gt;"",מלאי!B334&amp;IF(מלאי!C334&lt;&gt;""," ("&amp;מלאי!C334&amp;")",""),"")</f>
        <v/>
      </c>
      <c r="C334" s="8" t="str">
        <f>IFERROR(INDEX(הגדרות!$S$2:$S$50,MATCH(מלאי!B334,הגדרות!$R$2:$R$50,0)),"")</f>
        <v/>
      </c>
      <c r="D334" s="8"/>
      <c r="E334" s="8"/>
    </row>
    <row r="335" spans="1:5" ht="15" customHeight="1" x14ac:dyDescent="0.35">
      <c r="A335" s="8" t="str">
        <f>IF(מלאי!D335&lt;&gt;"",מלאי!D335,"")</f>
        <v/>
      </c>
      <c r="B335" s="8" t="str">
        <f>IF(מלאי!D335&lt;&gt;"",מלאי!B335&amp;IF(מלאי!C335&lt;&gt;""," ("&amp;מלאי!C335&amp;")",""),"")</f>
        <v/>
      </c>
      <c r="C335" s="8" t="str">
        <f>IFERROR(INDEX(הגדרות!$S$2:$S$50,MATCH(מלאי!B335,הגדרות!$R$2:$R$50,0)),"")</f>
        <v/>
      </c>
      <c r="D335" s="8"/>
      <c r="E335" s="8"/>
    </row>
    <row r="336" spans="1:5" ht="15" customHeight="1" x14ac:dyDescent="0.35">
      <c r="A336" s="8" t="str">
        <f>IF(מלאי!D336&lt;&gt;"",מלאי!D336,"")</f>
        <v/>
      </c>
      <c r="B336" s="8" t="str">
        <f>IF(מלאי!D336&lt;&gt;"",מלאי!B336&amp;IF(מלאי!C336&lt;&gt;""," ("&amp;מלאי!C336&amp;")",""),"")</f>
        <v/>
      </c>
      <c r="C336" s="8" t="str">
        <f>IFERROR(INDEX(הגדרות!$S$2:$S$50,MATCH(מלאי!B336,הגדרות!$R$2:$R$50,0)),"")</f>
        <v/>
      </c>
      <c r="D336" s="8"/>
      <c r="E336" s="8"/>
    </row>
    <row r="337" spans="1:5" ht="15" customHeight="1" x14ac:dyDescent="0.35">
      <c r="A337" s="8" t="str">
        <f>IF(מלאי!D337&lt;&gt;"",מלאי!D337,"")</f>
        <v/>
      </c>
      <c r="B337" s="8" t="str">
        <f>IF(מלאי!D337&lt;&gt;"",מלאי!B337&amp;IF(מלאי!C337&lt;&gt;""," ("&amp;מלאי!C337&amp;")",""),"")</f>
        <v/>
      </c>
      <c r="C337" s="8" t="str">
        <f>IFERROR(INDEX(הגדרות!$S$2:$S$50,MATCH(מלאי!B337,הגדרות!$R$2:$R$50,0)),"")</f>
        <v/>
      </c>
      <c r="D337" s="8"/>
      <c r="E337" s="8"/>
    </row>
    <row r="338" spans="1:5" ht="15" customHeight="1" x14ac:dyDescent="0.35">
      <c r="A338" s="8" t="str">
        <f>IF(מלאי!D338&lt;&gt;"",מלאי!D338,"")</f>
        <v/>
      </c>
      <c r="B338" s="8" t="str">
        <f>IF(מלאי!D338&lt;&gt;"",מלאי!B338&amp;IF(מלאי!C338&lt;&gt;""," ("&amp;מלאי!C338&amp;")",""),"")</f>
        <v/>
      </c>
      <c r="C338" s="8" t="str">
        <f>IFERROR(INDEX(הגדרות!$S$2:$S$50,MATCH(מלאי!B338,הגדרות!$R$2:$R$50,0)),"")</f>
        <v/>
      </c>
      <c r="D338" s="8"/>
      <c r="E338" s="8"/>
    </row>
    <row r="339" spans="1:5" ht="15" customHeight="1" x14ac:dyDescent="0.35">
      <c r="A339" s="8" t="str">
        <f>IF(מלאי!D339&lt;&gt;"",מלאי!D339,"")</f>
        <v/>
      </c>
      <c r="B339" s="8" t="str">
        <f>IF(מלאי!D339&lt;&gt;"",מלאי!B339&amp;IF(מלאי!C339&lt;&gt;""," ("&amp;מלאי!C339&amp;")",""),"")</f>
        <v/>
      </c>
      <c r="C339" s="8" t="str">
        <f>IFERROR(INDEX(הגדרות!$S$2:$S$50,MATCH(מלאי!B339,הגדרות!$R$2:$R$50,0)),"")</f>
        <v/>
      </c>
      <c r="D339" s="8"/>
      <c r="E339" s="8"/>
    </row>
    <row r="340" spans="1:5" ht="15" customHeight="1" x14ac:dyDescent="0.35">
      <c r="A340" s="8" t="str">
        <f>IF(מלאי!D340&lt;&gt;"",מלאי!D340,"")</f>
        <v/>
      </c>
      <c r="B340" s="8" t="str">
        <f>IF(מלאי!D340&lt;&gt;"",מלאי!B340&amp;IF(מלאי!C340&lt;&gt;""," ("&amp;מלאי!C340&amp;")",""),"")</f>
        <v/>
      </c>
      <c r="C340" s="8" t="str">
        <f>IFERROR(INDEX(הגדרות!$S$2:$S$50,MATCH(מלאי!B340,הגדרות!$R$2:$R$50,0)),"")</f>
        <v/>
      </c>
      <c r="D340" s="8"/>
      <c r="E340" s="8"/>
    </row>
    <row r="341" spans="1:5" ht="15" customHeight="1" x14ac:dyDescent="0.35">
      <c r="A341" s="8" t="str">
        <f>IF(מלאי!D341&lt;&gt;"",מלאי!D341,"")</f>
        <v/>
      </c>
      <c r="B341" s="8" t="str">
        <f>IF(מלאי!D341&lt;&gt;"",מלאי!B341&amp;IF(מלאי!C341&lt;&gt;""," ("&amp;מלאי!C341&amp;")",""),"")</f>
        <v/>
      </c>
      <c r="C341" s="8" t="str">
        <f>IFERROR(INDEX(הגדרות!$S$2:$S$50,MATCH(מלאי!B341,הגדרות!$R$2:$R$50,0)),"")</f>
        <v/>
      </c>
      <c r="D341" s="8"/>
      <c r="E341" s="8"/>
    </row>
    <row r="342" spans="1:5" ht="15" customHeight="1" x14ac:dyDescent="0.35">
      <c r="A342" s="8" t="str">
        <f>IF(מלאי!D342&lt;&gt;"",מלאי!D342,"")</f>
        <v/>
      </c>
      <c r="B342" s="8" t="str">
        <f>IF(מלאי!D342&lt;&gt;"",מלאי!B342&amp;IF(מלאי!C342&lt;&gt;""," ("&amp;מלאי!C342&amp;")",""),"")</f>
        <v/>
      </c>
      <c r="C342" s="8" t="str">
        <f>IFERROR(INDEX(הגדרות!$S$2:$S$50,MATCH(מלאי!B342,הגדרות!$R$2:$R$50,0)),"")</f>
        <v/>
      </c>
      <c r="D342" s="8"/>
      <c r="E342" s="8"/>
    </row>
    <row r="343" spans="1:5" ht="15" customHeight="1" x14ac:dyDescent="0.35">
      <c r="A343" s="8" t="str">
        <f>IF(מלאי!D343&lt;&gt;"",מלאי!D343,"")</f>
        <v/>
      </c>
      <c r="B343" s="8" t="str">
        <f>IF(מלאי!D343&lt;&gt;"",מלאי!B343&amp;IF(מלאי!C343&lt;&gt;""," ("&amp;מלאי!C343&amp;")",""),"")</f>
        <v/>
      </c>
      <c r="C343" s="8" t="str">
        <f>IFERROR(INDEX(הגדרות!$S$2:$S$50,MATCH(מלאי!B343,הגדרות!$R$2:$R$50,0)),"")</f>
        <v/>
      </c>
      <c r="D343" s="8"/>
      <c r="E343" s="8"/>
    </row>
    <row r="344" spans="1:5" ht="15" customHeight="1" x14ac:dyDescent="0.35">
      <c r="A344" s="8" t="str">
        <f>IF(מלאי!D344&lt;&gt;"",מלאי!D344,"")</f>
        <v/>
      </c>
      <c r="B344" s="8" t="str">
        <f>IF(מלאי!D344&lt;&gt;"",מלאי!B344&amp;IF(מלאי!C344&lt;&gt;""," ("&amp;מלאי!C344&amp;")",""),"")</f>
        <v/>
      </c>
      <c r="C344" s="8" t="str">
        <f>IFERROR(INDEX(הגדרות!$S$2:$S$50,MATCH(מלאי!B344,הגדרות!$R$2:$R$50,0)),"")</f>
        <v/>
      </c>
      <c r="D344" s="8"/>
      <c r="E344" s="8"/>
    </row>
    <row r="345" spans="1:5" ht="15" customHeight="1" x14ac:dyDescent="0.35">
      <c r="A345" s="8" t="str">
        <f>IF(מלאי!D345&lt;&gt;"",מלאי!D345,"")</f>
        <v/>
      </c>
      <c r="B345" s="8" t="str">
        <f>IF(מלאי!D345&lt;&gt;"",מלאי!B345&amp;IF(מלאי!C345&lt;&gt;""," ("&amp;מלאי!C345&amp;")",""),"")</f>
        <v/>
      </c>
      <c r="C345" s="8" t="str">
        <f>IFERROR(INDEX(הגדרות!$S$2:$S$50,MATCH(מלאי!B345,הגדרות!$R$2:$R$50,0)),"")</f>
        <v/>
      </c>
      <c r="D345" s="8"/>
      <c r="E345" s="8"/>
    </row>
    <row r="346" spans="1:5" ht="15" customHeight="1" x14ac:dyDescent="0.35">
      <c r="A346" s="8" t="str">
        <f>IF(מלאי!D346&lt;&gt;"",מלאי!D346,"")</f>
        <v/>
      </c>
      <c r="B346" s="8" t="str">
        <f>IF(מלאי!D346&lt;&gt;"",מלאי!B346&amp;IF(מלאי!C346&lt;&gt;""," ("&amp;מלאי!C346&amp;")",""),"")</f>
        <v/>
      </c>
      <c r="C346" s="8" t="str">
        <f>IFERROR(INDEX(הגדרות!$S$2:$S$50,MATCH(מלאי!B346,הגדרות!$R$2:$R$50,0)),"")</f>
        <v/>
      </c>
      <c r="D346" s="8"/>
      <c r="E346" s="8"/>
    </row>
    <row r="347" spans="1:5" ht="15" customHeight="1" x14ac:dyDescent="0.35">
      <c r="A347" s="8" t="str">
        <f>IF(מלאי!D347&lt;&gt;"",מלאי!D347,"")</f>
        <v/>
      </c>
      <c r="B347" s="8" t="str">
        <f>IF(מלאי!D347&lt;&gt;"",מלאי!B347&amp;IF(מלאי!C347&lt;&gt;""," ("&amp;מלאי!C347&amp;")",""),"")</f>
        <v/>
      </c>
      <c r="C347" s="8" t="str">
        <f>IFERROR(INDEX(הגדרות!$S$2:$S$50,MATCH(מלאי!B347,הגדרות!$R$2:$R$50,0)),"")</f>
        <v/>
      </c>
      <c r="D347" s="8"/>
      <c r="E347" s="8"/>
    </row>
    <row r="348" spans="1:5" ht="15" customHeight="1" x14ac:dyDescent="0.35">
      <c r="A348" s="8" t="str">
        <f>IF(מלאי!D348&lt;&gt;"",מלאי!D348,"")</f>
        <v/>
      </c>
      <c r="B348" s="8" t="str">
        <f>IF(מלאי!D348&lt;&gt;"",מלאי!B348&amp;IF(מלאי!C348&lt;&gt;""," ("&amp;מלאי!C348&amp;")",""),"")</f>
        <v/>
      </c>
      <c r="C348" s="8" t="str">
        <f>IFERROR(INDEX(הגדרות!$S$2:$S$50,MATCH(מלאי!B348,הגדרות!$R$2:$R$50,0)),"")</f>
        <v/>
      </c>
      <c r="D348" s="8"/>
      <c r="E348" s="8"/>
    </row>
    <row r="349" spans="1:5" ht="15" customHeight="1" x14ac:dyDescent="0.35">
      <c r="A349" s="8" t="str">
        <f>IF(מלאי!D349&lt;&gt;"",מלאי!D349,"")</f>
        <v/>
      </c>
      <c r="B349" s="8" t="str">
        <f>IF(מלאי!D349&lt;&gt;"",מלאי!B349&amp;IF(מלאי!C349&lt;&gt;""," ("&amp;מלאי!C349&amp;")",""),"")</f>
        <v/>
      </c>
      <c r="C349" s="8" t="str">
        <f>IFERROR(INDEX(הגדרות!$S$2:$S$50,MATCH(מלאי!B349,הגדרות!$R$2:$R$50,0)),"")</f>
        <v/>
      </c>
      <c r="D349" s="8"/>
      <c r="E349" s="8"/>
    </row>
    <row r="350" spans="1:5" ht="15" customHeight="1" x14ac:dyDescent="0.35">
      <c r="A350" s="8" t="str">
        <f>IF(מלאי!D350&lt;&gt;"",מלאי!D350,"")</f>
        <v/>
      </c>
      <c r="B350" s="8" t="str">
        <f>IF(מלאי!D350&lt;&gt;"",מלאי!B350&amp;IF(מלאי!C350&lt;&gt;""," ("&amp;מלאי!C350&amp;")",""),"")</f>
        <v/>
      </c>
      <c r="C350" s="8" t="str">
        <f>IFERROR(INDEX(הגדרות!$S$2:$S$50,MATCH(מלאי!B350,הגדרות!$R$2:$R$50,0)),"")</f>
        <v/>
      </c>
      <c r="D350" s="8"/>
      <c r="E350" s="8"/>
    </row>
    <row r="351" spans="1:5" ht="15" customHeight="1" x14ac:dyDescent="0.35">
      <c r="A351" s="8" t="str">
        <f>IF(מלאי!D351&lt;&gt;"",מלאי!D351,"")</f>
        <v/>
      </c>
      <c r="B351" s="8" t="str">
        <f>IF(מלאי!D351&lt;&gt;"",מלאי!B351&amp;IF(מלאי!C351&lt;&gt;""," ("&amp;מלאי!C351&amp;")",""),"")</f>
        <v/>
      </c>
      <c r="C351" s="8" t="str">
        <f>IFERROR(INDEX(הגדרות!$S$2:$S$50,MATCH(מלאי!B351,הגדרות!$R$2:$R$50,0)),"")</f>
        <v/>
      </c>
      <c r="D351" s="8"/>
      <c r="E351" s="8"/>
    </row>
    <row r="352" spans="1:5" ht="15" customHeight="1" x14ac:dyDescent="0.35">
      <c r="A352" s="8" t="str">
        <f>IF(מלאי!D352&lt;&gt;"",מלאי!D352,"")</f>
        <v/>
      </c>
      <c r="B352" s="8" t="str">
        <f>IF(מלאי!D352&lt;&gt;"",מלאי!B352&amp;IF(מלאי!C352&lt;&gt;""," ("&amp;מלאי!C352&amp;")",""),"")</f>
        <v/>
      </c>
      <c r="C352" s="8" t="str">
        <f>IFERROR(INDEX(הגדרות!$S$2:$S$50,MATCH(מלאי!B352,הגדרות!$R$2:$R$50,0)),"")</f>
        <v/>
      </c>
      <c r="D352" s="8"/>
      <c r="E352" s="8"/>
    </row>
    <row r="353" spans="1:5" ht="15" customHeight="1" x14ac:dyDescent="0.35">
      <c r="A353" s="8" t="str">
        <f>IF(מלאי!D353&lt;&gt;"",מלאי!D353,"")</f>
        <v/>
      </c>
      <c r="B353" s="8" t="str">
        <f>IF(מלאי!D353&lt;&gt;"",מלאי!B353&amp;IF(מלאי!C353&lt;&gt;""," ("&amp;מלאי!C353&amp;")",""),"")</f>
        <v/>
      </c>
      <c r="C353" s="8" t="str">
        <f>IFERROR(INDEX(הגדרות!$S$2:$S$50,MATCH(מלאי!B353,הגדרות!$R$2:$R$50,0)),"")</f>
        <v/>
      </c>
      <c r="D353" s="8"/>
      <c r="E353" s="8"/>
    </row>
    <row r="354" spans="1:5" ht="15" customHeight="1" x14ac:dyDescent="0.35">
      <c r="A354" s="8" t="str">
        <f>IF(מלאי!D354&lt;&gt;"",מלאי!D354,"")</f>
        <v/>
      </c>
      <c r="B354" s="8" t="str">
        <f>IF(מלאי!D354&lt;&gt;"",מלאי!B354&amp;IF(מלאי!C354&lt;&gt;""," ("&amp;מלאי!C354&amp;")",""),"")</f>
        <v/>
      </c>
      <c r="C354" s="8" t="str">
        <f>IFERROR(INDEX(הגדרות!$S$2:$S$50,MATCH(מלאי!B354,הגדרות!$R$2:$R$50,0)),"")</f>
        <v/>
      </c>
      <c r="D354" s="8"/>
      <c r="E354" s="8"/>
    </row>
  </sheetData>
  <sheetProtection password="CC81" sheet="1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54"/>
  <sheetViews>
    <sheetView rightToLeft="1" zoomScaleNormal="100" workbookViewId="0">
      <pane ySplit="4" topLeftCell="A5" activePane="bottomLeft" state="frozen"/>
      <selection activeCell="F41" sqref="F41"/>
      <selection pane="bottomLeft" activeCell="B2" sqref="B2"/>
    </sheetView>
  </sheetViews>
  <sheetFormatPr defaultColWidth="8.7265625" defaultRowHeight="14.5" x14ac:dyDescent="0.35"/>
  <cols>
    <col min="1" max="1" width="22.54296875" bestFit="1" customWidth="1"/>
    <col min="2" max="2" width="28" customWidth="1"/>
    <col min="3" max="3" width="18" customWidth="1"/>
    <col min="4" max="4" width="16" customWidth="1"/>
    <col min="5" max="7" width="10" customWidth="1"/>
    <col min="8" max="8" width="16" customWidth="1"/>
    <col min="9" max="12" width="10" customWidth="1"/>
  </cols>
  <sheetData>
    <row r="1" spans="1:12" ht="17.25" customHeight="1" x14ac:dyDescent="0.35">
      <c r="A1" s="44" t="s">
        <v>108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3" spans="1:12" ht="15" customHeight="1" x14ac:dyDescent="0.35">
      <c r="D3" s="45" t="s">
        <v>109</v>
      </c>
      <c r="E3" s="39"/>
      <c r="F3" s="39"/>
      <c r="G3" s="38"/>
      <c r="H3" s="43" t="s">
        <v>110</v>
      </c>
      <c r="I3" s="39"/>
      <c r="J3" s="39"/>
      <c r="K3" s="38"/>
    </row>
    <row r="4" spans="1:12" ht="15" customHeight="1" x14ac:dyDescent="0.35">
      <c r="A4" s="9" t="s">
        <v>6</v>
      </c>
      <c r="B4" s="9" t="s">
        <v>4</v>
      </c>
      <c r="C4" s="9" t="s">
        <v>3</v>
      </c>
      <c r="D4" s="9" t="s">
        <v>7</v>
      </c>
      <c r="E4" s="9" t="s">
        <v>111</v>
      </c>
      <c r="F4" s="9" t="s">
        <v>112</v>
      </c>
      <c r="G4" s="9" t="s">
        <v>113</v>
      </c>
      <c r="H4" s="9" t="s">
        <v>8</v>
      </c>
      <c r="I4" s="9" t="s">
        <v>114</v>
      </c>
      <c r="J4" s="9" t="s">
        <v>115</v>
      </c>
      <c r="K4" s="9" t="s">
        <v>116</v>
      </c>
      <c r="L4" s="9" t="s">
        <v>23</v>
      </c>
    </row>
    <row r="5" spans="1:12" ht="15" customHeight="1" x14ac:dyDescent="0.35">
      <c r="A5" s="8" t="str">
        <f>IF(מלאי!D3&lt;&gt;"",מלאי!D3,"")</f>
        <v>יריעה 3D הדגמה 1</v>
      </c>
      <c r="B5" s="8" t="str">
        <f>IF(מלאי!D3&lt;&gt;"",מלאי!B3&amp;IF(מלאי!C3&lt;&gt;""," ("&amp;מלאי!C3&amp;")",""),"")</f>
        <v>3D Survival Blanket (V1)</v>
      </c>
      <c r="C5" s="8" t="str">
        <f>IF(מלאי!D3&lt;&gt;"",מלאי!A3,"")</f>
        <v>Blankets</v>
      </c>
      <c r="D5" s="8" t="str">
        <f>IF(מלאי!D3&lt;&gt;"",מלאי!H3,"")</f>
        <v>Ever-Green</v>
      </c>
      <c r="E5" s="8"/>
      <c r="F5" s="8"/>
      <c r="G5" s="8"/>
      <c r="H5" s="8"/>
      <c r="I5" s="8"/>
      <c r="J5" s="8"/>
      <c r="K5" s="8"/>
      <c r="L5" s="8"/>
    </row>
    <row r="6" spans="1:12" ht="15" customHeight="1" x14ac:dyDescent="0.35">
      <c r="A6" s="8" t="str">
        <f>IF(מלאי!D4&lt;&gt;"",מלאי!D4,"")</f>
        <v>יריעה 3D תצוגה 2</v>
      </c>
      <c r="B6" s="8" t="str">
        <f>IF(מלאי!D4&lt;&gt;"",מלאי!B4&amp;IF(מלאי!C4&lt;&gt;""," ("&amp;מלאי!C4&amp;")",""),"")</f>
        <v>3D Survival Blanket (V1)</v>
      </c>
      <c r="C6" s="8" t="str">
        <f>IF(מלאי!D4&lt;&gt;"",מלאי!A4,"")</f>
        <v>Blankets</v>
      </c>
      <c r="D6" s="8" t="str">
        <f>IF(מלאי!D4&lt;&gt;"",מלאי!H4,"")</f>
        <v>Ever-Green</v>
      </c>
      <c r="E6" s="8"/>
      <c r="F6" s="8"/>
      <c r="G6" s="8"/>
      <c r="H6" s="8"/>
      <c r="I6" s="8"/>
      <c r="J6" s="8"/>
      <c r="K6" s="8"/>
      <c r="L6" s="8"/>
    </row>
    <row r="7" spans="1:12" ht="15" customHeight="1" x14ac:dyDescent="0.35">
      <c r="A7" s="8" t="str">
        <f>IF(מלאי!D5&lt;&gt;"",מלאי!D5,"")</f>
        <v/>
      </c>
      <c r="B7" s="8" t="str">
        <f>IF(מלאי!D5&lt;&gt;"",מלאי!B5&amp;IF(מלאי!C5&lt;&gt;""," ("&amp;מלאי!C5&amp;")",""),"")</f>
        <v/>
      </c>
      <c r="C7" s="8" t="str">
        <f>IF(מלאי!D5&lt;&gt;"",מלאי!A5,"")</f>
        <v/>
      </c>
      <c r="D7" s="8" t="str">
        <f>IF(מלאי!D5&lt;&gt;"",מלאי!H5,"")</f>
        <v/>
      </c>
      <c r="E7" s="8"/>
      <c r="F7" s="8"/>
      <c r="G7" s="8"/>
      <c r="H7" s="8"/>
      <c r="I7" s="8"/>
      <c r="J7" s="8"/>
      <c r="K7" s="8"/>
      <c r="L7" s="8"/>
    </row>
    <row r="8" spans="1:12" ht="15" customHeight="1" x14ac:dyDescent="0.35">
      <c r="A8" s="8" t="str">
        <f>IF(מלאי!D6&lt;&gt;"",מלאי!D6,"")</f>
        <v/>
      </c>
      <c r="B8" s="8" t="str">
        <f>IF(מלאי!D6&lt;&gt;"",מלאי!B6&amp;IF(מלאי!C6&lt;&gt;""," ("&amp;מלאי!C6&amp;")",""),"")</f>
        <v/>
      </c>
      <c r="C8" s="8" t="str">
        <f>IF(מלאי!D6&lt;&gt;"",מלאי!A6,"")</f>
        <v/>
      </c>
      <c r="D8" s="8" t="str">
        <f>IF(מלאי!D6&lt;&gt;"",מלאי!H6,"")</f>
        <v/>
      </c>
      <c r="E8" s="8"/>
      <c r="F8" s="8"/>
      <c r="G8" s="8"/>
      <c r="H8" s="8"/>
      <c r="I8" s="8"/>
      <c r="J8" s="8"/>
      <c r="K8" s="8"/>
      <c r="L8" s="8"/>
    </row>
    <row r="9" spans="1:12" ht="15" customHeight="1" x14ac:dyDescent="0.35">
      <c r="A9" s="8" t="str">
        <f>IF(מלאי!D7&lt;&gt;"",מלאי!D7,"")</f>
        <v xml:space="preserve">Arctic Jacket Fresh 1 </v>
      </c>
      <c r="B9" s="8" t="str">
        <f>IF(מלאי!D7&lt;&gt;"",מלאי!B7&amp;IF(מלאי!C7&lt;&gt;""," ("&amp;מלאי!C7&amp;")",""),"")</f>
        <v>Arctic Jacket (V1)</v>
      </c>
      <c r="C9" s="8" t="str">
        <f>IF(מלאי!D7&lt;&gt;"",מלאי!A7,"")</f>
        <v>OverGarment</v>
      </c>
      <c r="D9" s="8" t="str">
        <f>IF(מלאי!D7&lt;&gt;"",מלאי!H7,"")</f>
        <v>Fresh Snow</v>
      </c>
      <c r="E9" s="8"/>
      <c r="F9" s="8"/>
      <c r="G9" s="8"/>
      <c r="H9" s="8"/>
      <c r="I9" s="8"/>
      <c r="J9" s="8"/>
      <c r="K9" s="8"/>
      <c r="L9" s="8"/>
    </row>
    <row r="10" spans="1:12" ht="15" customHeight="1" x14ac:dyDescent="0.35">
      <c r="A10" s="8" t="str">
        <f>IF(מלאי!D8&lt;&gt;"",מלאי!D8,"")</f>
        <v xml:space="preserve">Arctic Suit Top Fresh 1 </v>
      </c>
      <c r="B10" s="8" t="str">
        <f>IF(מלאי!D8&lt;&gt;"",מלאי!B8&amp;IF(מלאי!C8&lt;&gt;""," ("&amp;מלאי!C8&amp;")",""),"")</f>
        <v>Arctic Jacket (V1)</v>
      </c>
      <c r="C10" s="8" t="str">
        <f>IF(מלאי!D8&lt;&gt;"",מלאי!A8,"")</f>
        <v>OverGarment</v>
      </c>
      <c r="D10" s="8" t="str">
        <f>IF(מלאי!D8&lt;&gt;"",מלאי!H8,"")</f>
        <v>Fresh Snow</v>
      </c>
      <c r="E10" s="8"/>
      <c r="F10" s="8"/>
      <c r="G10" s="8"/>
      <c r="H10" s="8"/>
      <c r="I10" s="8"/>
      <c r="J10" s="8"/>
      <c r="K10" s="8"/>
      <c r="L10" s="8"/>
    </row>
    <row r="11" spans="1:12" ht="15" customHeight="1" x14ac:dyDescent="0.35">
      <c r="A11" s="8" t="str">
        <f>IF(מלאי!D9&lt;&gt;"",מלאי!D9,"")</f>
        <v xml:space="preserve">Arctic Suit Bot Fresh 1 </v>
      </c>
      <c r="B11" s="8" t="str">
        <f>IF(מלאי!D9&lt;&gt;"",מלאי!B9&amp;IF(מלאי!C9&lt;&gt;""," ("&amp;מלאי!C9&amp;")",""),"")</f>
        <v>Arctic Jacket (V1)</v>
      </c>
      <c r="C11" s="8" t="str">
        <f>IF(מלאי!D9&lt;&gt;"",מלאי!A9,"")</f>
        <v>OverGarment</v>
      </c>
      <c r="D11" s="8" t="str">
        <f>IF(מלאי!D9&lt;&gt;"",מלאי!H9,"")</f>
        <v>Fresh Snow</v>
      </c>
      <c r="E11" s="8"/>
      <c r="F11" s="8"/>
      <c r="G11" s="8"/>
      <c r="H11" s="8"/>
      <c r="I11" s="8"/>
      <c r="J11" s="8"/>
      <c r="K11" s="8"/>
      <c r="L11" s="8"/>
    </row>
    <row r="12" spans="1:12" ht="15" customHeight="1" x14ac:dyDescent="0.35">
      <c r="A12" s="8" t="str">
        <f>IF(מלאי!D10&lt;&gt;"",מלאי!D10,"")</f>
        <v xml:space="preserve">Arctic Jacket Snirt 1 </v>
      </c>
      <c r="B12" s="8" t="str">
        <f>IF(מלאי!D10&lt;&gt;"",מלאי!B10&amp;IF(מלאי!C10&lt;&gt;""," ("&amp;מלאי!C10&amp;")",""),"")</f>
        <v>Arctic Jacket (V1)</v>
      </c>
      <c r="C12" s="8" t="str">
        <f>IF(מלאי!D10&lt;&gt;"",מלאי!A10,"")</f>
        <v>OverGarment</v>
      </c>
      <c r="D12" s="8" t="str">
        <f>IF(מלאי!D10&lt;&gt;"",מלאי!H10,"")</f>
        <v>Snirt Snow</v>
      </c>
      <c r="E12" s="8"/>
      <c r="F12" s="8"/>
      <c r="G12" s="8"/>
      <c r="H12" s="8"/>
      <c r="I12" s="8"/>
      <c r="J12" s="8"/>
      <c r="K12" s="8"/>
      <c r="L12" s="8"/>
    </row>
    <row r="13" spans="1:12" ht="15" customHeight="1" x14ac:dyDescent="0.35">
      <c r="A13" s="8" t="str">
        <f>IF(מלאי!D11&lt;&gt;"",מלאי!D11,"")</f>
        <v>Arctic Jacket Snirt 2</v>
      </c>
      <c r="B13" s="8" t="str">
        <f>IF(מלאי!D11&lt;&gt;"",מלאי!B11&amp;IF(מלאי!C11&lt;&gt;""," ("&amp;מלאי!C11&amp;")",""),"")</f>
        <v>Arctic Jacket (V1)</v>
      </c>
      <c r="C13" s="8" t="str">
        <f>IF(מלאי!D11&lt;&gt;"",מלאי!A11,"")</f>
        <v>OverGarment</v>
      </c>
      <c r="D13" s="8" t="str">
        <f>IF(מלאי!D11&lt;&gt;"",מלאי!H11,"")</f>
        <v>Snirt Snow</v>
      </c>
      <c r="E13" s="8"/>
      <c r="F13" s="8"/>
      <c r="G13" s="8"/>
      <c r="H13" s="8"/>
      <c r="I13" s="8"/>
      <c r="J13" s="8"/>
      <c r="K13" s="8"/>
      <c r="L13" s="8"/>
    </row>
    <row r="14" spans="1:12" ht="15" customHeight="1" x14ac:dyDescent="0.35">
      <c r="A14" s="8" t="str">
        <f>IF(מלאי!D12&lt;&gt;"",מלאי!D12,"")</f>
        <v>Arctic Jacket sampels Snirt</v>
      </c>
      <c r="B14" s="8" t="str">
        <f>IF(מלאי!D12&lt;&gt;"",מלאי!B12&amp;IF(מלאי!C12&lt;&gt;""," ("&amp;מלאי!C12&amp;")",""),"")</f>
        <v>Arctic Jacket (V1)</v>
      </c>
      <c r="C14" s="8" t="str">
        <f>IF(מלאי!D12&lt;&gt;"",מלאי!A12,"")</f>
        <v>OverGarment</v>
      </c>
      <c r="D14" s="8" t="str">
        <f>IF(מלאי!D12&lt;&gt;"",מלאי!H12,"")</f>
        <v>Snirt Snow</v>
      </c>
      <c r="E14" s="8"/>
      <c r="F14" s="8"/>
      <c r="G14" s="8"/>
      <c r="H14" s="8"/>
      <c r="I14" s="8"/>
      <c r="J14" s="8"/>
      <c r="K14" s="8"/>
      <c r="L14" s="8"/>
    </row>
    <row r="15" spans="1:12" ht="15" customHeight="1" x14ac:dyDescent="0.35">
      <c r="A15" s="8" t="str">
        <f>IF(מלאי!D13&lt;&gt;"",מלאי!D13,"")</f>
        <v>Arctic Jacket sampels Fresh</v>
      </c>
      <c r="B15" s="8" t="str">
        <f>IF(מלאי!D13&lt;&gt;"",מלאי!B13&amp;IF(מלאי!C13&lt;&gt;""," ("&amp;מלאי!C13&amp;")",""),"")</f>
        <v>Arctic Jacket (V1)</v>
      </c>
      <c r="C15" s="8" t="str">
        <f>IF(מלאי!D13&lt;&gt;"",מלאי!A13,"")</f>
        <v>OverGarment</v>
      </c>
      <c r="D15" s="8" t="str">
        <f>IF(מלאי!D13&lt;&gt;"",מלאי!H13,"")</f>
        <v>Fresh Snow</v>
      </c>
      <c r="E15" s="8"/>
      <c r="F15" s="8"/>
      <c r="G15" s="8"/>
      <c r="H15" s="8"/>
      <c r="I15" s="8"/>
      <c r="J15" s="8"/>
      <c r="K15" s="8"/>
      <c r="L15" s="8"/>
    </row>
    <row r="16" spans="1:12" ht="15" customHeight="1" x14ac:dyDescent="0.35">
      <c r="A16" s="8" t="str">
        <f>IF(מלאי!D14&lt;&gt;"",מלאי!D14,"")</f>
        <v xml:space="preserve">Arctic Pants Fresh 1 </v>
      </c>
      <c r="B16" s="8" t="str">
        <f>IF(מלאי!D14&lt;&gt;"",מלאי!B14&amp;IF(מלאי!C14&lt;&gt;""," ("&amp;מלאי!C14&amp;")",""),"")</f>
        <v>Arctic Overpants (V1)</v>
      </c>
      <c r="C16" s="8" t="str">
        <f>IF(מלאי!D14&lt;&gt;"",מלאי!A14,"")</f>
        <v>OverGarment</v>
      </c>
      <c r="D16" s="8" t="str">
        <f>IF(מלאי!D14&lt;&gt;"",מלאי!H14,"")</f>
        <v>Fresh Snow</v>
      </c>
      <c r="E16" s="8"/>
      <c r="F16" s="8"/>
      <c r="G16" s="8"/>
      <c r="H16" s="8"/>
      <c r="I16" s="8"/>
      <c r="J16" s="8"/>
      <c r="K16" s="8"/>
      <c r="L16" s="8"/>
    </row>
    <row r="17" spans="1:12" ht="15" customHeight="1" x14ac:dyDescent="0.35">
      <c r="A17" s="8" t="str">
        <f>IF(מלאי!D15&lt;&gt;"",מלאי!D15,"")</f>
        <v xml:space="preserve">Arctic Pants Snirt 1 </v>
      </c>
      <c r="B17" s="8" t="str">
        <f>IF(מלאי!D15&lt;&gt;"",מלאי!B15&amp;IF(מלאי!C15&lt;&gt;""," ("&amp;מלאי!C15&amp;")",""),"")</f>
        <v>Arctic Overpants (V1)</v>
      </c>
      <c r="C17" s="8" t="str">
        <f>IF(מלאי!D15&lt;&gt;"",מלאי!A15,"")</f>
        <v>OverGarment</v>
      </c>
      <c r="D17" s="8" t="str">
        <f>IF(מלאי!D15&lt;&gt;"",מלאי!H15,"")</f>
        <v>Snirt Snow</v>
      </c>
      <c r="E17" s="8"/>
      <c r="F17" s="8"/>
      <c r="G17" s="8"/>
      <c r="H17" s="8"/>
      <c r="I17" s="8"/>
      <c r="J17" s="8"/>
      <c r="K17" s="8"/>
      <c r="L17" s="8"/>
    </row>
    <row r="18" spans="1:12" ht="15" customHeight="1" x14ac:dyDescent="0.35">
      <c r="A18" s="8" t="str">
        <f>IF(מלאי!D16&lt;&gt;"",מלאי!D16,"")</f>
        <v>Arctic Pants Fresh 2</v>
      </c>
      <c r="B18" s="8" t="str">
        <f>IF(מלאי!D16&lt;&gt;"",מלאי!B16&amp;IF(מלאי!C16&lt;&gt;""," ("&amp;מלאי!C16&amp;")",""),"")</f>
        <v>Arctic Overpants (V1)</v>
      </c>
      <c r="C18" s="8" t="str">
        <f>IF(מלאי!D16&lt;&gt;"",מלאי!A16,"")</f>
        <v>OverGarment</v>
      </c>
      <c r="D18" s="8" t="str">
        <f>IF(מלאי!D16&lt;&gt;"",מלאי!H16,"")</f>
        <v>Fresh Snow</v>
      </c>
      <c r="E18" s="8"/>
      <c r="F18" s="8"/>
      <c r="G18" s="8"/>
      <c r="H18" s="8"/>
      <c r="I18" s="8"/>
      <c r="J18" s="8"/>
      <c r="K18" s="8"/>
      <c r="L18" s="8"/>
    </row>
    <row r="19" spans="1:12" ht="15" customHeight="1" x14ac:dyDescent="0.35">
      <c r="A19" s="8" t="str">
        <f>IF(מלאי!D17&lt;&gt;"",מלאי!D17,"")</f>
        <v>Arctic Pants sampels Snirt</v>
      </c>
      <c r="B19" s="8" t="str">
        <f>IF(מלאי!D17&lt;&gt;"",מלאי!B17&amp;IF(מלאי!C17&lt;&gt;""," ("&amp;מלאי!C17&amp;")",""),"")</f>
        <v>Arctic Overpants (V1)</v>
      </c>
      <c r="C19" s="8" t="str">
        <f>IF(מלאי!D17&lt;&gt;"",מלאי!A17,"")</f>
        <v>OverGarment</v>
      </c>
      <c r="D19" s="8" t="str">
        <f>IF(מלאי!D17&lt;&gt;"",מלאי!H17,"")</f>
        <v>Snirt Snow</v>
      </c>
      <c r="E19" s="8"/>
      <c r="F19" s="8"/>
      <c r="G19" s="8"/>
      <c r="H19" s="8"/>
      <c r="I19" s="8"/>
      <c r="J19" s="8"/>
      <c r="K19" s="8"/>
      <c r="L19" s="8"/>
    </row>
    <row r="20" spans="1:12" ht="15" customHeight="1" x14ac:dyDescent="0.35">
      <c r="A20" s="8" t="str">
        <f>IF(מלאי!D18&lt;&gt;"",מלאי!D18,"")</f>
        <v>Arctic Pants sampels Fresh</v>
      </c>
      <c r="B20" s="8" t="str">
        <f>IF(מלאי!D18&lt;&gt;"",מלאי!B18&amp;IF(מלאי!C18&lt;&gt;""," ("&amp;מלאי!C18&amp;")",""),"")</f>
        <v>Arctic Overpants (V1)</v>
      </c>
      <c r="C20" s="8" t="str">
        <f>IF(מלאי!D18&lt;&gt;"",מלאי!A18,"")</f>
        <v>OverGarment</v>
      </c>
      <c r="D20" s="8" t="str">
        <f>IF(מלאי!D18&lt;&gt;"",מלאי!H18,"")</f>
        <v>Fresh Snow</v>
      </c>
      <c r="E20" s="8"/>
      <c r="F20" s="8"/>
      <c r="G20" s="8"/>
      <c r="H20" s="8"/>
      <c r="I20" s="8"/>
      <c r="J20" s="8"/>
      <c r="K20" s="8"/>
      <c r="L20" s="8"/>
    </row>
    <row r="21" spans="1:12" ht="15" customHeight="1" x14ac:dyDescent="0.35">
      <c r="A21" s="8" t="str">
        <f>IF(מלאי!D19&lt;&gt;"",מלאי!D19,"")</f>
        <v>Arctic poncho Snirt 1</v>
      </c>
      <c r="B21" s="8" t="str">
        <f>IF(מלאי!D19&lt;&gt;"",מלאי!B19&amp;IF(מלאי!C19&lt;&gt;""," ("&amp;מלאי!C19&amp;")",""),"")</f>
        <v>Arctic Poncho SRV (V1)</v>
      </c>
      <c r="C21" s="8" t="str">
        <f>IF(מלאי!D19&lt;&gt;"",מלאי!A19,"")</f>
        <v>OverGarment</v>
      </c>
      <c r="D21" s="8" t="str">
        <f>IF(מלאי!D19&lt;&gt;"",מלאי!H19,"")</f>
        <v>Snirt Snow</v>
      </c>
      <c r="E21" s="8"/>
      <c r="F21" s="8"/>
      <c r="G21" s="8"/>
      <c r="H21" s="8"/>
      <c r="I21" s="8"/>
      <c r="J21" s="8"/>
      <c r="K21" s="8"/>
      <c r="L21" s="8"/>
    </row>
    <row r="22" spans="1:12" ht="15" customHeight="1" x14ac:dyDescent="0.35">
      <c r="A22" s="8" t="str">
        <f>IF(מלאי!D20&lt;&gt;"",מלאי!D20,"")</f>
        <v>Arctic poncho Snirt 2</v>
      </c>
      <c r="B22" s="8" t="str">
        <f>IF(מלאי!D20&lt;&gt;"",מלאי!B20&amp;IF(מלאי!C20&lt;&gt;""," ("&amp;מלאי!C20&amp;")",""),"")</f>
        <v>Arctic Poncho SRV (V1)</v>
      </c>
      <c r="C22" s="8" t="str">
        <f>IF(מלאי!D20&lt;&gt;"",מלאי!A20,"")</f>
        <v>OverGarment</v>
      </c>
      <c r="D22" s="8" t="str">
        <f>IF(מלאי!D20&lt;&gt;"",מלאי!H20,"")</f>
        <v>Snirt Snow</v>
      </c>
      <c r="E22" s="8"/>
      <c r="F22" s="8"/>
      <c r="G22" s="8"/>
      <c r="H22" s="8"/>
      <c r="I22" s="8"/>
      <c r="J22" s="8"/>
      <c r="K22" s="8"/>
      <c r="L22" s="8"/>
    </row>
    <row r="23" spans="1:12" ht="15" customHeight="1" x14ac:dyDescent="0.35">
      <c r="A23" s="8" t="str">
        <f>IF(מלאי!D21&lt;&gt;"",מלאי!D21,"")</f>
        <v>Arctic poncho Fresh 1</v>
      </c>
      <c r="B23" s="8" t="str">
        <f>IF(מלאי!D21&lt;&gt;"",מלאי!B21&amp;IF(מלאי!C21&lt;&gt;""," ("&amp;מלאי!C21&amp;")",""),"")</f>
        <v>Arctic Poncho SRV (V1)</v>
      </c>
      <c r="C23" s="8" t="str">
        <f>IF(מלאי!D21&lt;&gt;"",מלאי!A21,"")</f>
        <v>OverGarment</v>
      </c>
      <c r="D23" s="8" t="str">
        <f>IF(מלאי!D21&lt;&gt;"",מלאי!H21,"")</f>
        <v>Fresh Snow</v>
      </c>
      <c r="E23" s="8"/>
      <c r="F23" s="8"/>
      <c r="G23" s="8"/>
      <c r="H23" s="8"/>
      <c r="I23" s="8"/>
      <c r="J23" s="8"/>
      <c r="K23" s="8"/>
      <c r="L23" s="8"/>
    </row>
    <row r="24" spans="1:12" ht="15" customHeight="1" x14ac:dyDescent="0.35">
      <c r="A24" s="8" t="str">
        <f>IF(מלאי!D22&lt;&gt;"",מלאי!D22,"")</f>
        <v>Arctic poncho Fresh 3</v>
      </c>
      <c r="B24" s="8" t="str">
        <f>IF(מלאי!D22&lt;&gt;"",מלאי!B22&amp;IF(מלאי!C22&lt;&gt;""," ("&amp;מלאי!C22&amp;")",""),"")</f>
        <v>Arctic Poncho SRV (V1)</v>
      </c>
      <c r="C24" s="8" t="str">
        <f>IF(מלאי!D22&lt;&gt;"",מלאי!A22,"")</f>
        <v>OverGarment</v>
      </c>
      <c r="D24" s="8" t="str">
        <f>IF(מלאי!D22&lt;&gt;"",מלאי!H22,"")</f>
        <v>Fresh Snow</v>
      </c>
      <c r="E24" s="8"/>
      <c r="F24" s="8"/>
      <c r="G24" s="8"/>
      <c r="H24" s="8"/>
      <c r="I24" s="8"/>
      <c r="J24" s="8"/>
      <c r="K24" s="8"/>
      <c r="L24" s="8"/>
    </row>
    <row r="25" spans="1:12" ht="15" customHeight="1" x14ac:dyDescent="0.35">
      <c r="A25" s="8" t="str">
        <f>IF(מלאי!D23&lt;&gt;"",מלאי!D23,"")</f>
        <v>Arctic poncho Fresh 2</v>
      </c>
      <c r="B25" s="8" t="str">
        <f>IF(מלאי!D23&lt;&gt;"",מלאי!B23&amp;IF(מלאי!C23&lt;&gt;""," ("&amp;מלאי!C23&amp;")",""),"")</f>
        <v>Arctic Poncho SRV (V1)</v>
      </c>
      <c r="C25" s="8" t="str">
        <f>IF(מלאי!D23&lt;&gt;"",מלאי!A23,"")</f>
        <v>OverGarment</v>
      </c>
      <c r="D25" s="8" t="str">
        <f>IF(מלאי!D23&lt;&gt;"",מלאי!H23,"")</f>
        <v>Fresh Snow</v>
      </c>
      <c r="E25" s="8"/>
      <c r="F25" s="8"/>
      <c r="G25" s="8"/>
      <c r="H25" s="8"/>
      <c r="I25" s="8"/>
      <c r="J25" s="8"/>
      <c r="K25" s="8"/>
      <c r="L25" s="8"/>
    </row>
    <row r="26" spans="1:12" ht="15" customHeight="1" x14ac:dyDescent="0.35">
      <c r="A26" s="8" t="str">
        <f>IF(מלאי!D24&lt;&gt;"",מלאי!D24,"")</f>
        <v>Arctic poncho sampels Snirt</v>
      </c>
      <c r="B26" s="8" t="str">
        <f>IF(מלאי!D24&lt;&gt;"",מלאי!B24&amp;IF(מלאי!C24&lt;&gt;""," ("&amp;מלאי!C24&amp;")",""),"")</f>
        <v>Arctic Poncho SRV (V1)</v>
      </c>
      <c r="C26" s="8" t="str">
        <f>IF(מלאי!D24&lt;&gt;"",מלאי!A24,"")</f>
        <v>OverGarment</v>
      </c>
      <c r="D26" s="8" t="str">
        <f>IF(מלאי!D24&lt;&gt;"",מלאי!H24,"")</f>
        <v>Snirt Snow</v>
      </c>
      <c r="E26" s="8"/>
      <c r="F26" s="8"/>
      <c r="G26" s="8"/>
      <c r="H26" s="8"/>
      <c r="I26" s="8"/>
      <c r="J26" s="8"/>
      <c r="K26" s="8"/>
      <c r="L26" s="8"/>
    </row>
    <row r="27" spans="1:12" ht="15" customHeight="1" x14ac:dyDescent="0.35">
      <c r="A27" s="8" t="str">
        <f>IF(מלאי!D25&lt;&gt;"",מלאי!D25,"")</f>
        <v>Arctic poncho sampels Fresh</v>
      </c>
      <c r="B27" s="8" t="str">
        <f>IF(מלאי!D25&lt;&gt;"",מלאי!B25&amp;IF(מלאי!C25&lt;&gt;""," ("&amp;מלאי!C25&amp;")",""),"")</f>
        <v>Arctic Poncho SRV (V1)</v>
      </c>
      <c r="C27" s="8" t="str">
        <f>IF(מלאי!D25&lt;&gt;"",מלאי!A25,"")</f>
        <v>OverGarment</v>
      </c>
      <c r="D27" s="8" t="str">
        <f>IF(מלאי!D25&lt;&gt;"",מלאי!H25,"")</f>
        <v>Fresh Snow</v>
      </c>
      <c r="E27" s="8"/>
      <c r="F27" s="8"/>
      <c r="G27" s="8"/>
      <c r="H27" s="8"/>
      <c r="I27" s="8"/>
      <c r="J27" s="8"/>
      <c r="K27" s="8"/>
      <c r="L27" s="8"/>
    </row>
    <row r="28" spans="1:12" ht="15" customHeight="1" x14ac:dyDescent="0.35">
      <c r="A28" s="8" t="str">
        <f>IF(מלאי!D26&lt;&gt;"",מלאי!D26,"")</f>
        <v>SRV Blanket Arc 1</v>
      </c>
      <c r="B28" s="8" t="str">
        <f>IF(מלאי!D26&lt;&gt;"",מלאי!B26&amp;IF(מלאי!C26&lt;&gt;""," ("&amp;מלאי!C26&amp;")",""),"")</f>
        <v>Arctic Survival Blanket (V1)</v>
      </c>
      <c r="C28" s="8" t="str">
        <f>IF(מלאי!D26&lt;&gt;"",מלאי!A26,"")</f>
        <v>Blankets</v>
      </c>
      <c r="D28" s="8" t="str">
        <f>IF(מלאי!D26&lt;&gt;"",מלאי!H26,"")</f>
        <v>Fresh Snow</v>
      </c>
      <c r="E28" s="8"/>
      <c r="F28" s="8"/>
      <c r="G28" s="8"/>
      <c r="H28" s="8"/>
      <c r="I28" s="8"/>
      <c r="J28" s="8"/>
      <c r="K28" s="8"/>
      <c r="L28" s="8"/>
    </row>
    <row r="29" spans="1:12" ht="15" customHeight="1" x14ac:dyDescent="0.35">
      <c r="A29" s="8" t="str">
        <f>IF(מלאי!D27&lt;&gt;"",מלאי!D27,"")</f>
        <v>B03</v>
      </c>
      <c r="B29" s="8" t="str">
        <f>IF(מלאי!D27&lt;&gt;"",מלאי!B27&amp;IF(מלאי!C27&lt;&gt;""," ("&amp;מלאי!C27&amp;")",""),"")</f>
        <v>Bag cover 90L</v>
      </c>
      <c r="C29" s="8" t="str">
        <f>IF(מלאי!D27&lt;&gt;"",מלאי!A27,"")</f>
        <v>Accessories</v>
      </c>
      <c r="D29" s="8" t="str">
        <f>IF(מלאי!D27&lt;&gt;"",מלאי!H27,"")</f>
        <v>Desert</v>
      </c>
      <c r="E29" s="8"/>
      <c r="F29" s="8"/>
      <c r="G29" s="8"/>
      <c r="H29" s="8"/>
      <c r="I29" s="8"/>
      <c r="J29" s="8"/>
      <c r="K29" s="8"/>
      <c r="L29" s="8"/>
    </row>
    <row r="30" spans="1:12" ht="15" customHeight="1" x14ac:dyDescent="0.35">
      <c r="A30" s="8" t="str">
        <f>IF(מלאי!D28&lt;&gt;"",מלאי!D28,"")</f>
        <v>B04</v>
      </c>
      <c r="B30" s="8" t="str">
        <f>IF(מלאי!D28&lt;&gt;"",מלאי!B28&amp;IF(מלאי!C28&lt;&gt;""," ("&amp;מלאי!C28&amp;")",""),"")</f>
        <v>Bag cover 90L</v>
      </c>
      <c r="C30" s="8" t="str">
        <f>IF(מלאי!D28&lt;&gt;"",מלאי!A28,"")</f>
        <v>Accessories</v>
      </c>
      <c r="D30" s="8" t="str">
        <f>IF(מלאי!D28&lt;&gt;"",מלאי!H28,"")</f>
        <v>Kestrel</v>
      </c>
      <c r="E30" s="8"/>
      <c r="F30" s="8"/>
      <c r="G30" s="8"/>
      <c r="H30" s="8"/>
      <c r="I30" s="8"/>
      <c r="J30" s="8"/>
      <c r="K30" s="8"/>
      <c r="L30" s="8"/>
    </row>
    <row r="31" spans="1:12" ht="15" customHeight="1" x14ac:dyDescent="0.35">
      <c r="A31" s="8" t="str">
        <f>IF(מלאי!D29&lt;&gt;"",מלאי!D29,"")</f>
        <v>B05</v>
      </c>
      <c r="B31" s="8" t="str">
        <f>IF(מלאי!D29&lt;&gt;"",מלאי!B29&amp;IF(מלאי!C29&lt;&gt;""," ("&amp;מלאי!C29&amp;")",""),"")</f>
        <v>Bag cover 90L</v>
      </c>
      <c r="C31" s="8" t="str">
        <f>IF(מלאי!D29&lt;&gt;"",מלאי!A29,"")</f>
        <v>Accessories</v>
      </c>
      <c r="D31" s="8" t="str">
        <f>IF(מלאי!D29&lt;&gt;"",מלאי!H29,"")</f>
        <v>Desert</v>
      </c>
      <c r="E31" s="8"/>
      <c r="F31" s="8"/>
      <c r="G31" s="8"/>
      <c r="H31" s="8"/>
      <c r="I31" s="8"/>
      <c r="J31" s="8"/>
      <c r="K31" s="8"/>
      <c r="L31" s="8"/>
    </row>
    <row r="32" spans="1:12" ht="15" customHeight="1" x14ac:dyDescent="0.35">
      <c r="A32" s="8" t="str">
        <f>IF(מלאי!D30&lt;&gt;"",מלאי!D30,"")</f>
        <v>B06</v>
      </c>
      <c r="B32" s="8" t="str">
        <f>IF(מלאי!D30&lt;&gt;"",מלאי!B30&amp;IF(מלאי!C30&lt;&gt;""," ("&amp;מלאי!C30&amp;")",""),"")</f>
        <v>Bag cover 90L</v>
      </c>
      <c r="C32" s="8" t="str">
        <f>IF(מלאי!D30&lt;&gt;"",מלאי!A30,"")</f>
        <v>Accessories</v>
      </c>
      <c r="D32" s="8" t="str">
        <f>IF(מלאי!D30&lt;&gt;"",מלאי!H30,"")</f>
        <v>Kestrel</v>
      </c>
      <c r="E32" s="8"/>
      <c r="F32" s="8"/>
      <c r="G32" s="8"/>
      <c r="H32" s="8"/>
      <c r="I32" s="8"/>
      <c r="J32" s="8"/>
      <c r="K32" s="8"/>
      <c r="L32" s="8"/>
    </row>
    <row r="33" spans="1:12" ht="15" customHeight="1" x14ac:dyDescent="0.35">
      <c r="A33" s="8" t="str">
        <f>IF(מלאי!D31&lt;&gt;"",מלאי!D31,"")</f>
        <v>בלקלבה מלאי 01</v>
      </c>
      <c r="B33" s="8" t="str">
        <f>IF(מלאי!D31&lt;&gt;"",מלאי!B31&amp;IF(מלאי!C31&lt;&gt;""," ("&amp;מלאי!C31&amp;")",""),"")</f>
        <v>Balaclava</v>
      </c>
      <c r="C33" s="8" t="str">
        <f>IF(מלאי!D31&lt;&gt;"",מלאי!A31,"")</f>
        <v>Uniform</v>
      </c>
      <c r="D33" s="8">
        <f>IF(מלאי!D31&lt;&gt;"",מלאי!H31,"")</f>
        <v>0</v>
      </c>
      <c r="E33" s="8"/>
      <c r="F33" s="8"/>
      <c r="G33" s="8"/>
      <c r="H33" s="8"/>
      <c r="I33" s="8"/>
      <c r="J33" s="8"/>
      <c r="K33" s="8"/>
      <c r="L33" s="8"/>
    </row>
    <row r="34" spans="1:12" ht="23.25" customHeight="1" x14ac:dyDescent="0.35">
      <c r="A34" s="8" t="str">
        <f>IF(מלאי!D32&lt;&gt;"",מלאי!D32,"")</f>
        <v>B01</v>
      </c>
      <c r="B34" s="8" t="str">
        <f>IF(מלאי!D32&lt;&gt;"",מלאי!B32&amp;IF(מלאי!C32&lt;&gt;""," ("&amp;מלאי!C32&amp;")",""),"")</f>
        <v>Balaclava</v>
      </c>
      <c r="C34" s="8" t="str">
        <f>IF(מלאי!D32&lt;&gt;"",מלאי!A32,"")</f>
        <v>Uniform</v>
      </c>
      <c r="D34" s="8" t="str">
        <f>IF(מלאי!D32&lt;&gt;"",מלאי!H32,"")</f>
        <v>Marine</v>
      </c>
      <c r="E34" s="8"/>
      <c r="F34" s="8"/>
      <c r="G34" s="8"/>
      <c r="H34" s="8"/>
      <c r="I34" s="8"/>
      <c r="J34" s="8"/>
      <c r="K34" s="8"/>
      <c r="L34" s="8"/>
    </row>
    <row r="35" spans="1:12" ht="15" customHeight="1" x14ac:dyDescent="0.35">
      <c r="A35" s="8" t="str">
        <f>IF(מלאי!D33&lt;&gt;"",מלאי!D33,"")</f>
        <v>B02</v>
      </c>
      <c r="B35" s="8" t="str">
        <f>IF(מלאי!D33&lt;&gt;"",מלאי!B33&amp;IF(מלאי!C33&lt;&gt;""," ("&amp;מלאי!C33&amp;")",""),"")</f>
        <v>Balaclava</v>
      </c>
      <c r="C35" s="8" t="str">
        <f>IF(מלאי!D33&lt;&gt;"",מלאי!A33,"")</f>
        <v>Uniform</v>
      </c>
      <c r="D35" s="8" t="str">
        <f>IF(מלאי!D33&lt;&gt;"",מלאי!H33,"")</f>
        <v>Marine</v>
      </c>
      <c r="E35" s="8"/>
      <c r="F35" s="8"/>
      <c r="G35" s="8"/>
      <c r="H35" s="8"/>
      <c r="I35" s="8"/>
      <c r="J35" s="8"/>
      <c r="K35" s="8"/>
      <c r="L35" s="8"/>
    </row>
    <row r="36" spans="1:12" ht="15" customHeight="1" x14ac:dyDescent="0.35">
      <c r="A36" s="8" t="str">
        <f>IF(מלאי!D34&lt;&gt;"",מלאי!D34,"")</f>
        <v>UNI034</v>
      </c>
      <c r="B36" s="8" t="str">
        <f>IF(מלאי!D34&lt;&gt;"",מלאי!B34&amp;IF(מלאי!C34&lt;&gt;""," ("&amp;מלאי!C34&amp;")",""),"")</f>
        <v>Balaclava</v>
      </c>
      <c r="C36" s="8" t="str">
        <f>IF(מלאי!D34&lt;&gt;"",מלאי!A34,"")</f>
        <v>Uniform</v>
      </c>
      <c r="D36" s="8" t="str">
        <f>IF(מלאי!D34&lt;&gt;"",מלאי!H34,"")</f>
        <v>Fresh Snow</v>
      </c>
      <c r="E36" s="8"/>
      <c r="F36" s="8"/>
      <c r="G36" s="8"/>
      <c r="H36" s="8"/>
      <c r="I36" s="8"/>
      <c r="J36" s="8"/>
      <c r="K36" s="8"/>
      <c r="L36" s="8"/>
    </row>
    <row r="37" spans="1:12" ht="15" customHeight="1" x14ac:dyDescent="0.35">
      <c r="A37" s="8" t="str">
        <f>IF(מלאי!D35&lt;&gt;"",מלאי!D35,"")</f>
        <v>UNI 003</v>
      </c>
      <c r="B37" s="8" t="str">
        <f>IF(מלאי!D35&lt;&gt;"",מלאי!B35&amp;IF(מלאי!C35&lt;&gt;""," ("&amp;מלאי!C35&amp;")",""),"")</f>
        <v>Boonie hat (V1)</v>
      </c>
      <c r="C37" s="8" t="str">
        <f>IF(מלאי!D35&lt;&gt;"",מלאי!A35,"")</f>
        <v>Uniform</v>
      </c>
      <c r="D37" s="8" t="str">
        <f>IF(מלאי!D35&lt;&gt;"",מלאי!H35,"")</f>
        <v>Kestrel</v>
      </c>
      <c r="E37" s="8"/>
      <c r="F37" s="8"/>
      <c r="G37" s="8"/>
      <c r="H37" s="8"/>
      <c r="I37" s="8"/>
      <c r="J37" s="8"/>
      <c r="K37" s="8"/>
      <c r="L37" s="8"/>
    </row>
    <row r="38" spans="1:12" ht="15" customHeight="1" x14ac:dyDescent="0.35">
      <c r="A38" s="8" t="str">
        <f>IF(מלאי!D43&lt;&gt;"",מלאי!D43,"")</f>
        <v>גל תצוגה</v>
      </c>
      <c r="B38" s="8" t="str">
        <f>IF(מלאי!D43&lt;&gt;"",מלאי!B43&amp;IF(מלאי!C43&lt;&gt;""," ("&amp;מלאי!C43&amp;")",""),"")</f>
        <v>Gal Suit (V1)</v>
      </c>
      <c r="C38" s="8" t="str">
        <f>IF(מלאי!D43&lt;&gt;"",מלאי!A43,"")</f>
        <v>OverGarment</v>
      </c>
      <c r="D38" s="8" t="str">
        <f>IF(מלאי!D43&lt;&gt;"",מלאי!H43,"")</f>
        <v>Ever-Green</v>
      </c>
      <c r="E38" s="8"/>
      <c r="F38" s="8"/>
      <c r="G38" s="8"/>
      <c r="H38" s="8"/>
      <c r="I38" s="8"/>
      <c r="J38" s="8"/>
      <c r="K38" s="8"/>
      <c r="L38" s="8"/>
    </row>
    <row r="39" spans="1:12" ht="15" customHeight="1" x14ac:dyDescent="0.35">
      <c r="A39" s="8" t="str">
        <f>IF(מלאי!D44&lt;&gt;"",מלאי!D44,"")</f>
        <v>גל תצוגה אורבן</v>
      </c>
      <c r="B39" s="8" t="str">
        <f>IF(מלאי!D44&lt;&gt;"",מלאי!B44&amp;IF(מלאי!C44&lt;&gt;""," ("&amp;מלאי!C44&amp;")",""),"")</f>
        <v>Gal Suit (V1)</v>
      </c>
      <c r="C39" s="8" t="str">
        <f>IF(מלאי!D44&lt;&gt;"",מלאי!A44,"")</f>
        <v>OverGarment</v>
      </c>
      <c r="D39" s="8" t="str">
        <f>IF(מלאי!D44&lt;&gt;"",מלאי!H44,"")</f>
        <v>Boulder</v>
      </c>
      <c r="E39" s="8"/>
      <c r="F39" s="8"/>
      <c r="G39" s="8"/>
      <c r="H39" s="8"/>
      <c r="I39" s="8"/>
      <c r="J39" s="8"/>
      <c r="K39" s="8"/>
      <c r="L39" s="8"/>
    </row>
    <row r="40" spans="1:12" ht="15" customHeight="1" x14ac:dyDescent="0.35">
      <c r="A40" s="8" t="str">
        <f>IF(מלאי!D45&lt;&gt;"",מלאי!D45,"")</f>
        <v xml:space="preserve">Gal VIS 2 </v>
      </c>
      <c r="B40" s="8" t="str">
        <f>IF(מלאי!D45&lt;&gt;"",מלאי!B45&amp;IF(מלאי!C45&lt;&gt;""," ("&amp;מלאי!C45&amp;")",""),"")</f>
        <v>Gal Suit (V1)</v>
      </c>
      <c r="C40" s="8" t="str">
        <f>IF(מלאי!D45&lt;&gt;"",מלאי!A45,"")</f>
        <v>OverGarment</v>
      </c>
      <c r="D40" s="8" t="str">
        <f>IF(מלאי!D45&lt;&gt;"",מלאי!H45,"")</f>
        <v>Desert</v>
      </c>
      <c r="E40" s="8"/>
      <c r="F40" s="8"/>
      <c r="G40" s="8"/>
      <c r="H40" s="8"/>
      <c r="I40" s="8"/>
      <c r="J40" s="8"/>
      <c r="K40" s="8"/>
      <c r="L40" s="8"/>
    </row>
    <row r="41" spans="1:12" ht="15" customHeight="1" x14ac:dyDescent="0.35">
      <c r="A41" s="8" t="str">
        <f>IF(מלאי!D46&lt;&gt;"",מלאי!D46,"")</f>
        <v>Gal Double layers 1</v>
      </c>
      <c r="B41" s="8" t="str">
        <f>IF(מלאי!D46&lt;&gt;"",מלאי!B46&amp;IF(מלאי!C46&lt;&gt;""," ("&amp;מלאי!C46&amp;")",""),"")</f>
        <v>Gal Suit (V1)</v>
      </c>
      <c r="C41" s="8" t="str">
        <f>IF(מלאי!D46&lt;&gt;"",מלאי!A46,"")</f>
        <v>OverGarment</v>
      </c>
      <c r="D41" s="8" t="str">
        <f>IF(מלאי!D46&lt;&gt;"",מלאי!H46,"")</f>
        <v>NATO</v>
      </c>
      <c r="E41" s="8"/>
      <c r="F41" s="8"/>
      <c r="G41" s="8"/>
      <c r="H41" s="8"/>
      <c r="I41" s="8"/>
      <c r="J41" s="8"/>
      <c r="K41" s="8"/>
      <c r="L41" s="8"/>
    </row>
    <row r="42" spans="1:12" ht="15" customHeight="1" x14ac:dyDescent="0.35">
      <c r="A42" s="8" t="str">
        <f>IF(מלאי!D47&lt;&gt;"",מלאי!D47,"")</f>
        <v>Gal 1</v>
      </c>
      <c r="B42" s="8" t="str">
        <f>IF(מלאי!D47&lt;&gt;"",מלאי!B47&amp;IF(מלאי!C47&lt;&gt;""," ("&amp;מלאי!C47&amp;")",""),"")</f>
        <v>Gal Suit (V1)</v>
      </c>
      <c r="C42" s="8" t="str">
        <f>IF(מלאי!D47&lt;&gt;"",מלאי!A47,"")</f>
        <v>OverGarment</v>
      </c>
      <c r="D42" s="8" t="str">
        <f>IF(מלאי!D47&lt;&gt;"",מלאי!H47,"")</f>
        <v>Ever-Green</v>
      </c>
      <c r="E42" s="8"/>
      <c r="F42" s="8"/>
      <c r="G42" s="8"/>
      <c r="H42" s="8"/>
      <c r="I42" s="8"/>
      <c r="J42" s="8"/>
      <c r="K42" s="8"/>
      <c r="L42" s="8"/>
    </row>
    <row r="43" spans="1:12" ht="15" customHeight="1" x14ac:dyDescent="0.35">
      <c r="A43" s="8" t="str">
        <f>IF(מלאי!D48&lt;&gt;"",מלאי!D48,"")</f>
        <v>GMV 1 לא מטופל</v>
      </c>
      <c r="B43" s="8" t="str">
        <f>IF(מלאי!D48&lt;&gt;"",מלאי!B48&amp;IF(מלאי!C48&lt;&gt;""," ("&amp;מלאי!C48&amp;")",""),"")</f>
        <v>GMV</v>
      </c>
      <c r="C43" s="8" t="str">
        <f>IF(מלאי!D48&lt;&gt;"",מלאי!A48,"")</f>
        <v>Platform Hide Site</v>
      </c>
      <c r="D43" s="8" t="str">
        <f>IF(מלאי!D48&lt;&gt;"",מלאי!H48,"")</f>
        <v>Desert</v>
      </c>
      <c r="E43" s="8"/>
      <c r="F43" s="8"/>
      <c r="G43" s="8"/>
      <c r="H43" s="8"/>
      <c r="I43" s="8"/>
      <c r="J43" s="8"/>
      <c r="K43" s="8"/>
      <c r="L43" s="8"/>
    </row>
    <row r="44" spans="1:12" ht="15" customHeight="1" x14ac:dyDescent="0.35">
      <c r="A44" s="8" t="str">
        <f>IF(מלאי!D49&lt;&gt;"",מלאי!D49,"")</f>
        <v>GMV 2 לא מטופל</v>
      </c>
      <c r="B44" s="8" t="str">
        <f>IF(מלאי!D49&lt;&gt;"",מלאי!B49&amp;IF(מלאי!C49&lt;&gt;""," ("&amp;מלאי!C49&amp;")",""),"")</f>
        <v>GMV</v>
      </c>
      <c r="C44" s="8" t="str">
        <f>IF(מלאי!D49&lt;&gt;"",מלאי!A49,"")</f>
        <v>Platform Hide Site</v>
      </c>
      <c r="D44" s="8" t="str">
        <f>IF(מלאי!D49&lt;&gt;"",מלאי!H49,"")</f>
        <v>Desert</v>
      </c>
      <c r="E44" s="8"/>
      <c r="F44" s="8"/>
      <c r="G44" s="8"/>
      <c r="H44" s="8"/>
      <c r="I44" s="8"/>
      <c r="J44" s="8"/>
      <c r="K44" s="8"/>
      <c r="L44" s="8"/>
    </row>
    <row r="45" spans="1:12" ht="15" customHeight="1" x14ac:dyDescent="0.35">
      <c r="A45" s="8" t="str">
        <f>IF(מלאי!D50&lt;&gt;"",מלאי!D50,"")</f>
        <v>UNI 022</v>
      </c>
      <c r="B45" s="8" t="str">
        <f>IF(מלאי!D50&lt;&gt;"",מלאי!B50&amp;IF(מלאי!C50&lt;&gt;""," ("&amp;מלאי!C50&amp;")",""),"")</f>
        <v>Headcover (ELITE)</v>
      </c>
      <c r="C45" s="8" t="str">
        <f>IF(מלאי!D50&lt;&gt;"",מלאי!A50,"")</f>
        <v>Uniform</v>
      </c>
      <c r="D45" s="8" t="str">
        <f>IF(מלאי!D50&lt;&gt;"",מלאי!H50,"")</f>
        <v>Kestrel</v>
      </c>
      <c r="E45" s="8"/>
      <c r="F45" s="8"/>
      <c r="G45" s="8"/>
      <c r="H45" s="8"/>
      <c r="I45" s="8"/>
      <c r="J45" s="8"/>
      <c r="K45" s="8"/>
      <c r="L45" s="8"/>
    </row>
    <row r="46" spans="1:12" ht="23.25" customHeight="1" x14ac:dyDescent="0.35">
      <c r="A46" s="8" t="str">
        <f>IF(מלאי!D52&lt;&gt;"",מלאי!D52,"")</f>
        <v>כיסוי ראש ישראלי 1</v>
      </c>
      <c r="B46" s="8" t="str">
        <f>IF(מלאי!D52&lt;&gt;"",מלאי!B52&amp;IF(מלאי!C52&lt;&gt;""," ("&amp;מלאי!C52&amp;")",""),"")</f>
        <v>Headcover (ישראלי)</v>
      </c>
      <c r="C46" s="8" t="str">
        <f>IF(מלאי!D52&lt;&gt;"",מלאי!A52,"")</f>
        <v>Uniform</v>
      </c>
      <c r="D46" s="8" t="str">
        <f>IF(מלאי!D52&lt;&gt;"",מלאי!H52,"")</f>
        <v>Kestrel</v>
      </c>
      <c r="E46" s="8"/>
      <c r="F46" s="8"/>
      <c r="G46" s="8"/>
      <c r="H46" s="8"/>
      <c r="I46" s="8"/>
      <c r="J46" s="8"/>
      <c r="K46" s="8"/>
      <c r="L46" s="8"/>
    </row>
    <row r="47" spans="1:12" ht="15" customHeight="1" x14ac:dyDescent="0.35">
      <c r="A47" s="8" t="str">
        <f>IF(מלאי!D53&lt;&gt;"",מלאי!D53,"")</f>
        <v>כיסוי ראש ישראלי 2</v>
      </c>
      <c r="B47" s="8" t="str">
        <f>IF(מלאי!D53&lt;&gt;"",מלאי!B53&amp;IF(מלאי!C53&lt;&gt;""," ("&amp;מלאי!C53&amp;")",""),"")</f>
        <v>Headcover (ישראלי)</v>
      </c>
      <c r="C47" s="8" t="str">
        <f>IF(מלאי!D53&lt;&gt;"",מלאי!A53,"")</f>
        <v>Uniform</v>
      </c>
      <c r="D47" s="8" t="str">
        <f>IF(מלאי!D53&lt;&gt;"",מלאי!H53,"")</f>
        <v>Kestrel</v>
      </c>
      <c r="E47" s="8"/>
      <c r="F47" s="8"/>
      <c r="G47" s="8"/>
      <c r="H47" s="8"/>
      <c r="I47" s="8"/>
      <c r="J47" s="8"/>
      <c r="K47" s="8"/>
      <c r="L47" s="8"/>
    </row>
    <row r="48" spans="1:12" ht="15" customHeight="1" x14ac:dyDescent="0.35">
      <c r="A48" s="8" t="str">
        <f>IF(מלאי!D54&lt;&gt;"",מלאי!D54,"")</f>
        <v>UNI 021</v>
      </c>
      <c r="B48" s="8" t="str">
        <f>IF(מלאי!D54&lt;&gt;"",מלאי!B54&amp;IF(מלאי!C54&lt;&gt;""," ("&amp;מלאי!C54&amp;")",""),"")</f>
        <v>Headcover (ELITE)</v>
      </c>
      <c r="C48" s="8" t="str">
        <f>IF(מלאי!D54&lt;&gt;"",מלאי!A54,"")</f>
        <v>Uniform</v>
      </c>
      <c r="D48" s="8" t="str">
        <f>IF(מלאי!D54&lt;&gt;"",מלאי!H54,"")</f>
        <v>Kestrel</v>
      </c>
      <c r="E48" s="8"/>
      <c r="F48" s="8"/>
      <c r="G48" s="8"/>
      <c r="H48" s="8"/>
      <c r="I48" s="8"/>
      <c r="J48" s="8"/>
      <c r="K48" s="8"/>
      <c r="L48" s="8"/>
    </row>
    <row r="49" spans="1:12" ht="23.25" customHeight="1" x14ac:dyDescent="0.35">
      <c r="A49" s="8" t="str">
        <f>IF(מלאי!D56&lt;&gt;"",מלאי!D56,"")</f>
        <v>UNI 060</v>
      </c>
      <c r="B49" s="8" t="str">
        <f>IF(מלאי!D56&lt;&gt;"",מלאי!B56&amp;IF(מלאי!C56&lt;&gt;""," ("&amp;מלאי!C56&amp;")",""),"")</f>
        <v>Headcover</v>
      </c>
      <c r="C49" s="8" t="str">
        <f>IF(מלאי!D56&lt;&gt;"",מלאי!A56,"")</f>
        <v>Uniform</v>
      </c>
      <c r="D49" s="8" t="str">
        <f>IF(מלאי!D56&lt;&gt;"",מלאי!H56,"")</f>
        <v>Kestrel</v>
      </c>
      <c r="E49" s="8"/>
      <c r="F49" s="8"/>
      <c r="G49" s="8"/>
      <c r="H49" s="8"/>
      <c r="I49" s="8"/>
      <c r="J49" s="8"/>
      <c r="K49" s="8"/>
      <c r="L49" s="8"/>
    </row>
    <row r="50" spans="1:12" ht="15" customHeight="1" x14ac:dyDescent="0.35">
      <c r="A50" s="8" t="str">
        <f>IF(מלאי!D57&lt;&gt;"",מלאי!D57,"")</f>
        <v>UNI 024</v>
      </c>
      <c r="B50" s="8" t="str">
        <f>IF(מלאי!D57&lt;&gt;"",מלאי!B57&amp;IF(מלאי!C57&lt;&gt;""," ("&amp;מלאי!C57&amp;")",""),"")</f>
        <v>Headcover (ELITE)</v>
      </c>
      <c r="C50" s="8" t="str">
        <f>IF(מלאי!D57&lt;&gt;"",מלאי!A57,"")</f>
        <v>Uniform</v>
      </c>
      <c r="D50" s="8" t="str">
        <f>IF(מלאי!D57&lt;&gt;"",מלאי!H57,"")</f>
        <v>Fresh Snow</v>
      </c>
      <c r="E50" s="8"/>
      <c r="F50" s="8"/>
      <c r="G50" s="8"/>
      <c r="H50" s="8"/>
      <c r="I50" s="8"/>
      <c r="J50" s="8"/>
      <c r="K50" s="8"/>
      <c r="L50" s="8"/>
    </row>
    <row r="51" spans="1:12" ht="23.25" customHeight="1" x14ac:dyDescent="0.35">
      <c r="A51" s="8" t="str">
        <f>IF(מלאי!D58&lt;&gt;"",מלאי!D58,"")</f>
        <v>UNI 023</v>
      </c>
      <c r="B51" s="8" t="str">
        <f>IF(מלאי!D58&lt;&gt;"",מלאי!B58&amp;IF(מלאי!C58&lt;&gt;""," ("&amp;מלאי!C58&amp;")",""),"")</f>
        <v>Headcover (ELITE)</v>
      </c>
      <c r="C51" s="8" t="str">
        <f>IF(מלאי!D58&lt;&gt;"",מלאי!A58,"")</f>
        <v>Uniform</v>
      </c>
      <c r="D51" s="8" t="str">
        <f>IF(מלאי!D58&lt;&gt;"",מלאי!H58,"")</f>
        <v>Kestrel</v>
      </c>
      <c r="E51" s="8"/>
      <c r="F51" s="8"/>
      <c r="G51" s="8"/>
      <c r="H51" s="8"/>
      <c r="I51" s="8"/>
      <c r="J51" s="8"/>
      <c r="K51" s="8"/>
      <c r="L51" s="8"/>
    </row>
    <row r="52" spans="1:12" ht="23.25" customHeight="1" x14ac:dyDescent="0.35">
      <c r="A52" s="8" t="str">
        <f>IF(מלאי!D59&lt;&gt;"",מלאי!D59,"")</f>
        <v>RIPSTOP Hobey 1</v>
      </c>
      <c r="B52" s="8" t="str">
        <f>IF(מלאי!D59&lt;&gt;"",מלאי!B59&amp;IF(מלאי!C59&lt;&gt;""," ("&amp;מלאי!C59&amp;")",""),"")</f>
        <v>Hobey Elite (V1)</v>
      </c>
      <c r="C52" s="8" t="str">
        <f>IF(מלאי!D59&lt;&gt;"",מלאי!A59,"")</f>
        <v>OverGarment</v>
      </c>
      <c r="D52" s="8" t="str">
        <f>IF(מלאי!D59&lt;&gt;"",מלאי!H59,"")</f>
        <v>Marine</v>
      </c>
      <c r="E52" s="8"/>
      <c r="F52" s="8"/>
      <c r="G52" s="8"/>
      <c r="H52" s="8"/>
      <c r="I52" s="8"/>
      <c r="J52" s="8"/>
      <c r="K52" s="8"/>
      <c r="L52" s="8"/>
    </row>
    <row r="53" spans="1:12" ht="23.25" customHeight="1" x14ac:dyDescent="0.35">
      <c r="A53" s="8" t="str">
        <f>IF(מלאי!D60&lt;&gt;"",מלאי!D60,"")</f>
        <v>Hobey 2</v>
      </c>
      <c r="B53" s="8" t="str">
        <f>IF(מלאי!D60&lt;&gt;"",מלאי!B60&amp;IF(מלאי!C60&lt;&gt;""," ("&amp;מלאי!C60&amp;")",""),"")</f>
        <v>Hobey Elite (V1)</v>
      </c>
      <c r="C53" s="8" t="str">
        <f>IF(מלאי!D60&lt;&gt;"",מלאי!A60,"")</f>
        <v>OverGarment</v>
      </c>
      <c r="D53" s="8" t="str">
        <f>IF(מלאי!D60&lt;&gt;"",מלאי!H60,"")</f>
        <v>Woodland</v>
      </c>
      <c r="E53" s="8"/>
      <c r="F53" s="8"/>
      <c r="G53" s="8"/>
      <c r="H53" s="8"/>
      <c r="I53" s="8"/>
      <c r="J53" s="8"/>
      <c r="K53" s="8"/>
      <c r="L53" s="8"/>
    </row>
    <row r="54" spans="1:12" ht="23.25" customHeight="1" x14ac:dyDescent="0.35">
      <c r="A54" s="8" t="str">
        <f>IF(מלאי!D61&lt;&gt;"",מלאי!D61,"")</f>
        <v>Hobey 3</v>
      </c>
      <c r="B54" s="8" t="str">
        <f>IF(מלאי!D61&lt;&gt;"",מלאי!B61&amp;IF(מלאי!C61&lt;&gt;""," ("&amp;מלאי!C61&amp;")",""),"")</f>
        <v>Hobey Elite (V1)</v>
      </c>
      <c r="C54" s="8" t="str">
        <f>IF(מלאי!D61&lt;&gt;"",מלאי!A61,"")</f>
        <v>OverGarment</v>
      </c>
      <c r="D54" s="8" t="str">
        <f>IF(מלאי!D61&lt;&gt;"",מלאי!H61,"")</f>
        <v>Marine</v>
      </c>
      <c r="E54" s="8"/>
      <c r="F54" s="8"/>
      <c r="G54" s="8"/>
      <c r="H54" s="8"/>
      <c r="L54" s="8"/>
    </row>
    <row r="55" spans="1:12" ht="15" customHeight="1" x14ac:dyDescent="0.35">
      <c r="A55" s="8" t="str">
        <f>IF(מלאי!D62&lt;&gt;"",מלאי!D62,"")</f>
        <v>הובי תצוגה 1</v>
      </c>
      <c r="B55" s="8" t="str">
        <f>IF(מלאי!D62&lt;&gt;"",מלאי!B62&amp;IF(מלאי!C62&lt;&gt;""," ("&amp;מלאי!C62&amp;")",""),"")</f>
        <v>Hobey Elite (V1)</v>
      </c>
      <c r="C55" s="8" t="str">
        <f>IF(מלאי!D62&lt;&gt;"",מלאי!A62,"")</f>
        <v>OverGarment</v>
      </c>
      <c r="D55" s="8" t="str">
        <f>IF(מלאי!D62&lt;&gt;"",מלאי!H62,"")</f>
        <v>Kestrel</v>
      </c>
      <c r="E55" s="8"/>
      <c r="F55" s="8"/>
      <c r="G55" s="8"/>
      <c r="H55" s="8"/>
      <c r="I55" s="8"/>
      <c r="J55" s="8"/>
      <c r="K55" s="8"/>
      <c r="L55" s="8"/>
    </row>
    <row r="56" spans="1:12" ht="15" customHeight="1" x14ac:dyDescent="0.35">
      <c r="A56" s="8" t="str">
        <f>IF(מלאי!D63&lt;&gt;"",מלאי!D63,"")</f>
        <v>Hobey Arc 4</v>
      </c>
      <c r="B56" s="8" t="str">
        <f>IF(מלאי!D63&lt;&gt;"",מלאי!B63&amp;IF(מלאי!C63&lt;&gt;""," ("&amp;מלאי!C63&amp;")",""),"")</f>
        <v>Hobey Elite (V1)</v>
      </c>
      <c r="C56" s="8" t="str">
        <f>IF(מלאי!D63&lt;&gt;"",מלאי!A63,"")</f>
        <v>OverGarment</v>
      </c>
      <c r="D56" s="8" t="str">
        <f>IF(מלאי!D63&lt;&gt;"",מלאי!H63,"")</f>
        <v>Snirt Snow</v>
      </c>
      <c r="E56" s="8"/>
      <c r="F56" s="8"/>
      <c r="G56" s="8"/>
      <c r="H56" s="8"/>
      <c r="I56" s="8"/>
      <c r="J56" s="8"/>
      <c r="K56" s="8"/>
      <c r="L56" s="8"/>
    </row>
    <row r="57" spans="1:12" ht="15" customHeight="1" x14ac:dyDescent="0.35">
      <c r="A57" s="8" t="str">
        <f>IF(מלאי!D64&lt;&gt;"",מלאי!D64,"")</f>
        <v>Floor 1</v>
      </c>
      <c r="B57" s="8" t="str">
        <f>IF(מלאי!D64&lt;&gt;"",מלאי!B64&amp;IF(מלאי!C64&lt;&gt;""," ("&amp;מלאי!C64&amp;")",""),"")</f>
        <v>HS Floor</v>
      </c>
      <c r="C57" s="8" t="str">
        <f>IF(מלאי!D64&lt;&gt;"",מלאי!A64,"")</f>
        <v>Accessories</v>
      </c>
      <c r="D57" s="8" t="str">
        <f>IF(מלאי!D64&lt;&gt;"",מלאי!H64,"")</f>
        <v>Fresh Snow</v>
      </c>
      <c r="E57" s="8"/>
      <c r="F57" s="8"/>
      <c r="G57" s="8"/>
      <c r="H57" s="8"/>
      <c r="I57" s="8"/>
      <c r="J57" s="8"/>
      <c r="K57" s="8"/>
      <c r="L57" s="8"/>
    </row>
    <row r="58" spans="1:12" ht="15" customHeight="1" x14ac:dyDescent="0.35">
      <c r="A58" s="8" t="str">
        <f>IF(מלאי!D65&lt;&gt;"",מלאי!D65,"")</f>
        <v>Floor 2</v>
      </c>
      <c r="B58" s="8" t="str">
        <f>IF(מלאי!D65&lt;&gt;"",מלאי!B65&amp;IF(מלאי!C65&lt;&gt;""," ("&amp;מלאי!C65&amp;")",""),"")</f>
        <v>HS Floor</v>
      </c>
      <c r="C58" s="8" t="str">
        <f>IF(מלאי!D65&lt;&gt;"",מלאי!A65,"")</f>
        <v>Accessories</v>
      </c>
      <c r="D58" s="8" t="str">
        <f>IF(מלאי!D65&lt;&gt;"",מלאי!H65,"")</f>
        <v>Fresh Snow</v>
      </c>
      <c r="E58" s="8"/>
      <c r="F58" s="8"/>
      <c r="G58" s="8"/>
      <c r="H58" s="8"/>
      <c r="I58" s="8"/>
      <c r="J58" s="8"/>
      <c r="K58" s="8"/>
      <c r="L58" s="8"/>
    </row>
    <row r="59" spans="1:12" ht="15" customHeight="1" x14ac:dyDescent="0.35">
      <c r="A59" s="8" t="str">
        <f>IF(מלאי!D66&lt;&gt;"",מלאי!D66,"")</f>
        <v>LC - 1 AMERICAN</v>
      </c>
      <c r="B59" s="8" t="str">
        <f>IF(מלאי!D66&lt;&gt;"",מלאי!B66&amp;IF(מלאי!C66&lt;&gt;""," ("&amp;מלאי!C66&amp;")",""),"")</f>
        <v>LC79 (V1)</v>
      </c>
      <c r="C59" s="8" t="str">
        <f>IF(מלאי!D66&lt;&gt;"",מלאי!A66,"")</f>
        <v>Platform Hide Site</v>
      </c>
      <c r="D59" s="8" t="str">
        <f>IF(מלאי!D66&lt;&gt;"",מלאי!H66,"")</f>
        <v>Desert</v>
      </c>
      <c r="E59" s="8"/>
      <c r="F59" s="8"/>
      <c r="G59" s="8"/>
      <c r="H59" s="8"/>
      <c r="I59" s="8"/>
      <c r="J59" s="8"/>
      <c r="K59" s="8"/>
      <c r="L59" s="8"/>
    </row>
    <row r="60" spans="1:12" ht="15" customHeight="1" x14ac:dyDescent="0.35">
      <c r="A60" s="8" t="str">
        <f>IF(מלאי!D67&lt;&gt;"",מלאי!D67,"")</f>
        <v xml:space="preserve">LC - 2 </v>
      </c>
      <c r="B60" s="8" t="str">
        <f>IF(מלאי!D67&lt;&gt;"",מלאי!B67&amp;IF(מלאי!C67&lt;&gt;""," ("&amp;מלאי!C67&amp;")",""),"")</f>
        <v>LC79 (V1)</v>
      </c>
      <c r="C60" s="8" t="str">
        <f>IF(מלאי!D67&lt;&gt;"",מלאי!A67,"")</f>
        <v>Platform Hide Site</v>
      </c>
      <c r="D60" s="8" t="str">
        <f>IF(מלאי!D67&lt;&gt;"",מלאי!H67,"")</f>
        <v>Desert</v>
      </c>
      <c r="E60" s="8"/>
      <c r="F60" s="8"/>
      <c r="G60" s="8"/>
      <c r="H60" s="8"/>
      <c r="I60" s="8"/>
      <c r="J60" s="8"/>
      <c r="K60" s="8"/>
      <c r="L60" s="8"/>
    </row>
    <row r="61" spans="1:12" ht="15" customHeight="1" x14ac:dyDescent="0.35">
      <c r="A61" s="8" t="str">
        <f>IF(מלאי!D68&lt;&gt;"",מלאי!D68,"")</f>
        <v>May Long 1</v>
      </c>
      <c r="B61" s="8" t="str">
        <f>IF(מלאי!D68&lt;&gt;"",מלאי!B68&amp;IF(מלאי!C68&lt;&gt;""," ("&amp;מלאי!C68&amp;")",""),"")</f>
        <v>May Long Shirt (ארוכה)</v>
      </c>
      <c r="C61" s="8" t="str">
        <f>IF(מלאי!D68&lt;&gt;"",מלאי!A68,"")</f>
        <v>OverGarment</v>
      </c>
      <c r="D61" s="8" t="str">
        <f>IF(מלאי!D68&lt;&gt;"",מלאי!H68,"")</f>
        <v>Desert Coyote</v>
      </c>
      <c r="E61" s="8"/>
      <c r="F61" s="8"/>
      <c r="H61" s="8"/>
      <c r="I61" s="8"/>
      <c r="J61" s="8"/>
      <c r="K61" s="8"/>
      <c r="L61" s="8"/>
    </row>
    <row r="62" spans="1:12" ht="15" customHeight="1" x14ac:dyDescent="0.35">
      <c r="A62" s="8" t="str">
        <f>IF(מלאי!D69&lt;&gt;"",מלאי!D69,"")</f>
        <v>May Long 2</v>
      </c>
      <c r="B62" s="8" t="str">
        <f>IF(מלאי!D69&lt;&gt;"",מלאי!B69&amp;IF(מלאי!C69&lt;&gt;""," ("&amp;מלאי!C69&amp;")",""),"")</f>
        <v>May Long Shirt (ארוכה)</v>
      </c>
      <c r="C62" s="8" t="str">
        <f>IF(מלאי!D69&lt;&gt;"",מלאי!A69,"")</f>
        <v>OverGarment</v>
      </c>
      <c r="D62" s="8" t="str">
        <f>IF(מלאי!D69&lt;&gt;"",מלאי!H69,"")</f>
        <v>Desert Coyote</v>
      </c>
      <c r="E62" s="8"/>
      <c r="F62" s="8"/>
      <c r="G62" s="8"/>
      <c r="H62" s="8"/>
      <c r="I62" s="8"/>
      <c r="J62" s="8"/>
      <c r="K62" s="8"/>
      <c r="L62" s="8"/>
    </row>
    <row r="63" spans="1:12" ht="15" customHeight="1" x14ac:dyDescent="0.35">
      <c r="A63" s="8" t="str">
        <f>IF(מלאי!D70&lt;&gt;"",מלאי!D70,"")</f>
        <v>May3</v>
      </c>
      <c r="B63" s="8" t="str">
        <f>IF(מלאי!D70&lt;&gt;"",מלאי!B70&amp;IF(מלאי!C70&lt;&gt;""," ("&amp;מלאי!C70&amp;")",""),"")</f>
        <v>May Suit (V1)</v>
      </c>
      <c r="C63" s="8" t="str">
        <f>IF(מלאי!D70&lt;&gt;"",מלאי!A70,"")</f>
        <v>OverGarment</v>
      </c>
      <c r="D63" s="8" t="str">
        <f>IF(מלאי!D70&lt;&gt;"",מלאי!H70,"")</f>
        <v>Forest Green</v>
      </c>
      <c r="E63" s="8"/>
      <c r="F63" s="8"/>
      <c r="G63" s="8"/>
      <c r="H63" s="8"/>
      <c r="I63" s="8"/>
      <c r="J63" s="8"/>
      <c r="K63" s="8"/>
      <c r="L63" s="8"/>
    </row>
    <row r="64" spans="1:12" ht="15" customHeight="1" x14ac:dyDescent="0.35">
      <c r="A64" s="8" t="str">
        <f>IF(מלאי!D71&lt;&gt;"",מלאי!D71,"")</f>
        <v>May4</v>
      </c>
      <c r="B64" s="8" t="str">
        <f>IF(מלאי!D71&lt;&gt;"",מלאי!B71&amp;IF(מלאי!C71&lt;&gt;""," ("&amp;מלאי!C71&amp;")",""),"")</f>
        <v>May Suit (V1)</v>
      </c>
      <c r="C64" s="8" t="str">
        <f>IF(מלאי!D71&lt;&gt;"",מלאי!A71,"")</f>
        <v>OverGarment</v>
      </c>
      <c r="D64" s="8" t="str">
        <f>IF(מלאי!D71&lt;&gt;"",מלאי!H71,"")</f>
        <v>Forest Green</v>
      </c>
      <c r="E64" s="8"/>
      <c r="F64" s="8"/>
      <c r="G64" s="8"/>
      <c r="H64" s="8"/>
      <c r="I64" s="8"/>
      <c r="J64" s="8"/>
      <c r="K64" s="8"/>
      <c r="L64" s="8"/>
    </row>
    <row r="65" spans="1:12" ht="15" customHeight="1" x14ac:dyDescent="0.35">
      <c r="A65" s="8" t="str">
        <f>IF(מלאי!D72&lt;&gt;"",מלאי!D72,"")</f>
        <v>מאי תצוגה</v>
      </c>
      <c r="B65" s="8" t="str">
        <f>IF(מלאי!D72&lt;&gt;"",מלאי!B72&amp;IF(מלאי!C72&lt;&gt;""," ("&amp;מלאי!C72&amp;")",""),"")</f>
        <v>May Suit (V1)</v>
      </c>
      <c r="C65" s="8" t="str">
        <f>IF(מלאי!D72&lt;&gt;"",מלאי!A72,"")</f>
        <v>OverGarment</v>
      </c>
      <c r="D65" s="8" t="str">
        <f>IF(מלאי!D72&lt;&gt;"",מלאי!H72,"")</f>
        <v>Forest Green</v>
      </c>
      <c r="E65" s="8"/>
      <c r="F65" s="8"/>
      <c r="G65" s="8"/>
      <c r="H65" s="8"/>
      <c r="I65" s="8"/>
      <c r="J65" s="8"/>
      <c r="K65" s="8"/>
      <c r="L65" s="8"/>
    </row>
    <row r="66" spans="1:12" ht="15" customHeight="1" x14ac:dyDescent="0.35">
      <c r="A66" s="8" t="str">
        <f>IF(מלאי!D73&lt;&gt;"",מלאי!D73,"")</f>
        <v>מאי הדגמה</v>
      </c>
      <c r="B66" s="8" t="str">
        <f>IF(מלאי!D73&lt;&gt;"",מלאי!B73&amp;IF(מלאי!C73&lt;&gt;""," ("&amp;מלאי!C73&amp;")",""),"")</f>
        <v>May Suit (V1)</v>
      </c>
      <c r="C66" s="8" t="str">
        <f>IF(מלאי!D73&lt;&gt;"",מלאי!A73,"")</f>
        <v>OverGarment</v>
      </c>
      <c r="D66" s="8" t="str">
        <f>IF(מלאי!D73&lt;&gt;"",מלאי!H73,"")</f>
        <v>Forest Green</v>
      </c>
      <c r="E66" s="8"/>
      <c r="F66" s="8"/>
      <c r="G66" s="8"/>
      <c r="H66" s="8"/>
      <c r="I66" s="8"/>
      <c r="J66" s="8"/>
      <c r="L66" s="8"/>
    </row>
    <row r="67" spans="1:12" ht="15" customHeight="1" x14ac:dyDescent="0.35">
      <c r="A67" s="8" t="str">
        <f>IF(מלאי!D74&lt;&gt;"",מלאי!D74,"")</f>
        <v>May Desert 1</v>
      </c>
      <c r="B67" s="8" t="str">
        <f>IF(מלאי!D74&lt;&gt;"",מלאי!B74&amp;IF(מלאי!C74&lt;&gt;""," ("&amp;מלאי!C74&amp;")",""),"")</f>
        <v>May Suit (V1)</v>
      </c>
      <c r="C67" s="8" t="str">
        <f>IF(מלאי!D74&lt;&gt;"",מלאי!A74,"")</f>
        <v>OverGarment</v>
      </c>
      <c r="D67" s="8" t="str">
        <f>IF(מלאי!D74&lt;&gt;"",מלאי!H74,"")</f>
        <v>Desert Coyote</v>
      </c>
      <c r="E67" s="8"/>
      <c r="F67" s="8"/>
      <c r="G67" s="8"/>
      <c r="H67" s="8"/>
      <c r="I67" s="8"/>
      <c r="J67" s="8"/>
      <c r="K67" s="8"/>
      <c r="L67" s="8"/>
    </row>
    <row r="68" spans="1:12" ht="15" customHeight="1" x14ac:dyDescent="0.35">
      <c r="A68" s="8" t="str">
        <f>IF(מלאי!D75&lt;&gt;"",מלאי!D75,"")</f>
        <v>May Desert 2</v>
      </c>
      <c r="B68" s="8" t="str">
        <f>IF(מלאי!D75&lt;&gt;"",מלאי!B75&amp;IF(מלאי!C75&lt;&gt;""," ("&amp;מלאי!C75&amp;")",""),"")</f>
        <v>May Suit (V1)</v>
      </c>
      <c r="C68" s="8" t="str">
        <f>IF(מלאי!D75&lt;&gt;"",מלאי!A75,"")</f>
        <v>OverGarment</v>
      </c>
      <c r="D68" s="8" t="str">
        <f>IF(מלאי!D75&lt;&gt;"",מלאי!H75,"")</f>
        <v>Desert Coyote</v>
      </c>
      <c r="E68" s="8"/>
      <c r="F68" s="8"/>
      <c r="G68" s="8"/>
      <c r="H68" s="8"/>
      <c r="I68" s="8"/>
      <c r="J68" s="8"/>
      <c r="K68" s="8"/>
      <c r="L68" s="8"/>
    </row>
    <row r="69" spans="1:12" ht="15" customHeight="1" x14ac:dyDescent="0.35">
      <c r="A69" s="8" t="str">
        <f>IF(מלאי!D76&lt;&gt;"",מלאי!D76,"")</f>
        <v>May Desert 3</v>
      </c>
      <c r="B69" s="8" t="str">
        <f>IF(מלאי!D76&lt;&gt;"",מלאי!B76&amp;IF(מלאי!C76&lt;&gt;""," ("&amp;מלאי!C76&amp;")",""),"")</f>
        <v>May Suit (V1)</v>
      </c>
      <c r="C69" s="8" t="str">
        <f>IF(מלאי!D76&lt;&gt;"",מלאי!A76,"")</f>
        <v>OverGarment</v>
      </c>
      <c r="D69" s="8" t="str">
        <f>IF(מלאי!D76&lt;&gt;"",מלאי!H76,"")</f>
        <v>Desert Coyote</v>
      </c>
      <c r="E69" s="8"/>
      <c r="F69" s="8"/>
      <c r="G69" s="8"/>
      <c r="H69" s="8"/>
      <c r="I69" s="8"/>
      <c r="J69" s="8"/>
      <c r="K69" s="8"/>
      <c r="L69" s="8"/>
    </row>
    <row r="70" spans="1:12" ht="15" customHeight="1" x14ac:dyDescent="0.35">
      <c r="A70" s="8" t="str">
        <f>IF(מלאי!D77&lt;&gt;"",מלאי!D77,"")</f>
        <v>May Desert 4</v>
      </c>
      <c r="B70" s="8" t="str">
        <f>IF(מלאי!D77&lt;&gt;"",מלאי!B77&amp;IF(מלאי!C77&lt;&gt;""," ("&amp;מלאי!C77&amp;")",""),"")</f>
        <v>May Suit (V1)</v>
      </c>
      <c r="C70" s="8" t="str">
        <f>IF(מלאי!D77&lt;&gt;"",מלאי!A77,"")</f>
        <v>OverGarment</v>
      </c>
      <c r="D70" s="8" t="str">
        <f>IF(מלאי!D77&lt;&gt;"",מלאי!H77,"")</f>
        <v>Desert Coyote</v>
      </c>
      <c r="E70" s="8"/>
      <c r="F70" s="8"/>
      <c r="G70" s="8"/>
      <c r="H70" s="8"/>
      <c r="I70" s="8"/>
      <c r="J70" s="8"/>
      <c r="K70" s="8"/>
      <c r="L70" s="8"/>
    </row>
    <row r="71" spans="1:12" ht="15" customHeight="1" x14ac:dyDescent="0.35">
      <c r="A71" s="8" t="str">
        <f>IF(מלאי!D78&lt;&gt;"",מלאי!D78,"")</f>
        <v>mrzr alpha 9*12</v>
      </c>
      <c r="B71" s="8" t="str">
        <f>IF(מלאי!D78&lt;&gt;"",מלאי!B78&amp;IF(מלאי!C78&lt;&gt;""," ("&amp;מלאי!C78&amp;")",""),"")</f>
        <v>MRZR cover (alpha)</v>
      </c>
      <c r="C71" s="8" t="str">
        <f>IF(מלאי!D78&lt;&gt;"",מלאי!A78,"")</f>
        <v>Platform Hide Site</v>
      </c>
      <c r="D71" s="8" t="str">
        <f>IF(מלאי!D78&lt;&gt;"",מלאי!H78,"")</f>
        <v>Desert-Green</v>
      </c>
      <c r="E71" s="8"/>
      <c r="F71" s="8"/>
      <c r="G71" s="8"/>
      <c r="H71" s="8"/>
      <c r="I71" s="8"/>
      <c r="J71" s="8"/>
      <c r="K71" s="8"/>
      <c r="L71" s="8"/>
    </row>
    <row r="72" spans="1:12" ht="15" customHeight="1" x14ac:dyDescent="0.35">
      <c r="A72" s="8" t="str">
        <f>IF(מלאי!D80&lt;&gt;"",מלאי!D80,"")</f>
        <v>Op HS 2</v>
      </c>
      <c r="B72" s="8" t="str">
        <f>IF(מלאי!D80&lt;&gt;"",מלאי!B80&amp;IF(מלאי!C80&lt;&gt;""," ("&amp;מלאי!C80&amp;")",""),"")</f>
        <v>Operators HS (V1)</v>
      </c>
      <c r="C72" s="8" t="str">
        <f>IF(מלאי!D80&lt;&gt;"",מלאי!A80,"")</f>
        <v>Hide Site</v>
      </c>
      <c r="D72" s="8" t="str">
        <f>IF(מלאי!D80&lt;&gt;"",מלאי!H80,"")</f>
        <v>Desert</v>
      </c>
      <c r="E72" s="8"/>
      <c r="F72" s="8"/>
      <c r="G72" s="8"/>
      <c r="H72" s="8"/>
      <c r="I72" s="8"/>
      <c r="J72" s="8"/>
      <c r="K72" s="8"/>
      <c r="L72" s="8"/>
    </row>
    <row r="73" spans="1:12" ht="15" customHeight="1" x14ac:dyDescent="0.35">
      <c r="A73" s="8" t="str">
        <f>IF(מלאי!D81&lt;&gt;"",מלאי!D81,"")</f>
        <v>עמדת חוליה MRG 3 הדגמה</v>
      </c>
      <c r="B73" s="8" t="str">
        <f>IF(מלאי!D81&lt;&gt;"",מלאי!B81&amp;IF(מלאי!C81&lt;&gt;""," ("&amp;מלאי!C81&amp;")",""),"")</f>
        <v>Operators HS (V1)</v>
      </c>
      <c r="C73" s="8" t="str">
        <f>IF(מלאי!D81&lt;&gt;"",מלאי!A81,"")</f>
        <v>Hide Site</v>
      </c>
      <c r="D73" s="8" t="str">
        <f>IF(מלאי!D81&lt;&gt;"",מלאי!H81,"")</f>
        <v>Urban Green</v>
      </c>
      <c r="E73" s="8"/>
      <c r="F73" s="8"/>
      <c r="G73" s="8"/>
      <c r="H73" s="8"/>
      <c r="I73" s="8"/>
      <c r="J73" s="8"/>
      <c r="K73" s="8"/>
      <c r="L73" s="8"/>
    </row>
    <row r="74" spans="1:12" ht="15" customHeight="1" x14ac:dyDescent="0.35">
      <c r="A74" s="8" t="str">
        <f>IF(מלאי!D82&lt;&gt;"",מלאי!D82,"")</f>
        <v>Op HS  4</v>
      </c>
      <c r="B74" s="8" t="str">
        <f>IF(מלאי!D82&lt;&gt;"",מלאי!B82&amp;IF(מלאי!C82&lt;&gt;""," ("&amp;מלאי!C82&amp;")",""),"")</f>
        <v>Operators HS (V1)</v>
      </c>
      <c r="C74" s="8" t="str">
        <f>IF(מלאי!D82&lt;&gt;"",מלאי!A82,"")</f>
        <v>Hide Site</v>
      </c>
      <c r="D74" s="8" t="str">
        <f>IF(מלאי!D82&lt;&gt;"",מלאי!H82,"")</f>
        <v>Urban Green</v>
      </c>
      <c r="E74" s="8"/>
      <c r="F74" s="8"/>
      <c r="G74" s="8"/>
      <c r="H74" s="8"/>
      <c r="I74" s="8"/>
      <c r="J74" s="8"/>
      <c r="K74" s="8"/>
      <c r="L74" s="8"/>
    </row>
    <row r="75" spans="1:12" ht="15" customHeight="1" x14ac:dyDescent="0.35">
      <c r="A75" s="8" t="e">
        <f>IF(מלאי!#REF!&lt;&gt;"",מלאי!#REF!,"")</f>
        <v>#REF!</v>
      </c>
      <c r="B75" s="8" t="e">
        <f>IF(מלאי!#REF!&lt;&gt;"",מלאי!#REF!&amp;IF(מלאי!#REF!&lt;&gt;""," ("&amp;מלאי!#REF!&amp;")",""),"")</f>
        <v>#REF!</v>
      </c>
      <c r="C75" s="8" t="e">
        <f>IF(מלאי!#REF!&lt;&gt;"",מלאי!#REF!,"")</f>
        <v>#REF!</v>
      </c>
      <c r="D75" s="8" t="e">
        <f>IF(מלאי!#REF!&lt;&gt;"",מלאי!#REF!,"")</f>
        <v>#REF!</v>
      </c>
      <c r="E75" s="8"/>
      <c r="F75" s="8"/>
      <c r="G75" s="8"/>
      <c r="H75" s="8"/>
      <c r="I75" s="8"/>
      <c r="J75" s="8"/>
      <c r="K75" s="8"/>
      <c r="L75" s="8"/>
    </row>
    <row r="76" spans="1:12" ht="15" customHeight="1" x14ac:dyDescent="0.35">
      <c r="A76" s="8" t="str">
        <f>IF(מלאי!D83&lt;&gt;"",מלאי!D83,"")</f>
        <v>ARC Op HS 6</v>
      </c>
      <c r="B76" s="8" t="str">
        <f>IF(מלאי!D83&lt;&gt;"",מלאי!B83&amp;IF(מלאי!C83&lt;&gt;""," ("&amp;מלאי!C83&amp;")",""),"")</f>
        <v>Operators HS</v>
      </c>
      <c r="C76" s="8" t="str">
        <f>IF(מלאי!D83&lt;&gt;"",מלאי!A83,"")</f>
        <v>Hide Site</v>
      </c>
      <c r="D76" s="8" t="str">
        <f>IF(מלאי!D83&lt;&gt;"",מלאי!H83,"")</f>
        <v>Fresh Snow</v>
      </c>
      <c r="E76" s="8"/>
      <c r="F76" s="8"/>
      <c r="G76" s="8"/>
      <c r="H76" s="8"/>
      <c r="I76" s="8"/>
      <c r="J76" s="8"/>
      <c r="K76" s="8"/>
      <c r="L76" s="8"/>
    </row>
    <row r="77" spans="1:12" ht="15" customHeight="1" x14ac:dyDescent="0.35">
      <c r="A77" s="8" t="str">
        <f>IF(מלאי!D84&lt;&gt;"",מלאי!D84,"")</f>
        <v>ARC Op HS 5</v>
      </c>
      <c r="B77" s="8" t="str">
        <f>IF(מלאי!D84&lt;&gt;"",מלאי!B84&amp;IF(מלאי!C84&lt;&gt;""," ("&amp;מלאי!C84&amp;")",""),"")</f>
        <v>Operators HS</v>
      </c>
      <c r="C77" s="8" t="str">
        <f>IF(מלאי!D84&lt;&gt;"",מלאי!A84,"")</f>
        <v>Hide Site</v>
      </c>
      <c r="D77" s="8" t="str">
        <f>IF(מלאי!D84&lt;&gt;"",מלאי!H84,"")</f>
        <v>Fresh Snow</v>
      </c>
      <c r="E77" s="8"/>
      <c r="F77" s="8"/>
      <c r="G77" s="8"/>
      <c r="H77" s="8"/>
      <c r="I77" s="8"/>
      <c r="J77" s="8"/>
      <c r="K77" s="8"/>
      <c r="L77" s="8"/>
    </row>
    <row r="78" spans="1:12" ht="15" customHeight="1" x14ac:dyDescent="0.35">
      <c r="A78" s="8" t="str">
        <f>IF(מלאי!D85&lt;&gt;"",מלאי!D85,"")</f>
        <v>Op HS 7</v>
      </c>
      <c r="B78" s="8" t="str">
        <f>IF(מלאי!D85&lt;&gt;"",מלאי!B85&amp;IF(מלאי!C85&lt;&gt;""," ("&amp;מלאי!C85&amp;")",""),"")</f>
        <v>Operators HS (V1)</v>
      </c>
      <c r="C78" s="8" t="str">
        <f>IF(מלאי!D85&lt;&gt;"",מלאי!A85,"")</f>
        <v>Hide Site</v>
      </c>
      <c r="D78" s="8" t="str">
        <f>IF(מלאי!D85&lt;&gt;"",מלאי!H85,"")</f>
        <v>Desert</v>
      </c>
      <c r="E78" s="8"/>
      <c r="F78" s="8"/>
      <c r="G78" s="8"/>
      <c r="H78" s="8"/>
      <c r="I78" s="8"/>
      <c r="J78" s="8"/>
      <c r="K78" s="8"/>
      <c r="L78" s="8"/>
    </row>
    <row r="79" spans="1:12" ht="15" customHeight="1" x14ac:dyDescent="0.35">
      <c r="A79" s="8" t="str">
        <f>IF(מלאי!D86&lt;&gt;"",מלאי!D86,"")</f>
        <v xml:space="preserve">ARC Op HS sampels Snirt </v>
      </c>
      <c r="B79" s="8" t="str">
        <f>IF(מלאי!D86&lt;&gt;"",מלאי!B86&amp;IF(מלאי!C86&lt;&gt;""," ("&amp;מלאי!C86&amp;")",""),"")</f>
        <v>Operators HS (V1)</v>
      </c>
      <c r="C79" s="8" t="str">
        <f>IF(מלאי!D86&lt;&gt;"",מלאי!A86,"")</f>
        <v>Hide Site</v>
      </c>
      <c r="D79" s="8" t="str">
        <f>IF(מלאי!D86&lt;&gt;"",מלאי!H86,"")</f>
        <v>Snirt Snow</v>
      </c>
      <c r="E79" s="8"/>
      <c r="F79" s="8"/>
      <c r="G79" s="8"/>
      <c r="H79" s="8"/>
      <c r="I79" s="8"/>
      <c r="J79" s="8"/>
      <c r="K79" s="8"/>
      <c r="L79" s="8"/>
    </row>
    <row r="80" spans="1:12" ht="15" customHeight="1" x14ac:dyDescent="0.35">
      <c r="A80" s="8" t="str">
        <f>IF(מלאי!D87&lt;&gt;"",מלאי!D87,"")</f>
        <v xml:space="preserve">ARC Op HS sampels Fresh </v>
      </c>
      <c r="B80" s="8" t="str">
        <f>IF(מלאי!D87&lt;&gt;"",מלאי!B87&amp;IF(מלאי!C87&lt;&gt;""," ("&amp;מלאי!C87&amp;")",""),"")</f>
        <v>Operators HS (V1)</v>
      </c>
      <c r="C80" s="8" t="str">
        <f>IF(מלאי!D87&lt;&gt;"",מלאי!A87,"")</f>
        <v>Hide Site</v>
      </c>
      <c r="D80" s="8" t="str">
        <f>IF(מלאי!D87&lt;&gt;"",מלאי!H87,"")</f>
        <v>Fresh Snow</v>
      </c>
      <c r="E80" s="8"/>
      <c r="F80" s="8"/>
      <c r="G80" s="8"/>
      <c r="H80" s="8"/>
      <c r="I80" s="8"/>
      <c r="J80" s="8"/>
      <c r="K80" s="8"/>
      <c r="L80" s="8"/>
    </row>
    <row r="81" spans="1:12" ht="15" customHeight="1" x14ac:dyDescent="0.35">
      <c r="A81" s="8" t="str">
        <f>IF(מלאי!D88&lt;&gt;"",מלאי!D88,"")</f>
        <v>overwatch 1</v>
      </c>
      <c r="B81" s="8" t="str">
        <f>IF(מלאי!D88&lt;&gt;"",מלאי!B88&amp;IF(מלאי!C88&lt;&gt;""," ("&amp;מלאי!C88&amp;")",""),"")</f>
        <v>OverWatch (ATGM) HS (V1)</v>
      </c>
      <c r="C81" s="8" t="str">
        <f>IF(מלאי!D88&lt;&gt;"",מלאי!A88,"")</f>
        <v>Hide Site</v>
      </c>
      <c r="D81" s="8" t="str">
        <f>IF(מלאי!D88&lt;&gt;"",מלאי!H88,"")</f>
        <v>Desert-Green</v>
      </c>
      <c r="E81" s="8"/>
      <c r="F81" s="8"/>
      <c r="G81" s="8"/>
      <c r="H81" s="8"/>
      <c r="I81" s="8"/>
      <c r="J81" s="8"/>
      <c r="K81" s="8"/>
      <c r="L81" s="8"/>
    </row>
    <row r="82" spans="1:12" ht="15" customHeight="1" x14ac:dyDescent="0.35">
      <c r="A82" s="8" t="str">
        <f>IF(מלאי!D89&lt;&gt;"",מלאי!D89,"")</f>
        <v>overwatch 2</v>
      </c>
      <c r="B82" s="8" t="str">
        <f>IF(מלאי!D89&lt;&gt;"",מלאי!B89&amp;IF(מלאי!C89&lt;&gt;""," ("&amp;מלאי!C89&amp;")",""),"")</f>
        <v>OverWatch (ATGM) HS (V1)</v>
      </c>
      <c r="C82" s="8" t="str">
        <f>IF(מלאי!D89&lt;&gt;"",מלאי!A89,"")</f>
        <v>Hide Site</v>
      </c>
      <c r="D82" s="8" t="str">
        <f>IF(מלאי!D89&lt;&gt;"",מלאי!H89,"")</f>
        <v>Desert-Green</v>
      </c>
      <c r="E82" s="8"/>
      <c r="F82" s="8"/>
      <c r="G82" s="8"/>
      <c r="H82" s="8"/>
      <c r="I82" s="8"/>
      <c r="J82" s="8"/>
      <c r="K82" s="8"/>
      <c r="L82" s="8"/>
    </row>
    <row r="83" spans="1:12" ht="15" customHeight="1" x14ac:dyDescent="0.35">
      <c r="A83" s="8" t="str">
        <f>IF(מלאי!D90&lt;&gt;"",מלאי!D90,"")</f>
        <v>overwatch 3</v>
      </c>
      <c r="B83" s="8" t="str">
        <f>IF(מלאי!D90&lt;&gt;"",מלאי!B90&amp;IF(מלאי!C90&lt;&gt;""," ("&amp;מלאי!C90&amp;")",""),"")</f>
        <v>OverWatch (ATGM) HS (V1)</v>
      </c>
      <c r="C83" s="8" t="str">
        <f>IF(מלאי!D90&lt;&gt;"",מלאי!A90,"")</f>
        <v>Hide Site</v>
      </c>
      <c r="D83" s="8" t="str">
        <f>IF(מלאי!D90&lt;&gt;"",מלאי!H90,"")</f>
        <v>Ever-Green</v>
      </c>
      <c r="E83" s="8"/>
      <c r="F83" s="8"/>
      <c r="G83" s="8"/>
      <c r="H83" s="8"/>
      <c r="I83" s="8"/>
      <c r="J83" s="8"/>
      <c r="K83" s="8"/>
      <c r="L83" s="8"/>
    </row>
    <row r="84" spans="1:12" ht="15" customHeight="1" x14ac:dyDescent="0.35">
      <c r="A84" s="8" t="str">
        <f>IF(מלאי!D91&lt;&gt;"",מלאי!D91,"")</f>
        <v>overwatch 4</v>
      </c>
      <c r="B84" s="8" t="str">
        <f>IF(מלאי!D91&lt;&gt;"",מלאי!B91&amp;IF(מלאי!C91&lt;&gt;""," ("&amp;מלאי!C91&amp;")",""),"")</f>
        <v>OverWatch (ATGM) HS (V1)</v>
      </c>
      <c r="C84" s="8" t="str">
        <f>IF(מלאי!D91&lt;&gt;"",מלאי!A91,"")</f>
        <v>Hide Site</v>
      </c>
      <c r="D84" s="8" t="str">
        <f>IF(מלאי!D91&lt;&gt;"",מלאי!H91,"")</f>
        <v>Ever-Green</v>
      </c>
      <c r="E84" s="8"/>
      <c r="F84" s="8"/>
      <c r="G84" s="8"/>
      <c r="H84" s="8"/>
      <c r="I84" s="8"/>
      <c r="J84" s="8"/>
      <c r="K84" s="8"/>
      <c r="L84" s="8"/>
    </row>
    <row r="85" spans="1:12" ht="15" customHeight="1" x14ac:dyDescent="0.35">
      <c r="A85" s="8" t="str">
        <f>IF(מלאי!D92&lt;&gt;"",מלאי!D92,"")</f>
        <v>overwatch 5</v>
      </c>
      <c r="B85" s="8" t="str">
        <f>IF(מלאי!D92&lt;&gt;"",מלאי!B92&amp;IF(מלאי!C92&lt;&gt;""," ("&amp;מלאי!C92&amp;")",""),"")</f>
        <v>OverWatch (ATGM) HS (V1)</v>
      </c>
      <c r="C85" s="8" t="str">
        <f>IF(מלאי!D92&lt;&gt;"",מלאי!A92,"")</f>
        <v>Hide Site</v>
      </c>
      <c r="D85" s="8" t="str">
        <f>IF(מלאי!D92&lt;&gt;"",מלאי!H92,"")</f>
        <v>Ever-Green</v>
      </c>
      <c r="E85" s="8"/>
      <c r="F85" s="8"/>
      <c r="G85" s="8"/>
      <c r="H85" s="8"/>
      <c r="I85" s="8"/>
      <c r="J85" s="8"/>
      <c r="K85" s="8"/>
      <c r="L85" s="8"/>
    </row>
    <row r="86" spans="1:12" ht="15" customHeight="1" x14ac:dyDescent="0.35">
      <c r="A86" s="8" t="e">
        <f>IF(מלאי!#REF!&lt;&gt;"",מלאי!#REF!,"")</f>
        <v>#REF!</v>
      </c>
      <c r="B86" s="8" t="e">
        <f>IF(מלאי!#REF!&lt;&gt;"",מלאי!B93&amp;IF(מלאי!C93&lt;&gt;""," ("&amp;מלאי!C93&amp;")",""),"")</f>
        <v>#REF!</v>
      </c>
      <c r="C86" s="8" t="e">
        <f>IF(מלאי!#REF!&lt;&gt;"",מלאי!A93,"")</f>
        <v>#REF!</v>
      </c>
      <c r="D86" s="8" t="e">
        <f>IF(מלאי!#REF!&lt;&gt;"",מלאי!H93,"")</f>
        <v>#REF!</v>
      </c>
      <c r="E86" s="8"/>
      <c r="F86" s="8"/>
      <c r="G86" s="8"/>
      <c r="H86" s="8"/>
      <c r="I86" s="8"/>
      <c r="J86" s="8"/>
      <c r="K86" s="8"/>
      <c r="L86" s="8"/>
    </row>
    <row r="87" spans="1:12" ht="15" customHeight="1" x14ac:dyDescent="0.35">
      <c r="A87" s="8" t="str">
        <f>IF(מלאי!D99&lt;&gt;"",מלאי!D99,"")</f>
        <v>UNI 036</v>
      </c>
      <c r="B87" s="8" t="str">
        <f>IF(מלאי!D99&lt;&gt;"",מלאי!B94&amp;IF(מלאי!C94&lt;&gt;""," ("&amp;מלאי!C94&amp;")",""),"")</f>
        <v>OverWatch (ATGM) HS (V1)</v>
      </c>
      <c r="C87" s="8" t="str">
        <f>IF(מלאי!D99&lt;&gt;"",מלאי!A94,"")</f>
        <v>Platform Hide Site</v>
      </c>
      <c r="D87" s="8" t="str">
        <f>IF(מלאי!D99&lt;&gt;"",מלאי!H94,"")</f>
        <v>Desert-Green</v>
      </c>
      <c r="E87" s="8"/>
      <c r="F87" s="8"/>
      <c r="G87" s="8"/>
      <c r="H87" s="8"/>
      <c r="I87" s="8"/>
      <c r="J87" s="8"/>
      <c r="K87" s="8"/>
      <c r="L87" s="8"/>
    </row>
    <row r="88" spans="1:12" ht="15" customHeight="1" x14ac:dyDescent="0.35">
      <c r="A88" s="8" t="str">
        <f>IF(מלאי!D95&lt;&gt;"",מלאי!D95,"")</f>
        <v>overwatch 8</v>
      </c>
      <c r="B88" s="8" t="str">
        <f>IF(מלאי!D95&lt;&gt;"",מלאי!B95&amp;IF(מלאי!C95&lt;&gt;""," ("&amp;מלאי!C95&amp;")",""),"")</f>
        <v>OverWatch (ATGM) HS (V1)</v>
      </c>
      <c r="C88" s="8" t="str">
        <f>IF(מלאי!D95&lt;&gt;"",מלאי!A95,"")</f>
        <v>Platform Hide Site</v>
      </c>
      <c r="D88" s="8" t="str">
        <f>IF(מלאי!D95&lt;&gt;"",מלאי!H95,"")</f>
        <v>Desert-Green</v>
      </c>
      <c r="E88" s="8"/>
      <c r="F88" s="8"/>
      <c r="G88" s="8"/>
      <c r="H88" s="8"/>
      <c r="I88" s="8"/>
      <c r="J88" s="8"/>
      <c r="K88" s="8"/>
      <c r="L88" s="8"/>
    </row>
    <row r="89" spans="1:12" ht="15" customHeight="1" x14ac:dyDescent="0.35">
      <c r="A89" s="8" t="str">
        <f>IF(מלאי!D96&lt;&gt;"",מלאי!D96,"")</f>
        <v>UNI 007</v>
      </c>
      <c r="B89" s="8" t="str">
        <f>IF(מלאי!D96&lt;&gt;"",מלאי!B96&amp;IF(מלאי!C96&lt;&gt;""," ("&amp;מלאי!C96&amp;")",""),"")</f>
        <v>Pants (Less is More)</v>
      </c>
      <c r="C89" s="8" t="str">
        <f>IF(מלאי!D96&lt;&gt;"",מלאי!A96,"")</f>
        <v>Uniform</v>
      </c>
      <c r="D89" s="8" t="str">
        <f>IF(מלאי!D96&lt;&gt;"",מלאי!H96,"")</f>
        <v>Marine</v>
      </c>
      <c r="E89" s="8"/>
      <c r="F89" s="8"/>
      <c r="G89" s="8"/>
      <c r="H89" s="8"/>
      <c r="I89" s="8"/>
      <c r="J89" s="8"/>
      <c r="K89" s="8"/>
      <c r="L89" s="8"/>
    </row>
    <row r="90" spans="1:12" ht="15" customHeight="1" x14ac:dyDescent="0.35">
      <c r="A90" s="8" t="str">
        <f>IF(מלאי!D98&lt;&gt;"",מלאי!D98,"")</f>
        <v>UNI 006</v>
      </c>
      <c r="B90" s="8" t="str">
        <f>IF(מלאי!D98&lt;&gt;"",מלאי!B98&amp;IF(מלאי!C98&lt;&gt;""," ("&amp;מלאי!C98&amp;")",""),"")</f>
        <v>Pants (Maritime)</v>
      </c>
      <c r="C90" s="8" t="str">
        <f>IF(מלאי!D98&lt;&gt;"",מלאי!A98,"")</f>
        <v>Uniform</v>
      </c>
      <c r="D90" s="8" t="str">
        <f>IF(מלאי!D98&lt;&gt;"",מלאי!H98,"")</f>
        <v>Kestrel</v>
      </c>
      <c r="E90" s="8"/>
      <c r="F90" s="8"/>
      <c r="G90" s="8"/>
      <c r="H90" s="8"/>
      <c r="I90" s="8"/>
      <c r="J90" s="8"/>
      <c r="K90" s="8"/>
      <c r="L90" s="8"/>
    </row>
    <row r="91" spans="1:12" ht="15" customHeight="1" x14ac:dyDescent="0.35">
      <c r="A91" s="8" t="str">
        <f>IF(מלאי!D93&lt;&gt;"",מלאי!D93,"")</f>
        <v>overwatch 6 BETI</v>
      </c>
      <c r="B91" s="8" t="str">
        <f>IF(מלאי!D93&lt;&gt;"",מלאי!B99&amp;IF(מלאי!C99&lt;&gt;""," ("&amp;מלאי!C99&amp;")",""),"")</f>
        <v>Pants (Maritime)</v>
      </c>
      <c r="C91" s="8" t="str">
        <f>IF(מלאי!D93&lt;&gt;"",מלאי!A99,"")</f>
        <v>Uniform</v>
      </c>
      <c r="D91" s="8" t="str">
        <f>IF(מלאי!D93&lt;&gt;"",מלאי!H99,"")</f>
        <v>Kestrel</v>
      </c>
      <c r="E91" s="8"/>
      <c r="F91" s="8"/>
      <c r="G91" s="8"/>
      <c r="H91" s="8"/>
      <c r="I91" s="8"/>
      <c r="J91" s="8"/>
      <c r="K91" s="8"/>
      <c r="L91" s="8"/>
    </row>
    <row r="92" spans="1:12" ht="15" customHeight="1" x14ac:dyDescent="0.35">
      <c r="A92" s="8" t="str">
        <f>IF(מלאי!D100&lt;&gt;"",מלאי!D100,"")</f>
        <v>UNI 029</v>
      </c>
      <c r="B92" s="8" t="str">
        <f>IF(מלאי!D100&lt;&gt;"",מלאי!B100&amp;IF(מלאי!C100&lt;&gt;""," ("&amp;מלאי!C100&amp;")",""),"")</f>
        <v>Pants (Maritime)</v>
      </c>
      <c r="C92" s="8" t="str">
        <f>IF(מלאי!D100&lt;&gt;"",מלאי!A100,"")</f>
        <v>Uniform</v>
      </c>
      <c r="D92" s="8" t="str">
        <f>IF(מלאי!D100&lt;&gt;"",מלאי!H100,"")</f>
        <v>Fresh Snow</v>
      </c>
      <c r="E92" s="8"/>
      <c r="F92" s="8"/>
      <c r="G92" s="8"/>
      <c r="H92" s="8"/>
      <c r="I92" s="8"/>
      <c r="J92" s="8"/>
      <c r="K92" s="8"/>
      <c r="L92" s="8"/>
    </row>
    <row r="93" spans="1:12" ht="15" customHeight="1" x14ac:dyDescent="0.35">
      <c r="A93" s="8" t="str">
        <f>IF(מלאי!D101&lt;&gt;"",מלאי!D101,"")</f>
        <v>Inbar A1</v>
      </c>
      <c r="B93" s="8" t="str">
        <f>IF(מלאי!D101&lt;&gt;"",מלאי!B101&amp;IF(מלאי!C101&lt;&gt;""," ("&amp;מלאי!C101&amp;")",""),"")</f>
        <v>Poncho Inbar (V1)</v>
      </c>
      <c r="C93" s="8" t="str">
        <f>IF(מלאי!D101&lt;&gt;"",מלאי!A101,"")</f>
        <v>OverGarment</v>
      </c>
      <c r="D93" s="8" t="str">
        <f>IF(מלאי!D101&lt;&gt;"",מלאי!H101,"")</f>
        <v>Forest Green</v>
      </c>
      <c r="E93" s="8"/>
      <c r="F93" s="8"/>
      <c r="G93" s="8"/>
      <c r="H93" s="8"/>
      <c r="I93" s="8"/>
      <c r="J93" s="8"/>
      <c r="K93" s="8"/>
      <c r="L93" s="8"/>
    </row>
    <row r="94" spans="1:12" ht="15" customHeight="1" x14ac:dyDescent="0.35">
      <c r="A94" s="8" t="str">
        <f>IF(מלאי!D102&lt;&gt;"",מלאי!D102,"")</f>
        <v>Inbar A2</v>
      </c>
      <c r="B94" s="8" t="str">
        <f>IF(מלאי!D102&lt;&gt;"",מלאי!B102&amp;IF(מלאי!C102&lt;&gt;""," ("&amp;מלאי!C102&amp;")",""),"")</f>
        <v>Poncho Inbar (V1)</v>
      </c>
      <c r="C94" s="8" t="str">
        <f>IF(מלאי!D102&lt;&gt;"",מלאי!A102,"")</f>
        <v>OverGarment</v>
      </c>
      <c r="D94" s="8" t="str">
        <f>IF(מלאי!D102&lt;&gt;"",מלאי!H102,"")</f>
        <v>Forest Green</v>
      </c>
      <c r="E94" s="8"/>
      <c r="F94" s="8"/>
      <c r="G94" s="8"/>
      <c r="H94" s="8"/>
      <c r="I94" s="8"/>
      <c r="J94" s="8"/>
      <c r="K94" s="8"/>
      <c r="L94" s="8"/>
    </row>
    <row r="95" spans="1:12" ht="15" customHeight="1" x14ac:dyDescent="0.35">
      <c r="A95" s="8" t="str">
        <f>IF(מלאי!D103&lt;&gt;"",מלאי!D103,"")</f>
        <v>Inbar A3</v>
      </c>
      <c r="B95" s="8" t="str">
        <f>IF(מלאי!D103&lt;&gt;"",מלאי!B103&amp;IF(מלאי!C103&lt;&gt;""," ("&amp;מלאי!C103&amp;")",""),"")</f>
        <v>Poncho Inbar (V1)</v>
      </c>
      <c r="C95" s="8" t="str">
        <f>IF(מלאי!D103&lt;&gt;"",מלאי!A103,"")</f>
        <v>OverGarment</v>
      </c>
      <c r="D95" s="8" t="str">
        <f>IF(מלאי!D103&lt;&gt;"",מלאי!H103,"")</f>
        <v>Forest Green</v>
      </c>
      <c r="E95" s="8"/>
      <c r="F95" s="8"/>
      <c r="G95" s="8"/>
      <c r="H95" s="8"/>
      <c r="I95" s="8"/>
      <c r="J95" s="8"/>
      <c r="K95" s="8"/>
      <c r="L95" s="8"/>
    </row>
    <row r="96" spans="1:12" ht="15" customHeight="1" x14ac:dyDescent="0.35">
      <c r="A96" s="8" t="str">
        <f>IF(מלאי!D104&lt;&gt;"",מלאי!D104,"")</f>
        <v>Inbar A4</v>
      </c>
      <c r="B96" s="8" t="str">
        <f>IF(מלאי!D104&lt;&gt;"",מלאי!B104&amp;IF(מלאי!C104&lt;&gt;""," ("&amp;מלאי!C104&amp;")",""),"")</f>
        <v>Poncho Inbar (V1)</v>
      </c>
      <c r="C96" s="8" t="str">
        <f>IF(מלאי!D104&lt;&gt;"",מלאי!A104,"")</f>
        <v>OverGarment</v>
      </c>
      <c r="D96" s="8" t="str">
        <f>IF(מלאי!D104&lt;&gt;"",מלאי!H104,"")</f>
        <v>Forest Green</v>
      </c>
      <c r="E96" s="8"/>
      <c r="F96" s="8"/>
      <c r="G96" s="8"/>
      <c r="H96" s="8"/>
      <c r="I96" s="8"/>
      <c r="J96" s="8"/>
      <c r="K96" s="8"/>
      <c r="L96" s="8"/>
    </row>
    <row r="97" spans="1:12" ht="15" customHeight="1" x14ac:dyDescent="0.35">
      <c r="A97" s="8" t="str">
        <f>IF(מלאי!D105&lt;&gt;"",מלאי!D105,"")</f>
        <v>Inbar א תצוגה</v>
      </c>
      <c r="B97" s="8" t="str">
        <f>IF(מלאי!D105&lt;&gt;"",מלאי!B105&amp;IF(מלאי!C105&lt;&gt;""," ("&amp;מלאי!C105&amp;")",""),"")</f>
        <v>Poncho Inbar (V1)</v>
      </c>
      <c r="C97" s="8" t="str">
        <f>IF(מלאי!D105&lt;&gt;"",מלאי!A105,"")</f>
        <v>OverGarment</v>
      </c>
      <c r="D97" s="8" t="str">
        <f>IF(מלאי!D105&lt;&gt;"",מלאי!H105,"")</f>
        <v>Forest Green</v>
      </c>
      <c r="E97" s="8"/>
      <c r="F97" s="8"/>
      <c r="G97" s="8"/>
      <c r="H97" s="8"/>
      <c r="I97" s="8"/>
      <c r="J97" s="8"/>
      <c r="K97" s="8"/>
      <c r="L97" s="8"/>
    </row>
    <row r="98" spans="1:12" ht="15" customHeight="1" x14ac:dyDescent="0.35">
      <c r="A98" s="8" t="str">
        <f>IF(מלאי!D106&lt;&gt;"",מלאי!D106,"")</f>
        <v>Inbar א הדגמה</v>
      </c>
      <c r="B98" s="8" t="str">
        <f>IF(מלאי!D106&lt;&gt;"",מלאי!B106&amp;IF(מלאי!C106&lt;&gt;""," ("&amp;מלאי!C106&amp;")",""),"")</f>
        <v>Poncho Inbar (V1)</v>
      </c>
      <c r="C98" s="8" t="str">
        <f>IF(מלאי!D106&lt;&gt;"",מלאי!A106,"")</f>
        <v>OverGarment</v>
      </c>
      <c r="D98" s="8" t="str">
        <f>IF(מלאי!D106&lt;&gt;"",מלאי!H106,"")</f>
        <v>Forest Green</v>
      </c>
      <c r="E98" s="8"/>
      <c r="F98" s="8"/>
      <c r="G98" s="8"/>
      <c r="H98" s="8"/>
      <c r="I98" s="8"/>
      <c r="J98" s="8"/>
      <c r="K98" s="8"/>
      <c r="L98" s="8"/>
    </row>
    <row r="99" spans="1:12" ht="15" customHeight="1" x14ac:dyDescent="0.35">
      <c r="A99" s="8" t="str">
        <f>IF(מלאי!D107&lt;&gt;"",מלאי!D107,"")</f>
        <v>Inbar A5</v>
      </c>
      <c r="B99" s="8" t="str">
        <f>IF(מלאי!D107&lt;&gt;"",מלאי!B107&amp;IF(מלאי!C107&lt;&gt;""," ("&amp;מלאי!C107&amp;")",""),"")</f>
        <v>Poncho Inbar (V1)</v>
      </c>
      <c r="C99" s="8" t="str">
        <f>IF(מלאי!D107&lt;&gt;"",מלאי!A107,"")</f>
        <v>OverGarment</v>
      </c>
      <c r="D99" s="8" t="str">
        <f>IF(מלאי!D107&lt;&gt;"",מלאי!H107,"")</f>
        <v>Forest Green</v>
      </c>
      <c r="E99" s="8"/>
      <c r="F99" s="8"/>
      <c r="G99" s="8"/>
      <c r="H99" s="8"/>
      <c r="I99" s="8"/>
      <c r="J99" s="8"/>
      <c r="K99" s="8"/>
      <c r="L99" s="8"/>
    </row>
    <row r="100" spans="1:12" ht="15" customHeight="1" x14ac:dyDescent="0.35">
      <c r="A100" s="8" t="str">
        <f>IF(מלאי!D108&lt;&gt;"",מלאי!D108,"")</f>
        <v>Inbar A6</v>
      </c>
      <c r="B100" s="8" t="str">
        <f>IF(מלאי!D108&lt;&gt;"",מלאי!B108&amp;IF(מלאי!C108&lt;&gt;""," ("&amp;מלאי!C108&amp;")",""),"")</f>
        <v>Poncho Inbar (V1)</v>
      </c>
      <c r="C100" s="8" t="str">
        <f>IF(מלאי!D108&lt;&gt;"",מלאי!A108,"")</f>
        <v>OverGarment</v>
      </c>
      <c r="D100" s="8" t="str">
        <f>IF(מלאי!D108&lt;&gt;"",מלאי!H108,"")</f>
        <v>Forest Green</v>
      </c>
      <c r="H100" s="8"/>
      <c r="L100" s="8"/>
    </row>
    <row r="101" spans="1:12" ht="15" customHeight="1" x14ac:dyDescent="0.35">
      <c r="A101" s="8" t="str">
        <f>IF(מלאי!D109&lt;&gt;"",מלאי!D109,"")</f>
        <v>Inbar A7</v>
      </c>
      <c r="B101" s="8" t="str">
        <f>IF(מלאי!D109&lt;&gt;"",מלאי!B109&amp;IF(מלאי!C109&lt;&gt;""," ("&amp;מלאי!C109&amp;")",""),"")</f>
        <v>Poncho Inbar (V1)</v>
      </c>
      <c r="C101" s="8" t="str">
        <f>IF(מלאי!D109&lt;&gt;"",מלאי!A109,"")</f>
        <v>OverGarment</v>
      </c>
      <c r="D101" s="8" t="str">
        <f>IF(מלאי!D109&lt;&gt;"",מלאי!H109,"")</f>
        <v>Forest Green</v>
      </c>
      <c r="E101" s="8"/>
      <c r="F101" s="8"/>
      <c r="G101" s="8"/>
      <c r="H101" s="8"/>
      <c r="I101" s="8"/>
      <c r="J101" s="8"/>
      <c r="K101" s="8"/>
      <c r="L101" s="8"/>
    </row>
    <row r="102" spans="1:12" ht="15" customHeight="1" x14ac:dyDescent="0.35">
      <c r="A102" s="8" t="str">
        <f>IF(מלאי!D110&lt;&gt;"",מלאי!D110,"")</f>
        <v>A1</v>
      </c>
      <c r="B102" s="8" t="str">
        <f>IF(מלאי!D110&lt;&gt;"",מלאי!B110&amp;IF(מלאי!C110&lt;&gt;""," ("&amp;מלאי!C110&amp;")",""),"")</f>
        <v>Poncho Sahar (V1)</v>
      </c>
      <c r="C102" s="8" t="str">
        <f>IF(מלאי!D110&lt;&gt;"",מלאי!A110,"")</f>
        <v>OverGarment</v>
      </c>
      <c r="D102" s="8" t="str">
        <f>IF(מלאי!D110&lt;&gt;"",מלאי!H110,"")</f>
        <v>Ever-Green</v>
      </c>
      <c r="E102" s="8"/>
      <c r="F102" s="8"/>
      <c r="G102" s="8"/>
      <c r="H102" s="8"/>
      <c r="I102" s="8"/>
      <c r="J102" s="8"/>
      <c r="K102" s="8"/>
      <c r="L102" s="8"/>
    </row>
    <row r="103" spans="1:12" ht="15" customHeight="1" x14ac:dyDescent="0.35">
      <c r="A103" s="8" t="str">
        <f>IF(מלאי!D111&lt;&gt;"",מלאי!D111,"")</f>
        <v>A2</v>
      </c>
      <c r="B103" s="8" t="str">
        <f>IF(מלאי!D111&lt;&gt;"",מלאי!B111&amp;IF(מלאי!C111&lt;&gt;""," ("&amp;מלאי!C111&amp;")",""),"")</f>
        <v>Poncho Sahar (V1)</v>
      </c>
      <c r="C103" s="8" t="str">
        <f>IF(מלאי!D111&lt;&gt;"",מלאי!A111,"")</f>
        <v>OverGarment</v>
      </c>
      <c r="D103" s="8" t="str">
        <f>IF(מלאי!D111&lt;&gt;"",מלאי!H111,"")</f>
        <v>Ever-Green</v>
      </c>
      <c r="E103" s="8"/>
      <c r="F103" s="8"/>
      <c r="G103" s="8"/>
      <c r="H103" s="8"/>
      <c r="I103" s="8"/>
      <c r="J103" s="8"/>
      <c r="K103" s="8"/>
      <c r="L103" s="8"/>
    </row>
    <row r="104" spans="1:12" ht="15" customHeight="1" x14ac:dyDescent="0.35">
      <c r="A104" s="8" t="str">
        <f>IF(מלאי!D112&lt;&gt;"",מלאי!D112,"")</f>
        <v>A3</v>
      </c>
      <c r="B104" s="8" t="str">
        <f>IF(מלאי!D112&lt;&gt;"",מלאי!B112&amp;IF(מלאי!C112&lt;&gt;""," ("&amp;מלאי!C112&amp;")",""),"")</f>
        <v>Poncho Sahar (V1)</v>
      </c>
      <c r="C104" s="8" t="str">
        <f>IF(מלאי!D112&lt;&gt;"",מלאי!A112,"")</f>
        <v>OverGarment</v>
      </c>
      <c r="D104" s="8" t="str">
        <f>IF(מלאי!D112&lt;&gt;"",מלאי!H112,"")</f>
        <v>Ever-Green</v>
      </c>
      <c r="E104" s="8"/>
      <c r="F104" s="8"/>
      <c r="G104" s="8"/>
      <c r="H104" s="8"/>
      <c r="I104" s="8"/>
      <c r="J104" s="8"/>
      <c r="K104" s="8"/>
      <c r="L104" s="8"/>
    </row>
    <row r="105" spans="1:12" ht="15" customHeight="1" x14ac:dyDescent="0.35">
      <c r="A105" s="8" t="str">
        <f>IF(מלאי!D113&lt;&gt;"",מלאי!D113,"")</f>
        <v>A הדגמה</v>
      </c>
      <c r="B105" s="8" t="str">
        <f>IF(מלאי!D113&lt;&gt;"",מלאי!B113&amp;IF(מלאי!C113&lt;&gt;""," ("&amp;מלאי!C113&amp;")",""),"")</f>
        <v>Poncho Sahar (V1)</v>
      </c>
      <c r="C105" s="8" t="str">
        <f>IF(מלאי!D113&lt;&gt;"",מלאי!A113,"")</f>
        <v>OverGarment</v>
      </c>
      <c r="D105" s="8" t="str">
        <f>IF(מלאי!D113&lt;&gt;"",מלאי!H113,"")</f>
        <v>Ever-Green</v>
      </c>
      <c r="E105" s="8"/>
      <c r="F105" s="8"/>
      <c r="G105" s="8"/>
      <c r="H105" s="8"/>
      <c r="I105" s="8"/>
      <c r="J105" s="8"/>
      <c r="K105" s="8"/>
      <c r="L105" s="8"/>
    </row>
    <row r="106" spans="1:12" ht="15" customHeight="1" x14ac:dyDescent="0.35">
      <c r="A106" s="8" t="str">
        <f>IF(מלאי!D114&lt;&gt;"",מלאי!D114,"")</f>
        <v>A תצוגה</v>
      </c>
      <c r="B106" s="8" t="str">
        <f>IF(מלאי!D114&lt;&gt;"",מלאי!B114&amp;IF(מלאי!C114&lt;&gt;""," ("&amp;מלאי!C114&amp;")",""),"")</f>
        <v>Poncho Sahar (V1)</v>
      </c>
      <c r="C106" s="8" t="str">
        <f>IF(מלאי!D114&lt;&gt;"",מלאי!A114,"")</f>
        <v>OverGarment</v>
      </c>
      <c r="D106" s="8" t="str">
        <f>IF(מלאי!D114&lt;&gt;"",מלאי!H114,"")</f>
        <v>Ever-Green</v>
      </c>
      <c r="E106" s="8"/>
      <c r="F106" s="8"/>
      <c r="G106" s="8"/>
      <c r="H106" s="8"/>
      <c r="I106" s="8"/>
      <c r="J106" s="8"/>
      <c r="K106" s="8"/>
      <c r="L106" s="8"/>
    </row>
    <row r="107" spans="1:12" ht="15" customHeight="1" x14ac:dyDescent="0.35">
      <c r="A107" s="8" t="str">
        <f>IF(מלאי!D115&lt;&gt;"",מלאי!D115,"")</f>
        <v>B הדגמה</v>
      </c>
      <c r="B107" s="8" t="str">
        <f>IF(מלאי!D115&lt;&gt;"",מלאי!B115&amp;IF(מלאי!C115&lt;&gt;""," ("&amp;מלאי!C115&amp;")",""),"")</f>
        <v>Poncho Sahar (V2)</v>
      </c>
      <c r="C107" s="8" t="str">
        <f>IF(מלאי!D115&lt;&gt;"",מלאי!A115,"")</f>
        <v>OverGarment</v>
      </c>
      <c r="D107" s="8" t="str">
        <f>IF(מלאי!D115&lt;&gt;"",מלאי!H115,"")</f>
        <v>Woodland Brown</v>
      </c>
      <c r="E107" s="8"/>
      <c r="F107" s="8"/>
      <c r="G107" s="8"/>
      <c r="H107" s="8"/>
      <c r="I107" s="8"/>
      <c r="J107" s="8"/>
      <c r="K107" s="8"/>
      <c r="L107" s="8"/>
    </row>
    <row r="108" spans="1:12" ht="15" customHeight="1" x14ac:dyDescent="0.35">
      <c r="A108" s="8" t="str">
        <f>IF(מלאי!D116&lt;&gt;"",מלאי!D116,"")</f>
        <v>B תצוגה</v>
      </c>
      <c r="B108" s="8" t="str">
        <f>IF(מלאי!D116&lt;&gt;"",מלאי!B116&amp;IF(מלאי!C116&lt;&gt;""," ("&amp;מלאי!C116&amp;")",""),"")</f>
        <v>Poncho Sahar (V2)</v>
      </c>
      <c r="C108" s="8" t="str">
        <f>IF(מלאי!D116&lt;&gt;"",מלאי!A116,"")</f>
        <v>OverGarment</v>
      </c>
      <c r="D108" s="8" t="str">
        <f>IF(מלאי!D116&lt;&gt;"",מלאי!H116,"")</f>
        <v>Woodland Brown</v>
      </c>
      <c r="E108" s="8"/>
      <c r="F108" s="8"/>
      <c r="G108" s="8"/>
      <c r="H108" s="8"/>
      <c r="I108" s="8"/>
      <c r="J108" s="8"/>
      <c r="K108" s="8"/>
      <c r="L108" s="8"/>
    </row>
    <row r="109" spans="1:12" ht="15" customHeight="1" x14ac:dyDescent="0.35">
      <c r="A109" s="8" t="str">
        <f>IF(מלאי!D117&lt;&gt;"",מלאי!D117,"")</f>
        <v>סהר B 3D הדגמה</v>
      </c>
      <c r="B109" s="8" t="str">
        <f>IF(מלאי!D117&lt;&gt;"",מלאי!B117&amp;IF(מלאי!C117&lt;&gt;""," ("&amp;מלאי!C117&amp;")",""),"")</f>
        <v>Poncho Sahar (V2 3D)</v>
      </c>
      <c r="C109" s="8" t="str">
        <f>IF(מלאי!D117&lt;&gt;"",מלאי!A117,"")</f>
        <v>OverGarment</v>
      </c>
      <c r="D109" s="8" t="str">
        <f>IF(מלאי!D117&lt;&gt;"",מלאי!H117,"")</f>
        <v>Woodland Brown</v>
      </c>
      <c r="E109" s="8"/>
      <c r="F109" s="8"/>
      <c r="G109" s="8"/>
      <c r="H109" s="8"/>
      <c r="I109" s="8"/>
      <c r="J109" s="8"/>
      <c r="K109" s="8"/>
      <c r="L109" s="8"/>
    </row>
    <row r="110" spans="1:12" ht="15" customHeight="1" x14ac:dyDescent="0.35">
      <c r="A110" s="8" t="str">
        <f>IF(מלאי!D118&lt;&gt;"",מלאי!D118,"")</f>
        <v>B1</v>
      </c>
      <c r="B110" s="8" t="str">
        <f>IF(מלאי!D118&lt;&gt;"",מלאי!B118&amp;IF(מלאי!C118&lt;&gt;""," ("&amp;מלאי!C118&amp;")",""),"")</f>
        <v>Poncho Sahar (V2)</v>
      </c>
      <c r="C110" s="8" t="str">
        <f>IF(מלאי!D118&lt;&gt;"",מלאי!A118,"")</f>
        <v>OverGarment</v>
      </c>
      <c r="D110" s="8" t="str">
        <f>IF(מלאי!D118&lt;&gt;"",מלאי!H118,"")</f>
        <v>Ever-Green</v>
      </c>
      <c r="E110" s="8"/>
      <c r="F110" s="8"/>
      <c r="G110" s="8"/>
      <c r="H110" s="8"/>
      <c r="I110" s="8"/>
      <c r="J110" s="8"/>
      <c r="K110" s="8"/>
      <c r="L110" s="8"/>
    </row>
    <row r="111" spans="1:12" ht="15" customHeight="1" x14ac:dyDescent="0.35">
      <c r="A111" s="8" t="e">
        <f>IF(מלאי!#REF!&lt;&gt;"",מלאי!#REF!,"")</f>
        <v>#REF!</v>
      </c>
      <c r="B111" s="8" t="e">
        <f>IF(מלאי!#REF!&lt;&gt;"",מלאי!#REF!&amp;IF(מלאי!#REF!&lt;&gt;""," ("&amp;מלאי!#REF!&amp;")",""),"")</f>
        <v>#REF!</v>
      </c>
      <c r="C111" s="8" t="e">
        <f>IF(מלאי!#REF!&lt;&gt;"",מלאי!#REF!,"")</f>
        <v>#REF!</v>
      </c>
      <c r="D111" s="8" t="e">
        <f>IF(מלאי!#REF!&lt;&gt;"",מלאי!#REF!,"")</f>
        <v>#REF!</v>
      </c>
      <c r="E111" s="8"/>
      <c r="F111" s="8"/>
      <c r="G111" s="8"/>
      <c r="H111" s="8"/>
      <c r="I111" s="8"/>
      <c r="J111" s="8"/>
      <c r="K111" s="8"/>
      <c r="L111" s="8"/>
    </row>
    <row r="112" spans="1:12" ht="15" customHeight="1" x14ac:dyDescent="0.35">
      <c r="A112" s="8" t="e">
        <f>IF(מלאי!#REF!&lt;&gt;"",מלאי!#REF!,"")</f>
        <v>#REF!</v>
      </c>
      <c r="B112" s="8" t="e">
        <f>IF(מלאי!#REF!&lt;&gt;"",מלאי!#REF!&amp;IF(מלאי!#REF!&lt;&gt;""," ("&amp;מלאי!#REF!&amp;")",""),"")</f>
        <v>#REF!</v>
      </c>
      <c r="C112" s="8" t="e">
        <f>IF(מלאי!#REF!&lt;&gt;"",מלאי!#REF!,"")</f>
        <v>#REF!</v>
      </c>
      <c r="D112" s="8" t="e">
        <f>IF(מלאי!#REF!&lt;&gt;"",מלאי!#REF!,"")</f>
        <v>#REF!</v>
      </c>
      <c r="E112" s="8"/>
      <c r="F112" s="8"/>
      <c r="G112" s="8"/>
      <c r="H112" s="8"/>
      <c r="I112" s="8"/>
      <c r="J112" s="8"/>
      <c r="K112" s="8"/>
      <c r="L112" s="8"/>
    </row>
    <row r="113" spans="1:12" ht="15" customHeight="1" x14ac:dyDescent="0.35">
      <c r="A113" s="8" t="e">
        <f>IF(מלאי!#REF!&lt;&gt;"",מלאי!#REF!,"")</f>
        <v>#REF!</v>
      </c>
      <c r="B113" s="8" t="e">
        <f>IF(מלאי!#REF!&lt;&gt;"",מלאי!#REF!&amp;IF(מלאי!#REF!&lt;&gt;""," ("&amp;מלאי!#REF!&amp;")",""),"")</f>
        <v>#REF!</v>
      </c>
      <c r="C113" s="8" t="e">
        <f>IF(מלאי!#REF!&lt;&gt;"",מלאי!#REF!,"")</f>
        <v>#REF!</v>
      </c>
      <c r="D113" s="8" t="e">
        <f>IF(מלאי!#REF!&lt;&gt;"",מלאי!#REF!,"")</f>
        <v>#REF!</v>
      </c>
      <c r="E113" s="8"/>
      <c r="F113" s="8"/>
      <c r="G113" s="8"/>
      <c r="H113" s="8"/>
      <c r="I113" s="8"/>
      <c r="J113" s="8"/>
      <c r="K113" s="8"/>
      <c r="L113" s="8"/>
    </row>
    <row r="114" spans="1:12" ht="15" customHeight="1" x14ac:dyDescent="0.35">
      <c r="A114" s="8" t="e">
        <f>IF(מלאי!#REF!&lt;&gt;"",מלאי!#REF!,"")</f>
        <v>#REF!</v>
      </c>
      <c r="B114" s="8" t="e">
        <f>IF(מלאי!#REF!&lt;&gt;"",מלאי!#REF!&amp;IF(מלאי!#REF!&lt;&gt;""," ("&amp;מלאי!#REF!&amp;")",""),"")</f>
        <v>#REF!</v>
      </c>
      <c r="C114" s="8" t="e">
        <f>IF(מלאי!#REF!&lt;&gt;"",מלאי!#REF!,"")</f>
        <v>#REF!</v>
      </c>
      <c r="D114" s="8" t="e">
        <f>IF(מלאי!#REF!&lt;&gt;"",מלאי!#REF!,"")</f>
        <v>#REF!</v>
      </c>
      <c r="E114" s="8"/>
      <c r="F114" s="8"/>
      <c r="G114" s="8"/>
      <c r="H114" s="8"/>
      <c r="I114" s="8"/>
      <c r="J114" s="8"/>
      <c r="K114" s="8"/>
      <c r="L114" s="8"/>
    </row>
    <row r="115" spans="1:12" ht="15" customHeight="1" x14ac:dyDescent="0.35">
      <c r="A115" s="8" t="str">
        <f>IF(מלאי!D119&lt;&gt;"",מלאי!D119,"")</f>
        <v>A4</v>
      </c>
      <c r="B115" s="8" t="str">
        <f>IF(מלאי!D119&lt;&gt;"",מלאי!B119&amp;IF(מלאי!C119&lt;&gt;""," ("&amp;מלאי!C119&amp;")",""),"")</f>
        <v>Poncho Sahar (V1)</v>
      </c>
      <c r="C115" s="8" t="str">
        <f>IF(מלאי!D119&lt;&gt;"",מלאי!A119,"")</f>
        <v>OverGarment</v>
      </c>
      <c r="D115" s="8" t="str">
        <f>IF(מלאי!D119&lt;&gt;"",מלאי!H119,"")</f>
        <v>Ever-Green</v>
      </c>
      <c r="E115" s="8"/>
      <c r="F115" s="8"/>
      <c r="G115" s="8"/>
      <c r="H115" s="8"/>
      <c r="I115" s="8"/>
      <c r="J115" s="8"/>
      <c r="K115" s="8"/>
      <c r="L115" s="8"/>
    </row>
    <row r="116" spans="1:12" ht="15" customHeight="1" x14ac:dyDescent="0.35">
      <c r="A116" s="8" t="str">
        <f>IF(מלאי!D120&lt;&gt;"",מלאי!D120,"")</f>
        <v>SRV A16</v>
      </c>
      <c r="B116" s="8" t="str">
        <f>IF(מלאי!D120&lt;&gt;"",מלאי!B120&amp;IF(מלאי!C120&lt;&gt;""," ("&amp;מלאי!C120&amp;")",""),"")</f>
        <v>Poncho SRV (V1)</v>
      </c>
      <c r="C116" s="8" t="str">
        <f>IF(מלאי!D120&lt;&gt;"",מלאי!A120,"")</f>
        <v>OverGarment</v>
      </c>
      <c r="D116" s="8" t="str">
        <f>IF(מלאי!D120&lt;&gt;"",מלאי!H120,"")</f>
        <v>Kestrel</v>
      </c>
      <c r="E116" s="8"/>
      <c r="F116" s="8"/>
      <c r="G116" s="8"/>
      <c r="H116" s="8"/>
      <c r="I116" s="8"/>
      <c r="J116" s="8"/>
      <c r="K116" s="8"/>
      <c r="L116" s="8"/>
    </row>
    <row r="117" spans="1:12" ht="15" customHeight="1" x14ac:dyDescent="0.35">
      <c r="A117" s="8" t="str">
        <f>IF(מלאי!D121&lt;&gt;"",מלאי!D121,"")</f>
        <v xml:space="preserve">SRV A14  </v>
      </c>
      <c r="B117" s="8" t="str">
        <f>IF(מלאי!D121&lt;&gt;"",מלאי!B121&amp;IF(מלאי!C121&lt;&gt;""," ("&amp;מלאי!C121&amp;")",""),"")</f>
        <v>Poncho SRV (Short)</v>
      </c>
      <c r="C117" s="8" t="str">
        <f>IF(מלאי!D121&lt;&gt;"",מלאי!A121,"")</f>
        <v>OverGarment</v>
      </c>
      <c r="D117" s="8" t="str">
        <f>IF(מלאי!D121&lt;&gt;"",מלאי!H121,"")</f>
        <v>Marine</v>
      </c>
      <c r="E117" s="8"/>
      <c r="F117" s="8"/>
      <c r="G117" s="8"/>
      <c r="H117" s="8"/>
      <c r="I117" s="8"/>
      <c r="J117" s="8"/>
      <c r="K117" s="8"/>
      <c r="L117" s="8"/>
    </row>
    <row r="118" spans="1:12" ht="15" customHeight="1" x14ac:dyDescent="0.35">
      <c r="A118" s="8" t="str">
        <f>IF(מלאי!D122&lt;&gt;"",מלאי!D122,"")</f>
        <v>SRV A12</v>
      </c>
      <c r="B118" s="8" t="str">
        <f>IF(מלאי!D122&lt;&gt;"",מלאי!B122&amp;IF(מלאי!C122&lt;&gt;""," ("&amp;מלאי!C122&amp;")",""),"")</f>
        <v>Poncho SRV (V1)</v>
      </c>
      <c r="C118" s="8" t="str">
        <f>IF(מלאי!D122&lt;&gt;"",מלאי!A122,"")</f>
        <v>OverGarment</v>
      </c>
      <c r="D118" s="8" t="str">
        <f>IF(מלאי!D122&lt;&gt;"",מלאי!H122,"")</f>
        <v>Kestrel</v>
      </c>
      <c r="E118" s="8"/>
      <c r="F118" s="8"/>
      <c r="G118" s="8"/>
      <c r="H118" s="8"/>
      <c r="I118" s="8"/>
      <c r="J118" s="8"/>
      <c r="K118" s="8"/>
      <c r="L118" s="8"/>
    </row>
    <row r="119" spans="1:12" ht="15" customHeight="1" x14ac:dyDescent="0.35">
      <c r="A119" s="8" t="str">
        <f>IF(מלאי!D123&lt;&gt;"",מלאי!D123,"")</f>
        <v>SRV A10</v>
      </c>
      <c r="B119" s="8" t="str">
        <f>IF(מלאי!D123&lt;&gt;"",מלאי!B123&amp;IF(מלאי!C123&lt;&gt;""," ("&amp;מלאי!C123&amp;")",""),"")</f>
        <v>Poncho SRV (V1)</v>
      </c>
      <c r="C119" s="8" t="str">
        <f>IF(מלאי!D123&lt;&gt;"",מלאי!A123,"")</f>
        <v>OverGarment</v>
      </c>
      <c r="D119" s="8" t="str">
        <f>IF(מלאי!D123&lt;&gt;"",מלאי!H123,"")</f>
        <v>Kestrel</v>
      </c>
      <c r="E119" s="8"/>
      <c r="F119" s="8"/>
      <c r="G119" s="8"/>
      <c r="H119" s="8"/>
      <c r="I119" s="8"/>
      <c r="J119" s="8"/>
      <c r="K119" s="8"/>
      <c r="L119" s="8"/>
    </row>
    <row r="120" spans="1:12" ht="15" customHeight="1" x14ac:dyDescent="0.35">
      <c r="A120" s="8" t="e">
        <f>IF(מלאי!#REF!&lt;&gt;"",מלאי!#REF!,"")</f>
        <v>#REF!</v>
      </c>
      <c r="B120" s="8" t="e">
        <f>IF(מלאי!#REF!&lt;&gt;"",מלאי!#REF!&amp;IF(מלאי!#REF!&lt;&gt;""," ("&amp;מלאי!#REF!&amp;")",""),"")</f>
        <v>#REF!</v>
      </c>
      <c r="C120" s="8" t="e">
        <f>IF(מלאי!#REF!&lt;&gt;"",מלאי!#REF!,"")</f>
        <v>#REF!</v>
      </c>
      <c r="D120" s="8" t="e">
        <f>IF(מלאי!#REF!&lt;&gt;"",מלאי!#REF!,"")</f>
        <v>#REF!</v>
      </c>
      <c r="E120" s="8"/>
      <c r="F120" s="8"/>
      <c r="G120" s="8"/>
      <c r="H120" s="8"/>
      <c r="I120" s="8"/>
      <c r="J120" s="8"/>
      <c r="K120" s="8"/>
      <c r="L120" s="8"/>
    </row>
    <row r="121" spans="1:12" ht="15" customHeight="1" x14ac:dyDescent="0.35">
      <c r="A121" s="8" t="e">
        <f>IF(מלאי!#REF!&lt;&gt;"",מלאי!#REF!,"")</f>
        <v>#REF!</v>
      </c>
      <c r="B121" s="8" t="e">
        <f>IF(מלאי!#REF!&lt;&gt;"",מלאי!#REF!&amp;IF(מלאי!#REF!&lt;&gt;""," ("&amp;מלאי!#REF!&amp;")",""),"")</f>
        <v>#REF!</v>
      </c>
      <c r="C121" s="8" t="e">
        <f>IF(מלאי!#REF!&lt;&gt;"",מלאי!#REF!,"")</f>
        <v>#REF!</v>
      </c>
      <c r="D121" s="8" t="e">
        <f>IF(מלאי!#REF!&lt;&gt;"",מלאי!#REF!,"")</f>
        <v>#REF!</v>
      </c>
      <c r="E121" s="8"/>
      <c r="F121" s="8"/>
      <c r="G121" s="8"/>
      <c r="H121" s="8"/>
      <c r="I121" s="8"/>
      <c r="J121" s="8"/>
      <c r="K121" s="8"/>
      <c r="L121" s="8"/>
    </row>
    <row r="122" spans="1:12" ht="15" customHeight="1" x14ac:dyDescent="0.35">
      <c r="A122" s="8" t="str">
        <f>IF(מלאי!D124&lt;&gt;"",מלאי!D124,"")</f>
        <v>SRV Short 9</v>
      </c>
      <c r="B122" s="8" t="str">
        <f>IF(מלאי!D124&lt;&gt;"",מלאי!B124&amp;IF(מלאי!C124&lt;&gt;""," ("&amp;מלאי!C124&amp;")",""),"")</f>
        <v>Poncho SRV (Short)</v>
      </c>
      <c r="C122" s="8" t="str">
        <f>IF(מלאי!D124&lt;&gt;"",מלאי!A124,"")</f>
        <v>OverGarment</v>
      </c>
      <c r="D122" s="8" t="str">
        <f>IF(מלאי!D124&lt;&gt;"",מלאי!H124,"")</f>
        <v>Marine</v>
      </c>
      <c r="E122" s="8"/>
      <c r="F122" s="8"/>
      <c r="G122" s="8"/>
      <c r="H122" s="8"/>
      <c r="I122" s="8"/>
      <c r="J122" s="8"/>
      <c r="K122" s="8"/>
      <c r="L122" s="8"/>
    </row>
    <row r="123" spans="1:12" ht="15" customHeight="1" x14ac:dyDescent="0.35">
      <c r="A123" s="8" t="str">
        <f>IF(מלאי!D125&lt;&gt;"",מלאי!D125,"")</f>
        <v>SRV Short 8</v>
      </c>
      <c r="B123" s="8" t="str">
        <f>IF(מלאי!D125&lt;&gt;"",מלאי!B125&amp;IF(מלאי!C125&lt;&gt;""," ("&amp;מלאי!C125&amp;")",""),"")</f>
        <v>Poncho SRV (Short)</v>
      </c>
      <c r="C123" s="8" t="str">
        <f>IF(מלאי!D125&lt;&gt;"",מלאי!A125,"")</f>
        <v>OverGarment</v>
      </c>
      <c r="D123" s="8" t="str">
        <f>IF(מלאי!D125&lt;&gt;"",מלאי!H125,"")</f>
        <v>Ever-Green</v>
      </c>
      <c r="E123" s="8"/>
      <c r="F123" s="8"/>
      <c r="G123" s="8"/>
      <c r="H123" s="8"/>
      <c r="I123" s="8"/>
      <c r="J123" s="8"/>
      <c r="K123" s="8"/>
      <c r="L123" s="8"/>
    </row>
    <row r="124" spans="1:12" ht="15" customHeight="1" x14ac:dyDescent="0.35">
      <c r="A124" s="8" t="str">
        <f>IF(מלאי!D126&lt;&gt;"",מלאי!D126,"")</f>
        <v>SRV Short 6</v>
      </c>
      <c r="B124" s="8" t="str">
        <f>IF(מלאי!D126&lt;&gt;"",מלאי!B126&amp;IF(מלאי!C126&lt;&gt;""," ("&amp;מלאי!C126&amp;")",""),"")</f>
        <v>Poncho SRV (Short)</v>
      </c>
      <c r="C124" s="8" t="str">
        <f>IF(מלאי!D126&lt;&gt;"",מלאי!A126,"")</f>
        <v>OverGarment</v>
      </c>
      <c r="D124" s="8" t="str">
        <f>IF(מלאי!D126&lt;&gt;"",מלאי!H126,"")</f>
        <v>Woodland</v>
      </c>
      <c r="E124" s="8"/>
      <c r="F124" s="8"/>
      <c r="G124" s="8"/>
      <c r="H124" s="8"/>
      <c r="I124" s="8"/>
      <c r="J124" s="8"/>
      <c r="K124" s="8"/>
      <c r="L124" s="8"/>
    </row>
    <row r="125" spans="1:12" ht="15" customHeight="1" x14ac:dyDescent="0.35">
      <c r="A125" s="8" t="str">
        <f>IF(מלאי!D127&lt;&gt;"",מלאי!D127,"")</f>
        <v>SRV Short 5</v>
      </c>
      <c r="B125" s="8" t="str">
        <f>IF(מלאי!D127&lt;&gt;"",מלאי!B127&amp;IF(מלאי!C127&lt;&gt;""," ("&amp;מלאי!C127&amp;")",""),"")</f>
        <v>Poncho SRV (Short)</v>
      </c>
      <c r="C125" s="8" t="str">
        <f>IF(מלאי!D127&lt;&gt;"",מלאי!A127,"")</f>
        <v>OverGarment</v>
      </c>
      <c r="D125" s="8" t="str">
        <f>IF(מלאי!D127&lt;&gt;"",מלאי!H127,"")</f>
        <v>Marine</v>
      </c>
      <c r="E125" s="8"/>
      <c r="F125" s="8"/>
      <c r="G125" s="8"/>
      <c r="H125" s="8"/>
      <c r="I125" s="8"/>
      <c r="J125" s="8"/>
      <c r="K125" s="8"/>
      <c r="L125" s="8"/>
    </row>
    <row r="126" spans="1:12" ht="15" customHeight="1" x14ac:dyDescent="0.35">
      <c r="A126" s="8" t="str">
        <f>IF(מלאי!D128&lt;&gt;"",מלאי!D128,"")</f>
        <v>SRV Short 3</v>
      </c>
      <c r="B126" s="8" t="str">
        <f>IF(מלאי!D128&lt;&gt;"",מלאי!B128&amp;IF(מלאי!C128&lt;&gt;""," ("&amp;מלאי!C128&amp;")",""),"")</f>
        <v>Poncho SRV (Short)</v>
      </c>
      <c r="C126" s="8" t="str">
        <f>IF(מלאי!D128&lt;&gt;"",מלאי!A128,"")</f>
        <v>OverGarment</v>
      </c>
      <c r="D126" s="8" t="str">
        <f>IF(מלאי!D128&lt;&gt;"",מלאי!H128,"")</f>
        <v>Marine</v>
      </c>
      <c r="E126" s="8"/>
      <c r="F126" s="8"/>
      <c r="G126" s="8"/>
      <c r="H126" s="8"/>
      <c r="I126" s="8"/>
      <c r="J126" s="8"/>
      <c r="K126" s="8"/>
      <c r="L126" s="8"/>
    </row>
    <row r="127" spans="1:12" ht="15" customHeight="1" x14ac:dyDescent="0.35">
      <c r="A127" s="8" t="str">
        <f>IF(מלאי!D129&lt;&gt;"",מלאי!D129,"")</f>
        <v>SRV Short 2</v>
      </c>
      <c r="B127" s="8" t="str">
        <f>IF(מלאי!D129&lt;&gt;"",מלאי!B129&amp;IF(מלאי!C129&lt;&gt;""," ("&amp;מלאי!C129&amp;")",""),"")</f>
        <v>Poncho SRV (Short)</v>
      </c>
      <c r="C127" s="8" t="str">
        <f>IF(מלאי!D129&lt;&gt;"",מלאי!A129,"")</f>
        <v>OverGarment</v>
      </c>
      <c r="D127" s="8" t="str">
        <f>IF(מלאי!D129&lt;&gt;"",מלאי!H129,"")</f>
        <v>Marine</v>
      </c>
      <c r="E127" s="8"/>
      <c r="F127" s="8"/>
      <c r="G127" s="8"/>
      <c r="H127" s="8"/>
      <c r="I127" s="8"/>
      <c r="J127" s="8"/>
      <c r="K127" s="8"/>
      <c r="L127" s="8"/>
    </row>
    <row r="128" spans="1:12" ht="15" customHeight="1" x14ac:dyDescent="0.35">
      <c r="A128" s="8" t="str">
        <f>IF(מלאי!D130&lt;&gt;"",מלאי!D130,"")</f>
        <v>SRV Short 13</v>
      </c>
      <c r="B128" s="8" t="str">
        <f>IF(מלאי!D130&lt;&gt;"",מלאי!B130&amp;IF(מלאי!C130&lt;&gt;""," ("&amp;מלאי!C130&amp;")",""),"")</f>
        <v>Poncho SRV (Short)</v>
      </c>
      <c r="C128" s="8" t="str">
        <f>IF(מלאי!D130&lt;&gt;"",מלאי!A130,"")</f>
        <v>OverGarment</v>
      </c>
      <c r="D128" s="8" t="str">
        <f>IF(מלאי!D130&lt;&gt;"",מלאי!H130,"")</f>
        <v>Marine</v>
      </c>
      <c r="E128" s="8"/>
      <c r="F128" s="8"/>
      <c r="G128" s="8"/>
      <c r="H128" s="8"/>
      <c r="I128" s="8"/>
      <c r="J128" s="8"/>
      <c r="K128" s="8"/>
      <c r="L128" s="8"/>
    </row>
    <row r="129" spans="1:12" ht="15" customHeight="1" x14ac:dyDescent="0.35">
      <c r="A129" s="8" t="str">
        <f>IF(מלאי!D133&lt;&gt;"",מלאי!D133,"")</f>
        <v>SRV Short 4</v>
      </c>
      <c r="B129" s="8" t="str">
        <f>IF(מלאי!D133&lt;&gt;"",מלאי!B133&amp;IF(מלאי!C133&lt;&gt;""," ("&amp;מלאי!C133&amp;")",""),"")</f>
        <v>Poncho SRV (Short)</v>
      </c>
      <c r="C129" s="8" t="str">
        <f>IF(מלאי!D133&lt;&gt;"",מלאי!A133,"")</f>
        <v>OverGarment</v>
      </c>
      <c r="D129" s="8" t="str">
        <f>IF(מלאי!D133&lt;&gt;"",מלאי!H133,"")</f>
        <v>Marine</v>
      </c>
      <c r="E129" s="8"/>
      <c r="F129" s="8"/>
      <c r="G129" s="8"/>
      <c r="H129" s="8"/>
      <c r="I129" s="8"/>
      <c r="J129" s="8"/>
      <c r="K129" s="8"/>
      <c r="L129" s="8"/>
    </row>
    <row r="130" spans="1:12" ht="15" customHeight="1" x14ac:dyDescent="0.35">
      <c r="A130" s="8" t="str">
        <f>IF(מלאי!D134&lt;&gt;"",מלאי!D134,"")</f>
        <v>SRV ב קצר הדגמה</v>
      </c>
      <c r="B130" s="8" t="str">
        <f>IF(מלאי!D134&lt;&gt;"",מלאי!B134&amp;IF(מלאי!C134&lt;&gt;""," ("&amp;מלאי!C134&amp;")",""),"")</f>
        <v>Poncho SRV (Short V2)</v>
      </c>
      <c r="C130" s="8" t="str">
        <f>IF(מלאי!D134&lt;&gt;"",מלאי!A134,"")</f>
        <v>OverGarment</v>
      </c>
      <c r="D130" s="8" t="str">
        <f>IF(מלאי!D134&lt;&gt;"",מלאי!H134,"")</f>
        <v>Woodland</v>
      </c>
      <c r="E130" s="8"/>
      <c r="F130" s="8"/>
      <c r="G130" s="8"/>
      <c r="H130" s="8"/>
      <c r="I130" s="8"/>
      <c r="J130" s="8"/>
      <c r="K130" s="8"/>
      <c r="L130" s="8"/>
    </row>
    <row r="131" spans="1:12" ht="15" customHeight="1" x14ac:dyDescent="0.35">
      <c r="A131" s="8" t="str">
        <f>IF(מלאי!D135&lt;&gt;"",מלאי!D135,"")</f>
        <v>SRV Short B7</v>
      </c>
      <c r="B131" s="8" t="str">
        <f>IF(מלאי!D135&lt;&gt;"",מלאי!B135&amp;IF(מלאי!C135&lt;&gt;""," ("&amp;מלאי!C135&amp;")",""),"")</f>
        <v>Poncho SRV (Short V2)</v>
      </c>
      <c r="C131" s="8" t="str">
        <f>IF(מלאי!D135&lt;&gt;"",מלאי!A135,"")</f>
        <v>OverGarment</v>
      </c>
      <c r="D131" s="8" t="str">
        <f>IF(מלאי!D135&lt;&gt;"",מלאי!H135,"")</f>
        <v>Marine</v>
      </c>
      <c r="E131" s="8"/>
      <c r="F131" s="8"/>
      <c r="G131" s="8"/>
      <c r="H131" s="8"/>
      <c r="I131" s="8"/>
      <c r="J131" s="8"/>
      <c r="K131" s="8"/>
      <c r="L131" s="8"/>
    </row>
    <row r="132" spans="1:12" ht="15" customHeight="1" x14ac:dyDescent="0.35">
      <c r="A132" s="8" t="str">
        <f>IF(מלאי!D136&lt;&gt;"",מלאי!D136,"")</f>
        <v xml:space="preserve">פונצ'ו הישרדות משולב (רשת) </v>
      </c>
      <c r="B132" s="8" t="str">
        <f>IF(מלאי!D136&lt;&gt;"",מלאי!B136&amp;IF(מלאי!C136&lt;&gt;""," ("&amp;מלאי!C136&amp;")",""),"")</f>
        <v>Poncho SRV (V1)</v>
      </c>
      <c r="C132" s="8" t="str">
        <f>IF(מלאי!D136&lt;&gt;"",מלאי!A136,"")</f>
        <v>OverGarment</v>
      </c>
      <c r="D132" s="8" t="str">
        <f>IF(מלאי!D136&lt;&gt;"",מלאי!H136,"")</f>
        <v>Ever-Green</v>
      </c>
      <c r="E132" s="8"/>
      <c r="F132" s="8"/>
      <c r="G132" s="8"/>
      <c r="H132" s="8"/>
      <c r="I132" s="8"/>
      <c r="J132" s="8"/>
      <c r="K132" s="8"/>
      <c r="L132" s="8"/>
    </row>
    <row r="133" spans="1:12" ht="15" customHeight="1" x14ac:dyDescent="0.35">
      <c r="A133" s="8" t="str">
        <f>IF(מלאי!D137&lt;&gt;"",מלאי!D137,"")</f>
        <v>UNI 041</v>
      </c>
      <c r="B133" s="8" t="str">
        <f>IF(מלאי!D137&lt;&gt;"",מלאי!B137&amp;IF(מלאי!C137&lt;&gt;""," ("&amp;מלאי!C137&amp;")",""),"")</f>
        <v>Shirt (Maritime)</v>
      </c>
      <c r="C133" s="8" t="str">
        <f>IF(מלאי!D137&lt;&gt;"",מלאי!A137,"")</f>
        <v>Uniform</v>
      </c>
      <c r="D133" s="8" t="str">
        <f>IF(מלאי!D137&lt;&gt;"",מלאי!H137,"")</f>
        <v>Kestrel</v>
      </c>
      <c r="E133" s="8"/>
      <c r="F133" s="8"/>
      <c r="G133" s="8"/>
      <c r="H133" s="8"/>
      <c r="I133" s="8"/>
      <c r="J133" s="8"/>
      <c r="K133" s="8"/>
      <c r="L133" s="8"/>
    </row>
    <row r="134" spans="1:12" ht="15" customHeight="1" x14ac:dyDescent="0.35">
      <c r="A134" s="8" t="str">
        <f>IF(מלאי!D139&lt;&gt;"",מלאי!D139,"")</f>
        <v>חולצה מלאי 1</v>
      </c>
      <c r="B134" s="8" t="str">
        <f>IF(מלאי!D139&lt;&gt;"",מלאי!B139&amp;IF(מלאי!C139&lt;&gt;""," ("&amp;מלאי!C139&amp;")",""),"")</f>
        <v>Shirt (Maritime)</v>
      </c>
      <c r="C134" s="8" t="str">
        <f>IF(מלאי!D139&lt;&gt;"",מלאי!A139,"")</f>
        <v>Uniform</v>
      </c>
      <c r="D134" s="8" t="str">
        <f>IF(מלאי!D139&lt;&gt;"",מלאי!H139,"")</f>
        <v>Marine</v>
      </c>
      <c r="E134" s="8"/>
      <c r="F134" s="8"/>
      <c r="G134" s="8"/>
      <c r="H134" s="8"/>
      <c r="I134" s="8"/>
      <c r="J134" s="8"/>
      <c r="K134" s="8"/>
      <c r="L134" s="8"/>
    </row>
    <row r="135" spans="1:12" ht="15" customHeight="1" x14ac:dyDescent="0.35">
      <c r="A135" s="8" t="str">
        <f>IF(מלאי!D140&lt;&gt;"",מלאי!D140,"")</f>
        <v>UNI 027</v>
      </c>
      <c r="B135" s="8" t="str">
        <f>IF(מלאי!D140&lt;&gt;"",מלאי!B140&amp;IF(מלאי!C140&lt;&gt;""," ("&amp;מלאי!C140&amp;")",""),"")</f>
        <v>Shirt (Maritime)</v>
      </c>
      <c r="C135" s="8" t="str">
        <f>IF(מלאי!D140&lt;&gt;"",מלאי!A140,"")</f>
        <v>Uniform</v>
      </c>
      <c r="D135" s="8" t="str">
        <f>IF(מלאי!D140&lt;&gt;"",מלאי!H140,"")</f>
        <v>Fresh Snow</v>
      </c>
      <c r="E135" s="8"/>
      <c r="F135" s="8"/>
      <c r="G135" s="8"/>
      <c r="H135" s="8"/>
      <c r="I135" s="8"/>
      <c r="J135" s="8"/>
      <c r="K135" s="8"/>
      <c r="L135" s="8"/>
    </row>
    <row r="136" spans="1:12" ht="15" customHeight="1" x14ac:dyDescent="0.35">
      <c r="A136" s="8" t="e">
        <f>IF(מלאי!#REF!&lt;&gt;"",מלאי!#REF!,"")</f>
        <v>#REF!</v>
      </c>
      <c r="B136" s="8" t="e">
        <f>IF(מלאי!#REF!&lt;&gt;"",מלאי!#REF!&amp;IF(מלאי!#REF!&lt;&gt;""," ("&amp;מלאי!#REF!&amp;")",""),"")</f>
        <v>#REF!</v>
      </c>
      <c r="C136" s="8" t="e">
        <f>IF(מלאי!#REF!&lt;&gt;"",מלאי!#REF!,"")</f>
        <v>#REF!</v>
      </c>
      <c r="D136" s="8" t="e">
        <f>IF(מלאי!#REF!&lt;&gt;"",מלאי!#REF!,"")</f>
        <v>#REF!</v>
      </c>
      <c r="E136" s="8"/>
      <c r="F136" s="8"/>
      <c r="G136" s="8"/>
      <c r="H136" s="8"/>
      <c r="I136" s="8"/>
      <c r="J136" s="8"/>
      <c r="K136" s="8"/>
      <c r="L136" s="8"/>
    </row>
    <row r="137" spans="1:12" ht="15" customHeight="1" x14ac:dyDescent="0.35">
      <c r="A137" s="8" t="e">
        <f>IF(מלאי!#REF!&lt;&gt;"",מלאי!#REF!,"")</f>
        <v>#REF!</v>
      </c>
      <c r="B137" s="8" t="e">
        <f>IF(מלאי!#REF!&lt;&gt;"",מלאי!#REF!&amp;IF(מלאי!#REF!&lt;&gt;""," ("&amp;מלאי!#REF!&amp;")",""),"")</f>
        <v>#REF!</v>
      </c>
      <c r="C137" s="8" t="e">
        <f>IF(מלאי!#REF!&lt;&gt;"",מלאי!#REF!,"")</f>
        <v>#REF!</v>
      </c>
      <c r="D137" s="8" t="e">
        <f>IF(מלאי!#REF!&lt;&gt;"",מלאי!#REF!,"")</f>
        <v>#REF!</v>
      </c>
      <c r="E137" s="8"/>
      <c r="F137" s="8"/>
      <c r="G137" s="8"/>
      <c r="H137" s="8"/>
      <c r="I137" s="8"/>
      <c r="J137" s="8"/>
      <c r="K137" s="8"/>
      <c r="L137" s="8"/>
    </row>
    <row r="138" spans="1:12" ht="15" customHeight="1" x14ac:dyDescent="0.35">
      <c r="A138" s="8" t="e">
        <f>IF(מלאי!#REF!&lt;&gt;"",מלאי!#REF!,"")</f>
        <v>#REF!</v>
      </c>
      <c r="B138" s="8" t="e">
        <f>IF(מלאי!#REF!&lt;&gt;"",מלאי!#REF!&amp;IF(מלאי!#REF!&lt;&gt;""," ("&amp;מלאי!#REF!&amp;")",""),"")</f>
        <v>#REF!</v>
      </c>
      <c r="C138" s="8" t="e">
        <f>IF(מלאי!#REF!&lt;&gt;"",מלאי!#REF!,"")</f>
        <v>#REF!</v>
      </c>
      <c r="D138" s="8" t="e">
        <f>IF(מלאי!#REF!&lt;&gt;"",מלאי!#REF!,"")</f>
        <v>#REF!</v>
      </c>
      <c r="E138" s="8"/>
      <c r="F138" s="8"/>
      <c r="G138" s="8"/>
      <c r="H138" s="8"/>
      <c r="I138" s="8"/>
      <c r="J138" s="8"/>
      <c r="K138" s="8"/>
      <c r="L138" s="8"/>
    </row>
    <row r="139" spans="1:12" ht="15" customHeight="1" x14ac:dyDescent="0.35">
      <c r="A139" s="8" t="str">
        <f>IF(מלאי!D141&lt;&gt;"",מלאי!D141,"")</f>
        <v>חליפת צלף הדגמה</v>
      </c>
      <c r="B139" s="8" t="str">
        <f>IF(מלאי!D141&lt;&gt;"",מלאי!B141&amp;IF(מלאי!C141&lt;&gt;""," ("&amp;מלאי!C141&amp;")",""),"")</f>
        <v>Sniper Assault (V1)</v>
      </c>
      <c r="C139" s="8" t="str">
        <f>IF(מלאי!D141&lt;&gt;"",מלאי!A141,"")</f>
        <v>OverGarment</v>
      </c>
      <c r="D139" s="8" t="str">
        <f>IF(מלאי!D141&lt;&gt;"",מלאי!H141,"")</f>
        <v>Kestrel</v>
      </c>
      <c r="E139" s="8"/>
      <c r="F139" s="8"/>
      <c r="G139" s="8"/>
      <c r="H139" s="8"/>
      <c r="I139" s="8"/>
      <c r="J139" s="8"/>
      <c r="K139" s="8"/>
      <c r="L139" s="8"/>
    </row>
    <row r="140" spans="1:12" ht="15" customHeight="1" x14ac:dyDescent="0.35">
      <c r="A140" s="8" t="str">
        <f>IF(מלאי!D142&lt;&gt;"",מלאי!D142,"")</f>
        <v>חליפת צלף תצוגה</v>
      </c>
      <c r="B140" s="8" t="str">
        <f>IF(מלאי!D142&lt;&gt;"",מלאי!B142&amp;IF(מלאי!C142&lt;&gt;""," ("&amp;מלאי!C142&amp;")",""),"")</f>
        <v>Sniper Assault (V1)</v>
      </c>
      <c r="C140" s="8" t="str">
        <f>IF(מלאי!D142&lt;&gt;"",מלאי!A142,"")</f>
        <v>OverGarment</v>
      </c>
      <c r="D140" s="8" t="str">
        <f>IF(מלאי!D142&lt;&gt;"",מלאי!H142,"")</f>
        <v>Kestrel</v>
      </c>
      <c r="E140" s="8"/>
      <c r="F140" s="8"/>
      <c r="G140" s="8"/>
      <c r="H140" s="8"/>
      <c r="I140" s="8"/>
      <c r="J140" s="8"/>
      <c r="K140" s="8"/>
      <c r="L140" s="8"/>
    </row>
    <row r="141" spans="1:12" ht="15" customHeight="1" x14ac:dyDescent="0.35">
      <c r="A141" s="8" t="str">
        <f>IF(מלאי!D143&lt;&gt;"",מלאי!D143,"")</f>
        <v>SRV Blanket 1</v>
      </c>
      <c r="B141" s="8" t="str">
        <f>IF(מלאי!D143&lt;&gt;"",מלאי!B143&amp;IF(מלאי!C143&lt;&gt;""," ("&amp;מלאי!C143&amp;")",""),"")</f>
        <v>Survival Blanket (V1)</v>
      </c>
      <c r="C141" s="8" t="str">
        <f>IF(מלאי!D143&lt;&gt;"",מלאי!A143,"")</f>
        <v>Blankets</v>
      </c>
      <c r="D141" s="8" t="str">
        <f>IF(מלאי!D143&lt;&gt;"",מלאי!H143,"")</f>
        <v>Ever-Green</v>
      </c>
      <c r="E141" s="8"/>
      <c r="F141" s="8"/>
      <c r="G141" s="8"/>
      <c r="H141" s="8"/>
      <c r="I141" s="8"/>
      <c r="J141" s="8"/>
      <c r="K141" s="8"/>
      <c r="L141" s="8"/>
    </row>
    <row r="142" spans="1:12" ht="15" customHeight="1" x14ac:dyDescent="0.35">
      <c r="A142" s="8" t="str">
        <f>IF(מלאי!D144&lt;&gt;"",מלאי!D144,"")</f>
        <v>SRV Blanket 3</v>
      </c>
      <c r="B142" s="8" t="str">
        <f>IF(מלאי!D144&lt;&gt;"",מלאי!B144&amp;IF(מלאי!C144&lt;&gt;""," ("&amp;מלאי!C144&amp;")",""),"")</f>
        <v>Survival Blanket (V1)</v>
      </c>
      <c r="C142" s="8" t="str">
        <f>IF(מלאי!D144&lt;&gt;"",מלאי!A144,"")</f>
        <v>Blankets</v>
      </c>
      <c r="D142" s="8" t="str">
        <f>IF(מלאי!D144&lt;&gt;"",מלאי!H144,"")</f>
        <v>Marine</v>
      </c>
      <c r="E142" s="8"/>
      <c r="F142" s="8"/>
      <c r="G142" s="8"/>
      <c r="H142" s="8"/>
      <c r="I142" s="8"/>
      <c r="J142" s="8"/>
      <c r="K142" s="8"/>
      <c r="L142" s="8"/>
    </row>
    <row r="143" spans="1:12" ht="15" customHeight="1" x14ac:dyDescent="0.35">
      <c r="A143" s="8" t="str">
        <f>IF(מלאי!D145&lt;&gt;"",מלאי!D145,"")</f>
        <v>SRV Blanket 4</v>
      </c>
      <c r="B143" s="8" t="str">
        <f>IF(מלאי!D145&lt;&gt;"",מלאי!B145&amp;IF(מלאי!C145&lt;&gt;""," ("&amp;מלאי!C145&amp;")",""),"")</f>
        <v>Survival Blanket (V1)</v>
      </c>
      <c r="C143" s="8" t="str">
        <f>IF(מלאי!D145&lt;&gt;"",מלאי!A145,"")</f>
        <v>Blankets</v>
      </c>
      <c r="D143" s="8" t="str">
        <f>IF(מלאי!D145&lt;&gt;"",מלאי!H145,"")</f>
        <v>Marine</v>
      </c>
      <c r="E143" s="8"/>
      <c r="F143" s="8"/>
      <c r="G143" s="8"/>
      <c r="H143" s="8"/>
      <c r="I143" s="8"/>
      <c r="J143" s="8"/>
      <c r="K143" s="8"/>
      <c r="L143" s="8"/>
    </row>
    <row r="144" spans="1:12" ht="15" customHeight="1" x14ac:dyDescent="0.35">
      <c r="A144" s="8" t="str">
        <f>IF(מלאי!D146&lt;&gt;"",מלאי!D146,"")</f>
        <v>SRV Blanket 2</v>
      </c>
      <c r="B144" s="8" t="e">
        <f>IF(מלאי!D146&lt;&gt;"",מלאי!#REF!&amp;IF(מלאי!C146&lt;&gt;""," ("&amp;מלאי!C146&amp;")",""),"")</f>
        <v>#REF!</v>
      </c>
      <c r="C144" s="8" t="str">
        <f>IF(מלאי!D146&lt;&gt;"",מלאי!A146,"")</f>
        <v>Blankets</v>
      </c>
      <c r="D144" s="8" t="str">
        <f>IF(מלאי!D146&lt;&gt;"",מלאי!H146,"")</f>
        <v>Ever-Green</v>
      </c>
      <c r="E144" s="8"/>
      <c r="F144" s="8"/>
      <c r="G144" s="8"/>
      <c r="H144" s="8"/>
      <c r="I144" s="8"/>
      <c r="J144" s="8"/>
      <c r="K144" s="8"/>
      <c r="L144" s="8"/>
    </row>
    <row r="145" spans="1:12" ht="15" customHeight="1" x14ac:dyDescent="0.35">
      <c r="A145" s="8" t="e">
        <f>IF(מלאי!#REF!&lt;&gt;"",מלאי!#REF!,"")</f>
        <v>#REF!</v>
      </c>
      <c r="B145" s="8" t="e">
        <f>IF(מלאי!#REF!&lt;&gt;"",מלאי!B146&amp;IF(מלאי!#REF!&lt;&gt;""," ("&amp;מלאי!#REF!&amp;")",""),"")</f>
        <v>#REF!</v>
      </c>
      <c r="C145" s="8" t="e">
        <f>IF(מלאי!#REF!&lt;&gt;"",מלאי!#REF!,"")</f>
        <v>#REF!</v>
      </c>
      <c r="D145" s="8" t="e">
        <f>IF(מלאי!#REF!&lt;&gt;"",מלאי!#REF!,"")</f>
        <v>#REF!</v>
      </c>
      <c r="E145" s="8"/>
      <c r="F145" s="8"/>
      <c r="G145" s="8"/>
      <c r="H145" s="8"/>
      <c r="I145" s="8"/>
      <c r="J145" s="8"/>
      <c r="K145" s="8"/>
      <c r="L145" s="8"/>
    </row>
    <row r="146" spans="1:12" ht="15" customHeight="1" x14ac:dyDescent="0.35">
      <c r="A146" s="8" t="str">
        <f>IF(מלאי!D147&lt;&gt;"",מלאי!D147,"")</f>
        <v>SRV Blanket 6</v>
      </c>
      <c r="B146" s="8" t="str">
        <f>IF(מלאי!D147&lt;&gt;"",מלאי!B147&amp;IF(מלאי!C147&lt;&gt;""," ("&amp;מלאי!C147&amp;")",""),"")</f>
        <v>Survival Blanket (V1)</v>
      </c>
      <c r="C146" s="8" t="str">
        <f>IF(מלאי!D147&lt;&gt;"",מלאי!A147,"")</f>
        <v>Blankets</v>
      </c>
      <c r="D146" s="8" t="str">
        <f>IF(מלאי!D147&lt;&gt;"",מלאי!H147,"")</f>
        <v>Marine</v>
      </c>
      <c r="E146" s="8"/>
      <c r="F146" s="8"/>
      <c r="G146" s="8"/>
      <c r="H146" s="8"/>
      <c r="I146" s="8"/>
      <c r="J146" s="8"/>
      <c r="K146" s="8"/>
      <c r="L146" s="8"/>
    </row>
    <row r="147" spans="1:12" ht="15" customHeight="1" x14ac:dyDescent="0.35">
      <c r="A147" s="8" t="e">
        <f>IF(מלאי!#REF!&lt;&gt;"",מלאי!#REF!,"")</f>
        <v>#REF!</v>
      </c>
      <c r="B147" s="8" t="e">
        <f>IF(מלאי!#REF!&lt;&gt;"",מלאי!#REF!&amp;IF(מלאי!#REF!&lt;&gt;""," ("&amp;מלאי!#REF!&amp;")",""),"")</f>
        <v>#REF!</v>
      </c>
      <c r="C147" s="8" t="e">
        <f>IF(מלאי!#REF!&lt;&gt;"",מלאי!#REF!,"")</f>
        <v>#REF!</v>
      </c>
      <c r="D147" s="8" t="e">
        <f>IF(מלאי!#REF!&lt;&gt;"",מלאי!#REF!,"")</f>
        <v>#REF!</v>
      </c>
      <c r="E147" s="8"/>
      <c r="F147" s="8"/>
      <c r="G147" s="8"/>
      <c r="H147" s="8"/>
      <c r="I147" s="8"/>
      <c r="J147" s="8"/>
      <c r="K147" s="8"/>
      <c r="L147" s="8"/>
    </row>
    <row r="148" spans="1:12" ht="15" customHeight="1" x14ac:dyDescent="0.35">
      <c r="A148" s="8" t="str">
        <f>IF(מלאי!D148&lt;&gt;"",מלאי!D148,"")</f>
        <v>יריעת הישרדות קרוע 5</v>
      </c>
      <c r="B148" s="8" t="str">
        <f>IF(מלאי!D148&lt;&gt;"",מלאי!B148&amp;IF(מלאי!C148&lt;&gt;""," ("&amp;מלאי!C148&amp;")",""),"")</f>
        <v>Survival Blanket (V1)</v>
      </c>
      <c r="C148" s="8" t="str">
        <f>IF(מלאי!D148&lt;&gt;"",מלאי!A148,"")</f>
        <v>Blankets</v>
      </c>
      <c r="D148" s="8" t="str">
        <f>IF(מלאי!D148&lt;&gt;"",מלאי!H148,"")</f>
        <v>Woodland</v>
      </c>
      <c r="E148" s="8"/>
      <c r="F148" s="8"/>
      <c r="G148" s="8"/>
      <c r="H148" s="8"/>
      <c r="I148" s="8"/>
      <c r="J148" s="8"/>
      <c r="K148" s="8"/>
      <c r="L148" s="8"/>
    </row>
    <row r="149" spans="1:12" ht="15" customHeight="1" x14ac:dyDescent="0.35">
      <c r="A149" s="8" t="str">
        <f>IF(מלאי!D149&lt;&gt;"",מלאי!D149,"")</f>
        <v>SRV Blanket 10</v>
      </c>
      <c r="B149" s="8" t="str">
        <f>IF(מלאי!D149&lt;&gt;"",מלאי!B149&amp;IF(מלאי!C149&lt;&gt;""," ("&amp;מלאי!C149&amp;")",""),"")</f>
        <v>Survival Blanket (V1)</v>
      </c>
      <c r="C149" s="8" t="str">
        <f>IF(מלאי!D149&lt;&gt;"",מלאי!A149,"")</f>
        <v>Blankets</v>
      </c>
      <c r="D149" s="8" t="str">
        <f>IF(מלאי!D149&lt;&gt;"",מלאי!H149,"")</f>
        <v>Woodland</v>
      </c>
      <c r="E149" s="8"/>
      <c r="F149" s="8"/>
      <c r="G149" s="8"/>
      <c r="H149" s="8"/>
      <c r="I149" s="8"/>
      <c r="J149" s="8"/>
      <c r="K149" s="8"/>
      <c r="L149" s="8"/>
    </row>
    <row r="150" spans="1:12" ht="15" customHeight="1" x14ac:dyDescent="0.35">
      <c r="A150" s="8" t="str">
        <f>IF(מלאי!D150&lt;&gt;"",מלאי!D150,"")</f>
        <v>SRV Blanket 11</v>
      </c>
      <c r="B150" s="8" t="str">
        <f>IF(מלאי!D150&lt;&gt;"",מלאי!B150&amp;IF(מלאי!C150&lt;&gt;""," ("&amp;מלאי!C150&amp;")",""),"")</f>
        <v>Survival Blanket (V1)</v>
      </c>
      <c r="C150" s="8" t="str">
        <f>IF(מלאי!D150&lt;&gt;"",מלאי!A150,"")</f>
        <v>Blankets</v>
      </c>
      <c r="D150" s="8" t="str">
        <f>IF(מלאי!D150&lt;&gt;"",מלאי!H150,"")</f>
        <v>Woodland</v>
      </c>
      <c r="E150" s="8"/>
      <c r="F150" s="8"/>
      <c r="G150" s="8"/>
      <c r="H150" s="8"/>
      <c r="I150" s="8"/>
      <c r="J150" s="8"/>
      <c r="K150" s="8"/>
      <c r="L150" s="8"/>
    </row>
    <row r="151" spans="1:12" ht="15" customHeight="1" x14ac:dyDescent="0.35">
      <c r="A151" s="8" t="str">
        <f>IF(מלאי!D151&lt;&gt;"",מלאי!D151,"")</f>
        <v>SRV Blanket 12</v>
      </c>
      <c r="B151" s="8" t="str">
        <f>IF(מלאי!D151&lt;&gt;"",מלאי!B151&amp;IF(מלאי!C151&lt;&gt;""," ("&amp;מלאי!C151&amp;")",""),"")</f>
        <v>Survival Blanket (V1)</v>
      </c>
      <c r="C151" s="8" t="str">
        <f>IF(מלאי!D151&lt;&gt;"",מלאי!A151,"")</f>
        <v>Blankets</v>
      </c>
      <c r="D151" s="8" t="str">
        <f>IF(מלאי!D151&lt;&gt;"",מלאי!H151,"")</f>
        <v>Woodland</v>
      </c>
      <c r="E151" s="8"/>
      <c r="F151" s="8"/>
      <c r="G151" s="8"/>
      <c r="H151" s="8"/>
      <c r="I151" s="8"/>
      <c r="J151" s="8"/>
      <c r="K151" s="8"/>
      <c r="L151" s="8"/>
    </row>
    <row r="152" spans="1:12" ht="15" customHeight="1" x14ac:dyDescent="0.35">
      <c r="A152" s="8" t="str">
        <f>IF(מלאי!D152&lt;&gt;"",מלאי!D152,"")</f>
        <v>SRV Blanket 13</v>
      </c>
      <c r="B152" s="8" t="str">
        <f>IF(מלאי!D152&lt;&gt;"",מלאי!B152&amp;IF(מלאי!C152&lt;&gt;""," ("&amp;מלאי!C152&amp;")",""),"")</f>
        <v>Survival Blanket (V1)</v>
      </c>
      <c r="C152" s="8" t="str">
        <f>IF(מלאי!D152&lt;&gt;"",מלאי!A152,"")</f>
        <v>Blankets</v>
      </c>
      <c r="D152" s="8" t="str">
        <f>IF(מלאי!D152&lt;&gt;"",מלאי!H152,"")</f>
        <v>Woodland</v>
      </c>
      <c r="E152" s="8"/>
      <c r="F152" s="8"/>
      <c r="G152" s="8"/>
      <c r="H152" s="8"/>
      <c r="I152" s="8"/>
      <c r="J152" s="8"/>
      <c r="K152" s="8"/>
      <c r="L152" s="8"/>
    </row>
    <row r="153" spans="1:12" ht="15" customHeight="1" x14ac:dyDescent="0.35">
      <c r="A153" s="8" t="str">
        <f>IF(מלאי!D153&lt;&gt;"",מלאי!D153,"")</f>
        <v>SRV Blanket 14</v>
      </c>
      <c r="B153" s="8" t="str">
        <f>IF(מלאי!D153&lt;&gt;"",מלאי!B153&amp;IF(מלאי!C153&lt;&gt;""," ("&amp;מלאי!C153&amp;")",""),"")</f>
        <v>Survival Blanket (V1)</v>
      </c>
      <c r="C153" s="8" t="str">
        <f>IF(מלאי!D153&lt;&gt;"",מלאי!A153,"")</f>
        <v>Blankets</v>
      </c>
      <c r="D153" s="8" t="str">
        <f>IF(מלאי!D153&lt;&gt;"",מלאי!H153,"")</f>
        <v>Woodland</v>
      </c>
      <c r="E153" s="8"/>
      <c r="F153" s="8"/>
      <c r="G153" s="8"/>
      <c r="H153" s="8"/>
      <c r="I153" s="8"/>
      <c r="J153" s="8"/>
      <c r="K153" s="8"/>
      <c r="L153" s="8"/>
    </row>
    <row r="154" spans="1:12" ht="15" customHeight="1" x14ac:dyDescent="0.35">
      <c r="A154" s="8" t="str">
        <f>IF(מלאי!D154&lt;&gt;"",מלאי!D154,"")</f>
        <v>SRV Blanket 15</v>
      </c>
      <c r="B154" s="8" t="str">
        <f>IF(מלאי!D154&lt;&gt;"",מלאי!B154&amp;IF(מלאי!C154&lt;&gt;""," ("&amp;מלאי!C154&amp;")",""),"")</f>
        <v>Survival Blanket (V1)</v>
      </c>
      <c r="C154" s="8" t="str">
        <f>IF(מלאי!D154&lt;&gt;"",מלאי!A154,"")</f>
        <v>Blankets</v>
      </c>
      <c r="D154" s="8" t="str">
        <f>IF(מלאי!D154&lt;&gt;"",מלאי!H154,"")</f>
        <v>Woodland</v>
      </c>
      <c r="E154" s="8"/>
      <c r="F154" s="8"/>
      <c r="G154" s="8"/>
      <c r="H154" s="8"/>
      <c r="I154" s="8"/>
      <c r="J154" s="8"/>
      <c r="K154" s="8"/>
      <c r="L154" s="8"/>
    </row>
    <row r="155" spans="1:12" ht="15" customHeight="1" x14ac:dyDescent="0.35">
      <c r="A155" s="8" t="str">
        <f>IF(מלאי!D155&lt;&gt;"",מלאי!D155,"")</f>
        <v>SRV Blanket 16</v>
      </c>
      <c r="B155" s="8" t="str">
        <f>IF(מלאי!D155&lt;&gt;"",מלאי!B155&amp;IF(מלאי!C155&lt;&gt;""," ("&amp;מלאי!C155&amp;")",""),"")</f>
        <v>Survival Blanket (V1)</v>
      </c>
      <c r="C155" s="8" t="str">
        <f>IF(מלאי!D155&lt;&gt;"",מלאי!A155,"")</f>
        <v>Blankets</v>
      </c>
      <c r="D155" s="8" t="str">
        <f>IF(מלאי!D155&lt;&gt;"",מלאי!H155,"")</f>
        <v>Woodland</v>
      </c>
      <c r="E155" s="8"/>
      <c r="F155" s="8"/>
      <c r="G155" s="8"/>
      <c r="H155" s="8"/>
      <c r="I155" s="8"/>
      <c r="J155" s="8"/>
      <c r="K155" s="8"/>
      <c r="L155" s="8"/>
    </row>
    <row r="156" spans="1:12" ht="15" customHeight="1" x14ac:dyDescent="0.35">
      <c r="A156" s="8" t="str">
        <f>IF(מלאי!D156&lt;&gt;"",מלאי!D156,"")</f>
        <v>SRV Blanket 17</v>
      </c>
      <c r="B156" s="8" t="str">
        <f>IF(מלאי!D156&lt;&gt;"",מלאי!B156&amp;IF(מלאי!C156&lt;&gt;""," ("&amp;מלאי!C156&amp;")",""),"")</f>
        <v>Survival Blanket (V1)</v>
      </c>
      <c r="C156" s="8" t="str">
        <f>IF(מלאי!D156&lt;&gt;"",מלאי!A156,"")</f>
        <v>Blankets</v>
      </c>
      <c r="D156" s="8" t="str">
        <f>IF(מלאי!D156&lt;&gt;"",מלאי!H156,"")</f>
        <v>Woodland</v>
      </c>
      <c r="E156" s="8"/>
      <c r="F156" s="8"/>
      <c r="G156" s="8"/>
      <c r="H156" s="8"/>
      <c r="I156" s="8"/>
      <c r="J156" s="8"/>
      <c r="K156" s="8"/>
      <c r="L156" s="8"/>
    </row>
    <row r="157" spans="1:12" ht="15" customHeight="1" x14ac:dyDescent="0.35">
      <c r="A157" s="8" t="str">
        <f>IF(מלאי!D157&lt;&gt;"",מלאי!D157,"")</f>
        <v>SRV Blanket 18</v>
      </c>
      <c r="B157" s="8" t="str">
        <f>IF(מלאי!D157&lt;&gt;"",מלאי!B157&amp;IF(מלאי!C157&lt;&gt;""," ("&amp;מלאי!C157&amp;")",""),"")</f>
        <v>Survival Blanket (V1)</v>
      </c>
      <c r="C157" s="8" t="str">
        <f>IF(מלאי!D157&lt;&gt;"",מלאי!A157,"")</f>
        <v>Blankets</v>
      </c>
      <c r="D157" s="8" t="str">
        <f>IF(מלאי!D157&lt;&gt;"",מלאי!H157,"")</f>
        <v>Woodland</v>
      </c>
      <c r="E157" s="8"/>
      <c r="F157" s="8"/>
      <c r="G157" s="8"/>
      <c r="H157" s="8"/>
      <c r="I157" s="8"/>
      <c r="J157" s="8"/>
      <c r="K157" s="8"/>
      <c r="L157" s="8"/>
    </row>
    <row r="158" spans="1:12" ht="15" customHeight="1" x14ac:dyDescent="0.35">
      <c r="A158" s="8" t="str">
        <f>IF(מלאי!D158&lt;&gt;"",מלאי!D158,"")</f>
        <v>SRV Blanket 19</v>
      </c>
      <c r="B158" s="8" t="str">
        <f>IF(מלאי!D158&lt;&gt;"",מלאי!B158&amp;IF(מלאי!C158&lt;&gt;""," ("&amp;מלאי!C158&amp;")",""),"")</f>
        <v>Survival Blanket (V1)</v>
      </c>
      <c r="C158" s="8" t="str">
        <f>IF(מלאי!D158&lt;&gt;"",מלאי!A158,"")</f>
        <v>Blankets</v>
      </c>
      <c r="D158" s="8" t="str">
        <f>IF(מלאי!D158&lt;&gt;"",מלאי!H158,"")</f>
        <v>Woodland</v>
      </c>
      <c r="E158" s="8"/>
      <c r="F158" s="8"/>
      <c r="G158" s="8"/>
      <c r="H158" s="8"/>
      <c r="I158" s="8"/>
      <c r="J158" s="8"/>
      <c r="K158" s="8"/>
      <c r="L158" s="8"/>
    </row>
    <row r="159" spans="1:12" ht="15" customHeight="1" x14ac:dyDescent="0.35">
      <c r="A159" s="8" t="str">
        <f>IF(מלאי!D159&lt;&gt;"",מלאי!D159,"")</f>
        <v>SRV Blanket 20</v>
      </c>
      <c r="B159" s="8" t="str">
        <f>IF(מלאי!D159&lt;&gt;"",מלאי!B159&amp;IF(מלאי!C159&lt;&gt;""," ("&amp;מלאי!C159&amp;")",""),"")</f>
        <v>Survival Blanket (V1)</v>
      </c>
      <c r="C159" s="8" t="str">
        <f>IF(מלאי!D159&lt;&gt;"",מלאי!A159,"")</f>
        <v>Blankets</v>
      </c>
      <c r="D159" s="8" t="str">
        <f>IF(מלאי!D159&lt;&gt;"",מלאי!H159,"")</f>
        <v>Woodland</v>
      </c>
      <c r="E159" s="8"/>
      <c r="F159" s="8"/>
      <c r="G159" s="8"/>
      <c r="H159" s="8"/>
      <c r="I159" s="8"/>
      <c r="J159" s="8"/>
      <c r="K159" s="8"/>
      <c r="L159" s="8"/>
    </row>
    <row r="160" spans="1:12" ht="15" customHeight="1" x14ac:dyDescent="0.35">
      <c r="A160" s="8" t="str">
        <f>IF(מלאי!D160&lt;&gt;"",מלאי!D160,"")</f>
        <v>SRV Blanket 21</v>
      </c>
      <c r="B160" s="8" t="str">
        <f>IF(מלאי!D160&lt;&gt;"",מלאי!B160&amp;IF(מלאי!C160&lt;&gt;""," ("&amp;מלאי!C160&amp;")",""),"")</f>
        <v>Survival Blanket (V1)</v>
      </c>
      <c r="C160" s="8" t="str">
        <f>IF(מלאי!D160&lt;&gt;"",מלאי!A160,"")</f>
        <v>Blankets</v>
      </c>
      <c r="D160" s="8" t="str">
        <f>IF(מלאי!D160&lt;&gt;"",מלאי!H160,"")</f>
        <v>Woodland</v>
      </c>
      <c r="E160" s="8"/>
      <c r="F160" s="8"/>
      <c r="G160" s="8"/>
      <c r="H160" s="8"/>
      <c r="I160" s="8"/>
      <c r="J160" s="8"/>
      <c r="K160" s="8"/>
      <c r="L160" s="8"/>
    </row>
    <row r="161" spans="1:12" ht="15" customHeight="1" x14ac:dyDescent="0.35">
      <c r="A161" s="8" t="str">
        <f>IF(מלאי!D161&lt;&gt;"",מלאי!D161,"")</f>
        <v>SRV Blanket 23</v>
      </c>
      <c r="B161" s="8" t="str">
        <f>IF(מלאי!D161&lt;&gt;"",מלאי!B161&amp;IF(מלאי!C161&lt;&gt;""," ("&amp;מלאי!C161&amp;")",""),"")</f>
        <v>Survival Blanket (V1)</v>
      </c>
      <c r="C161" s="8" t="str">
        <f>IF(מלאי!D161&lt;&gt;"",מלאי!A161,"")</f>
        <v>Blankets</v>
      </c>
      <c r="D161" s="8" t="str">
        <f>IF(מלאי!D161&lt;&gt;"",מלאי!H161,"")</f>
        <v>Woodland</v>
      </c>
      <c r="E161" s="8"/>
      <c r="F161" s="8"/>
      <c r="G161" s="8"/>
      <c r="H161" s="8"/>
      <c r="I161" s="8"/>
      <c r="J161" s="8"/>
      <c r="K161" s="8"/>
      <c r="L161" s="8"/>
    </row>
    <row r="162" spans="1:12" ht="15" customHeight="1" x14ac:dyDescent="0.35">
      <c r="A162" s="8" t="str">
        <f>IF(מלאי!D162&lt;&gt;"",מלאי!D162,"")</f>
        <v>יריעה 9  - בואקום</v>
      </c>
      <c r="B162" s="8" t="str">
        <f>IF(מלאי!D162&lt;&gt;"",מלאי!B162&amp;IF(מלאי!C162&lt;&gt;""," ("&amp;מלאי!C162&amp;")",""),"")</f>
        <v>Survival Blanket (V1)</v>
      </c>
      <c r="C162" s="8" t="str">
        <f>IF(מלאי!D162&lt;&gt;"",מלאי!A162,"")</f>
        <v>Blankets</v>
      </c>
      <c r="D162" s="8" t="str">
        <f>IF(מלאי!D162&lt;&gt;"",מלאי!H162,"")</f>
        <v>Woodland</v>
      </c>
      <c r="E162" s="8"/>
      <c r="F162" s="8"/>
      <c r="G162" s="8"/>
      <c r="H162" s="8"/>
      <c r="I162" s="8"/>
      <c r="J162" s="8"/>
      <c r="K162" s="8"/>
      <c r="L162" s="8"/>
    </row>
    <row r="163" spans="1:12" ht="15" customHeight="1" x14ac:dyDescent="0.35">
      <c r="A163" s="8" t="str">
        <f>IF(מלאי!D163&lt;&gt;"",מלאי!D163,"")</f>
        <v>SRV Blanket 22</v>
      </c>
      <c r="B163" s="8" t="str">
        <f>IF(מלאי!D163&lt;&gt;"",מלאי!B163&amp;IF(מלאי!C163&lt;&gt;""," ("&amp;מלאי!C163&amp;")",""),"")</f>
        <v>Survival Blanket (V1)</v>
      </c>
      <c r="C163" s="8" t="str">
        <f>IF(מלאי!D163&lt;&gt;"",מלאי!A163,"")</f>
        <v>Blankets</v>
      </c>
      <c r="D163" s="8" t="str">
        <f>IF(מלאי!D163&lt;&gt;"",מלאי!H163,"")</f>
        <v>Ever-Green</v>
      </c>
      <c r="E163" s="8"/>
      <c r="F163" s="8"/>
      <c r="G163" s="8"/>
      <c r="H163" s="8"/>
      <c r="I163" s="8"/>
      <c r="J163" s="8"/>
      <c r="K163" s="8"/>
      <c r="L163" s="8"/>
    </row>
    <row r="164" spans="1:12" ht="15" customHeight="1" x14ac:dyDescent="0.35">
      <c r="A164" s="8" t="str">
        <f>IF(מלאי!D164&lt;&gt;"",מלאי!D164,"")</f>
        <v>SRV Blanket 7</v>
      </c>
      <c r="B164" s="8" t="str">
        <f>IF(מלאי!D164&lt;&gt;"",מלאי!B164&amp;IF(מלאי!C164&lt;&gt;""," ("&amp;מלאי!C164&amp;")",""),"")</f>
        <v>Survival Blanket (V1)</v>
      </c>
      <c r="C164" s="8" t="str">
        <f>IF(מלאי!D164&lt;&gt;"",מלאי!A164,"")</f>
        <v>Blankets</v>
      </c>
      <c r="D164" s="8" t="str">
        <f>IF(מלאי!D164&lt;&gt;"",מלאי!H164,"")</f>
        <v>Forest Green</v>
      </c>
      <c r="E164" s="8"/>
      <c r="F164" s="8"/>
      <c r="G164" s="8"/>
      <c r="H164" s="8"/>
      <c r="I164" s="8"/>
      <c r="J164" s="8"/>
      <c r="K164" s="8"/>
      <c r="L164" s="8"/>
    </row>
    <row r="165" spans="1:12" ht="15" customHeight="1" x14ac:dyDescent="0.35">
      <c r="A165" s="8" t="str">
        <f>IF(מלאי!D165&lt;&gt;"",מלאי!D165,"")</f>
        <v>SRV Blanket 8</v>
      </c>
      <c r="B165" s="8" t="str">
        <f>IF(מלאי!D165&lt;&gt;"",מלאי!B165&amp;IF(מלאי!C165&lt;&gt;""," ("&amp;מלאי!C165&amp;")",""),"")</f>
        <v>Survival Blanket (V1)</v>
      </c>
      <c r="C165" s="8" t="str">
        <f>IF(מלאי!D165&lt;&gt;"",מלאי!A165,"")</f>
        <v>Blankets</v>
      </c>
      <c r="D165" s="8" t="str">
        <f>IF(מלאי!D165&lt;&gt;"",מלאי!H165,"")</f>
        <v xml:space="preserve"> Kestrel (אמריקאי)</v>
      </c>
      <c r="E165" s="8"/>
      <c r="F165" s="8"/>
      <c r="G165" s="8"/>
      <c r="H165" s="8"/>
      <c r="I165" s="8"/>
      <c r="J165" s="8"/>
      <c r="K165" s="8"/>
      <c r="L165" s="8"/>
    </row>
    <row r="166" spans="1:12" ht="15" customHeight="1" x14ac:dyDescent="0.35">
      <c r="A166" s="8" t="str">
        <f>IF(מלאי!D166&lt;&gt;"",מלאי!D166,"")</f>
        <v xml:space="preserve">יריעת הישרדות מאכ 23 </v>
      </c>
      <c r="B166" s="8" t="str">
        <f>IF(מלאי!D166&lt;&gt;"",מלאי!B166&amp;IF(מלאי!C166&lt;&gt;""," ("&amp;מלאי!C166&amp;")",""),"")</f>
        <v>Survival Blanket (V1)</v>
      </c>
      <c r="C166" s="8" t="str">
        <f>IF(מלאי!D166&lt;&gt;"",מלאי!A166,"")</f>
        <v>Blankets</v>
      </c>
      <c r="D166" s="8">
        <f>IF(מלאי!D166&lt;&gt;"",מלאי!H166,"")</f>
        <v>0</v>
      </c>
      <c r="E166" s="8"/>
      <c r="F166" s="8"/>
      <c r="G166" s="8"/>
      <c r="H166" s="8"/>
      <c r="I166" s="8"/>
      <c r="J166" s="8"/>
      <c r="K166" s="8"/>
      <c r="L166" s="8"/>
    </row>
    <row r="167" spans="1:12" ht="15" customHeight="1" x14ac:dyDescent="0.35">
      <c r="A167" s="8" t="str">
        <f>IF(מלאי!D167&lt;&gt;"",מלאי!D167,"")</f>
        <v>SWAT הדגמה</v>
      </c>
      <c r="B167" s="8" t="str">
        <f>IF(מלאי!D167&lt;&gt;"",מלאי!B167&amp;IF(מלאי!C167&lt;&gt;""," ("&amp;מלאי!C167&amp;")",""),"")</f>
        <v>SWAT 3-Part SUIT (V1)</v>
      </c>
      <c r="C167" s="8" t="str">
        <f>IF(מלאי!D167&lt;&gt;"",מלאי!A167,"")</f>
        <v>OverGarment</v>
      </c>
      <c r="D167" s="8" t="str">
        <f>IF(מלאי!D167&lt;&gt;"",מלאי!H167,"")</f>
        <v>Desert</v>
      </c>
      <c r="E167" s="8"/>
      <c r="F167" s="8"/>
      <c r="G167" s="8"/>
      <c r="H167" s="8"/>
      <c r="I167" s="8"/>
      <c r="J167" s="8"/>
      <c r="K167" s="8"/>
      <c r="L167" s="8"/>
    </row>
    <row r="168" spans="1:12" ht="15" customHeight="1" x14ac:dyDescent="0.35">
      <c r="A168" s="8" t="str">
        <f>IF(מלאי!D168&lt;&gt;"",מלאי!D168,"")</f>
        <v>SWAT תצוגה</v>
      </c>
      <c r="B168" s="8" t="str">
        <f>IF(מלאי!D168&lt;&gt;"",מלאי!B168&amp;IF(מלאי!C168&lt;&gt;""," ("&amp;מלאי!C168&amp;")",""),"")</f>
        <v>SWAT 3-Part SUIT (V1)</v>
      </c>
      <c r="C168" s="8" t="str">
        <f>IF(מלאי!D168&lt;&gt;"",מלאי!A168,"")</f>
        <v>OverGarment</v>
      </c>
      <c r="D168" s="8" t="str">
        <f>IF(מלאי!D168&lt;&gt;"",מלאי!H168,"")</f>
        <v>Desert</v>
      </c>
      <c r="E168" s="8"/>
      <c r="F168" s="8"/>
      <c r="G168" s="8"/>
      <c r="H168" s="8"/>
      <c r="I168" s="8"/>
      <c r="J168" s="8"/>
      <c r="K168" s="8"/>
      <c r="L168" s="8"/>
    </row>
    <row r="169" spans="1:12" ht="15" customHeight="1" x14ac:dyDescent="0.35">
      <c r="A169" s="8" t="str">
        <f>IF(מלאי!D169&lt;&gt;"",מלאי!D169,"")</f>
        <v>Vehicle HS 2- 12*12</v>
      </c>
      <c r="B169" s="8" t="str">
        <f>IF(מלאי!D169&lt;&gt;"",מלאי!B169&amp;IF(מלאי!C169&lt;&gt;""," ("&amp;מלאי!C169&amp;")",""),"")</f>
        <v>Vehicle hide site 9*12</v>
      </c>
      <c r="C169" s="8" t="str">
        <f>IF(מלאי!D169&lt;&gt;"",מלאי!A169,"")</f>
        <v>Platform Hide Site</v>
      </c>
      <c r="D169" s="8" t="str">
        <f>IF(מלאי!D169&lt;&gt;"",מלאי!H169,"")</f>
        <v>Ever-Green</v>
      </c>
      <c r="E169" s="8"/>
      <c r="F169" s="8"/>
      <c r="G169" s="8"/>
      <c r="H169" s="8"/>
      <c r="I169" s="8"/>
      <c r="J169" s="8"/>
      <c r="K169" s="8"/>
      <c r="L169" s="8"/>
    </row>
    <row r="170" spans="1:12" ht="15" customHeight="1" x14ac:dyDescent="0.35">
      <c r="A170" s="8" t="str">
        <f>IF(מלאי!D170&lt;&gt;"",מלאי!D170,"")</f>
        <v>Vehicle HS 3- 9*12</v>
      </c>
      <c r="B170" s="8" t="str">
        <f>IF(מלאי!D170&lt;&gt;"",מלאי!B170&amp;IF(מלאי!C170&lt;&gt;""," ("&amp;מלאי!C170&amp;")",""),"")</f>
        <v>Vehicle hide site 9*12</v>
      </c>
      <c r="C170" s="8" t="str">
        <f>IF(מלאי!D170&lt;&gt;"",מלאי!A170,"")</f>
        <v>Platform Hide Site</v>
      </c>
      <c r="D170" s="8" t="str">
        <f>IF(מלאי!D170&lt;&gt;"",מלאי!H170,"")</f>
        <v>Ever-Green</v>
      </c>
      <c r="E170" s="8"/>
      <c r="F170" s="8"/>
      <c r="G170" s="8"/>
      <c r="H170" s="8"/>
      <c r="I170" s="8"/>
      <c r="J170" s="8"/>
      <c r="K170" s="8"/>
      <c r="L170" s="8"/>
    </row>
    <row r="171" spans="1:12" ht="15" customHeight="1" x14ac:dyDescent="0.35">
      <c r="A171" s="8" t="str">
        <f>IF(מלאי!D171&lt;&gt;"",מלאי!D171,"")</f>
        <v>Vehicle HS 4- 9*12</v>
      </c>
      <c r="B171" s="8" t="str">
        <f>IF(מלאי!D171&lt;&gt;"",מלאי!B171&amp;IF(מלאי!C171&lt;&gt;""," ("&amp;מלאי!C171&amp;")",""),"")</f>
        <v>Vehicle hide site 9*12</v>
      </c>
      <c r="C171" s="8" t="str">
        <f>IF(מלאי!D171&lt;&gt;"",מלאי!A171,"")</f>
        <v>Platform Hide Site</v>
      </c>
      <c r="D171" s="8" t="str">
        <f>IF(מלאי!D171&lt;&gt;"",מלאי!H171,"")</f>
        <v>Desert-Green</v>
      </c>
      <c r="E171" s="8"/>
      <c r="F171" s="8"/>
      <c r="G171" s="8"/>
      <c r="H171" s="8"/>
      <c r="I171" s="8"/>
      <c r="J171" s="8"/>
      <c r="K171" s="8"/>
      <c r="L171" s="8"/>
    </row>
    <row r="172" spans="1:12" ht="15" customHeight="1" x14ac:dyDescent="0.35">
      <c r="A172" s="8" t="str">
        <f>IF(מלאי!D172&lt;&gt;"",מלאי!D172,"")</f>
        <v>Vehicle HS 7- 9*12</v>
      </c>
      <c r="B172" s="8" t="str">
        <f>IF(מלאי!D172&lt;&gt;"",מלאי!B172&amp;IF(מלאי!C172&lt;&gt;""," ("&amp;מלאי!C172&amp;")",""),"")</f>
        <v>Vehicle hide site 9*12 (v1)</v>
      </c>
      <c r="C172" s="8" t="str">
        <f>IF(מלאי!D172&lt;&gt;"",מלאי!A172,"")</f>
        <v>Platform Hide Site</v>
      </c>
      <c r="D172" s="8" t="str">
        <f>IF(מלאי!D172&lt;&gt;"",מלאי!H172,"")</f>
        <v>Desert-Green</v>
      </c>
      <c r="E172" s="8"/>
      <c r="F172" s="8"/>
      <c r="G172" s="8"/>
      <c r="H172" s="8"/>
      <c r="I172" s="8"/>
      <c r="J172" s="8"/>
      <c r="K172" s="8"/>
      <c r="L172" s="8"/>
    </row>
    <row r="173" spans="1:12" ht="15" customHeight="1" x14ac:dyDescent="0.35">
      <c r="A173" s="8" t="str">
        <f>IF(מלאי!D173&lt;&gt;"",מלאי!D173,"")</f>
        <v>Vehicle HS 1- 9*13</v>
      </c>
      <c r="B173" s="8" t="str">
        <f>IF(מלאי!D173&lt;&gt;"",מלאי!B173&amp;IF(מלאי!C173&lt;&gt;""," ("&amp;מלאי!C173&amp;")",""),"")</f>
        <v>Vehicle hide site 9*13</v>
      </c>
      <c r="C173" s="8" t="str">
        <f>IF(מלאי!D173&lt;&gt;"",מלאי!A173,"")</f>
        <v>Platform Hide Site</v>
      </c>
      <c r="D173" s="8" t="str">
        <f>IF(מלאי!D173&lt;&gt;"",מלאי!H173,"")</f>
        <v>Woodland</v>
      </c>
      <c r="E173" s="8"/>
      <c r="F173" s="8"/>
      <c r="G173" s="8"/>
      <c r="H173" s="8"/>
      <c r="I173" s="8"/>
      <c r="J173" s="8"/>
      <c r="K173" s="8"/>
      <c r="L173" s="8"/>
    </row>
    <row r="174" spans="1:12" ht="15" customHeight="1" x14ac:dyDescent="0.35">
      <c r="A174" s="8" t="str">
        <f>IF(מלאי!D174&lt;&gt;"",מלאי!D174,"")</f>
        <v>Vehicle HS 5- 9*13</v>
      </c>
      <c r="B174" s="8" t="str">
        <f>IF(מלאי!D174&lt;&gt;"",מלאי!B174&amp;IF(מלאי!C174&lt;&gt;""," ("&amp;מלאי!C174&amp;")",""),"")</f>
        <v>Vehicle hide site 9*13</v>
      </c>
      <c r="C174" s="8" t="str">
        <f>IF(מלאי!D174&lt;&gt;"",מלאי!A174,"")</f>
        <v>Platform Hide Site</v>
      </c>
      <c r="D174" s="8" t="str">
        <f>IF(מלאי!D174&lt;&gt;"",מלאי!H174,"")</f>
        <v>Desert-Green</v>
      </c>
      <c r="E174" s="8"/>
      <c r="F174" s="8"/>
      <c r="G174" s="8"/>
      <c r="H174" s="8"/>
      <c r="I174" s="8"/>
      <c r="J174" s="8"/>
      <c r="K174" s="8"/>
      <c r="L174" s="8"/>
    </row>
    <row r="175" spans="1:12" ht="15" customHeight="1" x14ac:dyDescent="0.35">
      <c r="A175" s="8" t="str">
        <f>IF(מלאי!D175&lt;&gt;"",מלאי!D175,"")</f>
        <v>Vehicle HS 6- 9*14</v>
      </c>
      <c r="B175" s="8" t="str">
        <f>IF(מלאי!D175&lt;&gt;"",מלאי!B175&amp;IF(מלאי!C175&lt;&gt;""," ("&amp;מלאי!C175&amp;")",""),"")</f>
        <v>Vehicle hide site 9*13</v>
      </c>
      <c r="C175" s="8" t="str">
        <f>IF(מלאי!D175&lt;&gt;"",מלאי!A175,"")</f>
        <v>Platform Hide Site</v>
      </c>
      <c r="D175" s="8" t="str">
        <f>IF(מלאי!D175&lt;&gt;"",מלאי!H175,"")</f>
        <v>Urban Green</v>
      </c>
      <c r="E175" s="8"/>
      <c r="F175" s="8"/>
      <c r="G175" s="8"/>
      <c r="H175" s="8"/>
      <c r="I175" s="8"/>
      <c r="J175" s="8"/>
      <c r="K175" s="8"/>
      <c r="L175" s="8"/>
    </row>
    <row r="176" spans="1:12" ht="15" customHeight="1" x14ac:dyDescent="0.35">
      <c r="A176" s="8" t="str">
        <f>IF(מלאי!D176&lt;&gt;"",מלאי!D176,"")</f>
        <v>OV 011</v>
      </c>
      <c r="B176" s="8" t="str">
        <f>IF(מלאי!D176&lt;&gt;"",מלאי!B176&amp;IF(מלאי!C176&lt;&gt;""," ("&amp;מלאי!C176&amp;")",""),"")</f>
        <v>Vest cover</v>
      </c>
      <c r="C176" s="8" t="str">
        <f>IF(מלאי!D176&lt;&gt;"",מלאי!A176,"")</f>
        <v>Uniform</v>
      </c>
      <c r="D176" s="8" t="str">
        <f>IF(מלאי!D176&lt;&gt;"",מלאי!H176,"")</f>
        <v>Desert</v>
      </c>
      <c r="E176" s="8"/>
      <c r="F176" s="8"/>
      <c r="G176" s="8"/>
      <c r="H176" s="8"/>
      <c r="I176" s="8"/>
      <c r="J176" s="8"/>
      <c r="K176" s="8"/>
      <c r="L176" s="8"/>
    </row>
    <row r="177" spans="1:12" ht="15" customHeight="1" x14ac:dyDescent="0.35">
      <c r="A177" s="8" t="str">
        <f>IF(מלאי!D177&lt;&gt;"",מלאי!D177,"")</f>
        <v>OV 024</v>
      </c>
      <c r="B177" s="8" t="str">
        <f>IF(מלאי!D177&lt;&gt;"",מלאי!B177&amp;IF(מלאי!C177&lt;&gt;""," ("&amp;מלאי!C177&amp;")",""),"")</f>
        <v>Vest cover (LTD)</v>
      </c>
      <c r="C177" s="8" t="str">
        <f>IF(מלאי!D177&lt;&gt;"",מלאי!A177,"")</f>
        <v>Uniform</v>
      </c>
      <c r="D177" s="8" t="str">
        <f>IF(מלאי!D177&lt;&gt;"",מלאי!H177,"")</f>
        <v>Kestrel</v>
      </c>
      <c r="E177" s="8"/>
      <c r="F177" s="8"/>
      <c r="G177" s="8"/>
      <c r="H177" s="8"/>
      <c r="I177" s="8"/>
      <c r="J177" s="8"/>
      <c r="K177" s="8"/>
      <c r="L177" s="8"/>
    </row>
    <row r="178" spans="1:12" ht="15" customHeight="1" x14ac:dyDescent="0.35">
      <c r="A178" s="8" t="str">
        <f>IF(מלאי!D178&lt;&gt;"",מלאי!D178,"")</f>
        <v>OV 010</v>
      </c>
      <c r="B178" s="8" t="str">
        <f>IF(מלאי!D178&lt;&gt;"",מלאי!B178&amp;IF(מלאי!C178&lt;&gt;""," ("&amp;מלאי!C178&amp;")",""),"")</f>
        <v>Vest cover (ישראלי)</v>
      </c>
      <c r="C178" s="8" t="str">
        <f>IF(מלאי!D178&lt;&gt;"",מלאי!A178,"")</f>
        <v>Uniform</v>
      </c>
      <c r="D178" s="8" t="str">
        <f>IF(מלאי!D178&lt;&gt;"",מלאי!H178,"")</f>
        <v>Kestrel</v>
      </c>
      <c r="E178" s="8"/>
      <c r="F178" s="8"/>
      <c r="G178" s="8"/>
      <c r="H178" s="8"/>
      <c r="I178" s="8"/>
      <c r="J178" s="8"/>
      <c r="K178" s="8"/>
      <c r="L178" s="8"/>
    </row>
    <row r="179" spans="1:12" ht="15" customHeight="1" x14ac:dyDescent="0.35">
      <c r="A179" s="8" t="str">
        <f>IF(מלאי!D179&lt;&gt;"",מלאי!D179,"")</f>
        <v>OV 012</v>
      </c>
      <c r="B179" s="8" t="str">
        <f>IF(מלאי!D179&lt;&gt;"",מלאי!B179&amp;IF(מלאי!C179&lt;&gt;""," ("&amp;מלאי!C179&amp;")",""),"")</f>
        <v>Vest cover</v>
      </c>
      <c r="C179" s="8" t="str">
        <f>IF(מלאי!D179&lt;&gt;"",מלאי!A179,"")</f>
        <v>Uniform</v>
      </c>
      <c r="D179" s="8" t="str">
        <f>IF(מלאי!D179&lt;&gt;"",מלאי!H179,"")</f>
        <v>Kestrel</v>
      </c>
      <c r="E179" s="8"/>
      <c r="F179" s="8"/>
      <c r="G179" s="8"/>
      <c r="H179" s="8"/>
      <c r="I179" s="8"/>
      <c r="J179" s="8"/>
      <c r="K179" s="8"/>
      <c r="L179" s="8"/>
    </row>
    <row r="180" spans="1:12" ht="15" customHeight="1" x14ac:dyDescent="0.35">
      <c r="A180" s="8" t="str">
        <f>IF(מלאי!D180&lt;&gt;"",מלאי!D180,"")</f>
        <v>UNI 061</v>
      </c>
      <c r="B180" s="8" t="str">
        <f>IF(מלאי!D180&lt;&gt;"",מלאי!B180&amp;IF(מלאי!C180&lt;&gt;""," ("&amp;מלאי!C180&amp;")",""),"")</f>
        <v>Vest cover</v>
      </c>
      <c r="C180" s="8" t="str">
        <f>IF(מלאי!D180&lt;&gt;"",מלאי!A180,"")</f>
        <v>Uniform</v>
      </c>
      <c r="D180" s="8" t="str">
        <f>IF(מלאי!D180&lt;&gt;"",מלאי!H180,"")</f>
        <v>Ever-Green</v>
      </c>
      <c r="E180" s="8"/>
      <c r="F180" s="8"/>
      <c r="G180" s="8"/>
      <c r="H180" s="8"/>
      <c r="I180" s="8"/>
      <c r="J180" s="8"/>
      <c r="K180" s="8"/>
      <c r="L180" s="8"/>
    </row>
    <row r="181" spans="1:12" ht="15" customHeight="1" x14ac:dyDescent="0.35">
      <c r="A181" s="8" t="str">
        <f>IF(מלאי!D181&lt;&gt;"",מלאי!D181,"")</f>
        <v>OV 009</v>
      </c>
      <c r="B181" s="8" t="str">
        <f>IF(מלאי!D181&lt;&gt;"",מלאי!B181&amp;IF(מלאי!C181&lt;&gt;""," ("&amp;מלאי!C181&amp;")",""),"")</f>
        <v>Vest cover (ישראלי)</v>
      </c>
      <c r="C181" s="8" t="str">
        <f>IF(מלאי!D181&lt;&gt;"",מלאי!A181,"")</f>
        <v>Uniform</v>
      </c>
      <c r="D181" s="8" t="str">
        <f>IF(מלאי!D181&lt;&gt;"",מלאי!H181,"")</f>
        <v>Desert</v>
      </c>
      <c r="E181" s="8"/>
      <c r="F181" s="8"/>
      <c r="G181" s="8"/>
      <c r="H181" s="8"/>
      <c r="I181" s="8"/>
      <c r="J181" s="8"/>
      <c r="K181" s="8"/>
      <c r="L181" s="8"/>
    </row>
    <row r="182" spans="1:12" ht="15" customHeight="1" x14ac:dyDescent="0.35">
      <c r="A182" s="8" t="str">
        <f>IF(מלאי!D182&lt;&gt;"",מלאי!D182,"")</f>
        <v>OV 014</v>
      </c>
      <c r="B182" s="8" t="str">
        <f>IF(מלאי!D182&lt;&gt;"",מלאי!B182&amp;IF(מלאי!C182&lt;&gt;""," ("&amp;מלאי!C182&amp;")",""),"")</f>
        <v>Vest cover</v>
      </c>
      <c r="C182" s="8" t="str">
        <f>IF(מלאי!D182&lt;&gt;"",מלאי!A182,"")</f>
        <v>Uniform</v>
      </c>
      <c r="D182" s="8" t="str">
        <f>IF(מלאי!D182&lt;&gt;"",מלאי!H182,"")</f>
        <v>Woodland</v>
      </c>
      <c r="E182" s="8"/>
      <c r="F182" s="8"/>
      <c r="G182" s="8"/>
      <c r="H182" s="8"/>
      <c r="I182" s="8"/>
      <c r="J182" s="8"/>
      <c r="K182" s="8"/>
      <c r="L182" s="8"/>
    </row>
    <row r="183" spans="1:12" ht="15" customHeight="1" x14ac:dyDescent="0.35">
      <c r="A183" s="8" t="str">
        <f>IF(מלאי!D183&lt;&gt;"",מלאי!D183,"")</f>
        <v>יריעה אטומה תצוגה</v>
      </c>
      <c r="B183" s="8" t="str">
        <f>IF(מלאי!D183&lt;&gt;"",מלאי!B183&amp;IF(מלאי!C183&lt;&gt;""," ("&amp;מלאי!C183&amp;")",""),"")</f>
        <v>Water Proof Survival Blanket (V1)</v>
      </c>
      <c r="C183" s="8" t="str">
        <f>IF(מלאי!D183&lt;&gt;"",מלאי!A183,"")</f>
        <v>Blankets</v>
      </c>
      <c r="D183" s="8" t="str">
        <f>IF(מלאי!D183&lt;&gt;"",מלאי!H183,"")</f>
        <v>Woodland Brown</v>
      </c>
      <c r="E183" s="8"/>
      <c r="F183" s="8"/>
      <c r="G183" s="8"/>
      <c r="H183" s="8"/>
      <c r="I183" s="8"/>
      <c r="J183" s="8"/>
      <c r="K183" s="8"/>
      <c r="L183" s="8"/>
    </row>
    <row r="184" spans="1:12" ht="15" customHeight="1" x14ac:dyDescent="0.35">
      <c r="A184" s="8" t="str">
        <f>IF(מלאי!D184&lt;&gt;"",מלאי!D184,"")</f>
        <v>יריעה אטומה הדגמה</v>
      </c>
      <c r="B184" s="8" t="str">
        <f>IF(מלאי!D184&lt;&gt;"",מלאי!B184&amp;IF(מלאי!C184&lt;&gt;""," ("&amp;מלאי!C184&amp;")",""),"")</f>
        <v>Water Proof Survival Blanket (V1)</v>
      </c>
      <c r="C184" s="8" t="str">
        <f>IF(מלאי!D184&lt;&gt;"",מלאי!A184,"")</f>
        <v>Blankets</v>
      </c>
      <c r="D184" s="8" t="str">
        <f>IF(מלאי!D184&lt;&gt;"",מלאי!H184,"")</f>
        <v>Kestrel</v>
      </c>
      <c r="E184" s="8"/>
      <c r="F184" s="8"/>
      <c r="G184" s="8"/>
      <c r="H184" s="8"/>
      <c r="I184" s="8"/>
      <c r="J184" s="8"/>
      <c r="K184" s="8"/>
      <c r="L184" s="8"/>
    </row>
    <row r="185" spans="1:12" ht="15" customHeight="1" x14ac:dyDescent="0.35">
      <c r="A185" s="8" t="str">
        <f>IF(מלאי!D185&lt;&gt;"",מלאי!D185,"")</f>
        <v>מאלט - לmrzr</v>
      </c>
      <c r="B185" s="8" t="str">
        <f>IF(מלאי!D185&lt;&gt;"",מלאי!B185&amp;IF(מלאי!C185&lt;&gt;""," ("&amp;מלאי!C185&amp;")",""),"")</f>
        <v>חלקים של עמדות</v>
      </c>
      <c r="C185" s="8" t="str">
        <f>IF(מלאי!D185&lt;&gt;"",מלאי!A185,"")</f>
        <v>Accessories</v>
      </c>
      <c r="D185" s="8">
        <f>IF(מלאי!D185&lt;&gt;"",מלאי!H185,"")</f>
        <v>0</v>
      </c>
      <c r="E185" s="8"/>
      <c r="F185" s="8"/>
      <c r="G185" s="8"/>
      <c r="H185" s="8"/>
      <c r="I185" s="8"/>
      <c r="J185" s="8"/>
      <c r="K185" s="8"/>
      <c r="L185" s="8"/>
    </row>
    <row r="186" spans="1:12" ht="15" customHeight="1" x14ac:dyDescent="0.35">
      <c r="A186" s="8" t="str">
        <f>IF(מלאי!D186&lt;&gt;"",מלאי!D186,"")</f>
        <v>רשת לקטים 9*9</v>
      </c>
      <c r="B186" s="8" t="str">
        <f>IF(מלאי!D186&lt;&gt;"",מלאי!B186&amp;IF(מלאי!C186&lt;&gt;""," ("&amp;מלאי!C186&amp;")",""),"")</f>
        <v>חלקים של עמדות</v>
      </c>
      <c r="C186" s="8" t="str">
        <f>IF(מלאי!D186&lt;&gt;"",מלאי!A186,"")</f>
        <v>Accessories</v>
      </c>
      <c r="D186" s="8">
        <f>IF(מלאי!D186&lt;&gt;"",מלאי!H186,"")</f>
        <v>0</v>
      </c>
      <c r="E186" s="8"/>
      <c r="F186" s="8"/>
      <c r="G186" s="8"/>
      <c r="H186" s="8"/>
      <c r="I186" s="8"/>
      <c r="J186" s="8"/>
      <c r="K186" s="8"/>
      <c r="L186" s="8"/>
    </row>
    <row r="187" spans="1:12" ht="15" customHeight="1" x14ac:dyDescent="0.35">
      <c r="A187" s="8" t="str">
        <f>IF(מלאי!D187&lt;&gt;"",מלאי!D187,"")</f>
        <v>IRR מדגים</v>
      </c>
      <c r="B187" s="8" t="str">
        <f>IF(מלאי!D187&lt;&gt;"",מלאי!B187&amp;IF(מלאי!C187&lt;&gt;""," ("&amp;מלאי!C187&amp;")",""),"")</f>
        <v>יריעת החשכה</v>
      </c>
      <c r="C187" s="8" t="str">
        <f>IF(מלאי!D187&lt;&gt;"",מלאי!A187,"")</f>
        <v>Blankets</v>
      </c>
      <c r="D187" s="8">
        <f>IF(מלאי!D187&lt;&gt;"",מלאי!H187,"")</f>
        <v>0</v>
      </c>
      <c r="E187" s="8"/>
      <c r="F187" s="8"/>
      <c r="G187" s="8"/>
      <c r="H187" s="8"/>
      <c r="I187" s="8"/>
      <c r="J187" s="8"/>
      <c r="K187" s="8"/>
      <c r="L187" s="8"/>
    </row>
    <row r="188" spans="1:12" ht="15" customHeight="1" x14ac:dyDescent="0.35">
      <c r="A188" s="8" t="str">
        <f>IF(מלאי!D188&lt;&gt;"",מלאי!D188,"")</f>
        <v>עמדת חוד 1</v>
      </c>
      <c r="B188" s="8" t="str">
        <f>IF(מלאי!D188&lt;&gt;"",מלאי!B188&amp;IF(מלאי!C188&lt;&gt;""," ("&amp;מלאי!C188&amp;")",""),"")</f>
        <v>עמדת חוד (V1)</v>
      </c>
      <c r="C188" s="8" t="str">
        <f>IF(מלאי!D188&lt;&gt;"",מלאי!A188,"")</f>
        <v>Hide Site</v>
      </c>
      <c r="D188" s="8" t="str">
        <f>IF(מלאי!D188&lt;&gt;"",מלאי!H188,"")</f>
        <v>Ever-Green</v>
      </c>
      <c r="E188" s="8"/>
      <c r="F188" s="8"/>
      <c r="G188" s="8"/>
      <c r="H188" s="8"/>
      <c r="I188" s="8"/>
      <c r="J188" s="8"/>
      <c r="K188" s="8"/>
      <c r="L188" s="8"/>
    </row>
    <row r="189" spans="1:12" ht="15" customHeight="1" x14ac:dyDescent="0.35">
      <c r="A189" s="8" t="str">
        <f>IF(מלאי!D189&lt;&gt;"",מלאי!D189,"")</f>
        <v>עמדת חוד 2</v>
      </c>
      <c r="B189" s="8" t="str">
        <f>IF(מלאי!D189&lt;&gt;"",מלאי!B189&amp;IF(מלאי!C189&lt;&gt;""," ("&amp;מלאי!C189&amp;")",""),"")</f>
        <v>עמדת חוד (V1)</v>
      </c>
      <c r="C189" s="8" t="str">
        <f>IF(מלאי!D189&lt;&gt;"",מלאי!A189,"")</f>
        <v>Hide Site</v>
      </c>
      <c r="D189" s="8" t="str">
        <f>IF(מלאי!D189&lt;&gt;"",מלאי!H189,"")</f>
        <v>Ever-Green</v>
      </c>
      <c r="E189" s="8"/>
      <c r="F189" s="8"/>
      <c r="G189" s="8"/>
      <c r="H189" s="8"/>
      <c r="I189" s="8"/>
      <c r="J189" s="8"/>
      <c r="K189" s="8"/>
      <c r="L189" s="8"/>
    </row>
    <row r="190" spans="1:12" ht="15" customHeight="1" x14ac:dyDescent="0.35">
      <c r="A190" s="8" t="str">
        <f>IF(מלאי!D190&lt;&gt;"",מלאי!D190,"")</f>
        <v>רשת הצללה להדגמות</v>
      </c>
      <c r="B190" s="8" t="str">
        <f>IF(מלאי!D190&lt;&gt;"",מלאי!B190&amp;IF(מלאי!C190&lt;&gt;""," ("&amp;מלאי!C190&amp;")",""),"")</f>
        <v>רשת הצללה (V1)</v>
      </c>
      <c r="C190" s="8" t="str">
        <f>IF(מלאי!D190&lt;&gt;"",מלאי!A190,"")</f>
        <v>Platform Hide Site</v>
      </c>
      <c r="D190" s="8" t="str">
        <f>IF(מלאי!D190&lt;&gt;"",מלאי!H190,"")</f>
        <v>Desert</v>
      </c>
      <c r="E190" s="8"/>
      <c r="F190" s="8"/>
      <c r="G190" s="8"/>
      <c r="H190" s="8"/>
      <c r="I190" s="8"/>
      <c r="J190" s="8"/>
      <c r="K190" s="8"/>
      <c r="L190" s="8"/>
    </row>
    <row r="191" spans="1:12" ht="15" customHeight="1" x14ac:dyDescent="0.35">
      <c r="A191" s="8" t="str">
        <f>IF(מלאי!D191&lt;&gt;"",מלאי!D191,"")</f>
        <v>bagi hs 1</v>
      </c>
      <c r="B191" s="8" t="str">
        <f>IF(מלאי!D191&lt;&gt;"",מלאי!B191&amp;IF(מלאי!C191&lt;&gt;""," ("&amp;מלאי!C191&amp;")",""),"")</f>
        <v xml:space="preserve"> (bagi)</v>
      </c>
      <c r="C191" s="8" t="str">
        <f>IF(מלאי!D191&lt;&gt;"",מלאי!A191,"")</f>
        <v>Platform Hide Site</v>
      </c>
      <c r="D191" s="8" t="str">
        <f>IF(מלאי!D191&lt;&gt;"",מלאי!H191,"")</f>
        <v>Ever-Green</v>
      </c>
      <c r="E191" s="8"/>
      <c r="F191" s="8"/>
      <c r="G191" s="8"/>
      <c r="H191" s="8"/>
      <c r="I191" s="8"/>
      <c r="J191" s="8"/>
      <c r="K191" s="8"/>
      <c r="L191" s="8"/>
    </row>
    <row r="192" spans="1:12" ht="15" customHeight="1" x14ac:dyDescent="0.35">
      <c r="A192" s="8" t="str">
        <f>IF(מלאי!D192&lt;&gt;"",מלאי!D192,"")</f>
        <v>UNI 002</v>
      </c>
      <c r="B192" s="8" t="str">
        <f>IF(מלאי!D192&lt;&gt;"",מלאי!B192&amp;IF(מלאי!C192&lt;&gt;""," ("&amp;מלאי!C192&amp;")",""),"")</f>
        <v>Boonie hat (V1)</v>
      </c>
      <c r="C192" s="8" t="str">
        <f>IF(מלאי!D192&lt;&gt;"",מלאי!A192,"")</f>
        <v>Uniform</v>
      </c>
      <c r="D192" s="8" t="str">
        <f>IF(מלאי!D192&lt;&gt;"",מלאי!H192,"")</f>
        <v>Kestrel</v>
      </c>
      <c r="E192" s="8"/>
      <c r="F192" s="8"/>
      <c r="G192" s="8"/>
      <c r="H192" s="8"/>
      <c r="I192" s="8"/>
      <c r="J192" s="8"/>
      <c r="K192" s="8"/>
      <c r="L192" s="8"/>
    </row>
    <row r="193" spans="1:12" ht="15" customHeight="1" x14ac:dyDescent="0.35">
      <c r="A193" s="8" t="str">
        <f>IF(מלאי!D193&lt;&gt;"",מלאי!D193,"")</f>
        <v>UNI 049</v>
      </c>
      <c r="B193" s="8" t="str">
        <f>IF(מלאי!D193&lt;&gt;"",מלאי!B193&amp;IF(מלאי!C193&lt;&gt;""," ("&amp;מלאי!C193&amp;")",""),"")</f>
        <v>Pants (ישראלי)</v>
      </c>
      <c r="C193" s="8" t="str">
        <f>IF(מלאי!D193&lt;&gt;"",מלאי!A193,"")</f>
        <v>Uniform</v>
      </c>
      <c r="D193" s="8" t="str">
        <f>IF(מלאי!D193&lt;&gt;"",מלאי!H193,"")</f>
        <v>Kestrel</v>
      </c>
      <c r="E193" s="8"/>
      <c r="F193" s="8"/>
      <c r="G193" s="8"/>
      <c r="H193" s="8"/>
      <c r="I193" s="8"/>
      <c r="J193" s="8"/>
      <c r="K193" s="8"/>
      <c r="L193" s="8"/>
    </row>
    <row r="194" spans="1:12" ht="15" customHeight="1" x14ac:dyDescent="0.35">
      <c r="A194" s="8" t="str">
        <f>IF(מלאי!D194&lt;&gt;"",מלאי!D194,"")</f>
        <v>UNI 063</v>
      </c>
      <c r="B194" s="8" t="str">
        <f>IF(מלאי!D194&lt;&gt;"",מלאי!B194&amp;IF(מלאי!C194&lt;&gt;""," ("&amp;מלאי!C194&amp;")",""),"")</f>
        <v>Balaclava (ישראלי)</v>
      </c>
      <c r="C194" s="8" t="str">
        <f>IF(מלאי!D194&lt;&gt;"",מלאי!A194,"")</f>
        <v>Uniform</v>
      </c>
      <c r="D194" s="8" t="str">
        <f>IF(מלאי!D194&lt;&gt;"",מלאי!H194,"")</f>
        <v>Marine</v>
      </c>
      <c r="E194" s="8"/>
      <c r="F194" s="8"/>
      <c r="G194" s="8"/>
      <c r="H194" s="8"/>
      <c r="I194" s="8"/>
      <c r="J194" s="8"/>
      <c r="K194" s="8"/>
      <c r="L194" s="8"/>
    </row>
    <row r="195" spans="1:12" ht="15" customHeight="1" x14ac:dyDescent="0.35">
      <c r="A195" s="8" t="str">
        <f>IF(מלאי!D195&lt;&gt;"",מלאי!D195,"")</f>
        <v>UNI 064</v>
      </c>
      <c r="B195" s="8" t="str">
        <f>IF(מלאי!D195&lt;&gt;"",מלאי!B195&amp;IF(מלאי!C195&lt;&gt;""," ("&amp;מלאי!C195&amp;")",""),"")</f>
        <v>Pants (Eclipse)</v>
      </c>
      <c r="C195" s="8" t="str">
        <f>IF(מלאי!D195&lt;&gt;"",מלאי!A195,"")</f>
        <v>Uniform</v>
      </c>
      <c r="D195" s="8" t="str">
        <f>IF(מלאי!D195&lt;&gt;"",מלאי!H195,"")</f>
        <v>Kestrel</v>
      </c>
      <c r="E195" s="8"/>
      <c r="F195" s="8"/>
      <c r="G195" s="8"/>
      <c r="H195" s="8"/>
      <c r="I195" s="8"/>
      <c r="J195" s="8"/>
      <c r="K195" s="8"/>
      <c r="L195" s="8"/>
    </row>
    <row r="196" spans="1:12" ht="15" customHeight="1" x14ac:dyDescent="0.35">
      <c r="A196" s="8" t="str">
        <f>IF(מלאי!D196&lt;&gt;"",מלאי!D196,"")</f>
        <v>UNI 065</v>
      </c>
      <c r="B196" s="8" t="str">
        <f>IF(מלאי!D196&lt;&gt;"",מלאי!B196&amp;IF(מלאי!C196&lt;&gt;""," ("&amp;מלאי!C196&amp;")",""),"")</f>
        <v>Shirt (Eclipse)</v>
      </c>
      <c r="C196" s="8" t="str">
        <f>IF(מלאי!D196&lt;&gt;"",מלאי!A196,"")</f>
        <v>Uniform</v>
      </c>
      <c r="D196" s="8" t="str">
        <f>IF(מלאי!D196&lt;&gt;"",מלאי!H196,"")</f>
        <v>Kestrel</v>
      </c>
      <c r="E196" s="8"/>
      <c r="F196" s="8"/>
      <c r="G196" s="8"/>
      <c r="H196" s="8"/>
      <c r="I196" s="8"/>
      <c r="J196" s="8"/>
      <c r="K196" s="8"/>
      <c r="L196" s="8"/>
    </row>
    <row r="197" spans="1:12" ht="15" customHeight="1" x14ac:dyDescent="0.35">
      <c r="A197" s="8" t="str">
        <f>IF(מלאי!D197&lt;&gt;"",מלאי!D197,"")</f>
        <v>UNI 066</v>
      </c>
      <c r="B197" s="8" t="str">
        <f>IF(מלאי!D197&lt;&gt;"",מלאי!B197&amp;IF(מלאי!C197&lt;&gt;""," ("&amp;מלאי!C197&amp;")",""),"")</f>
        <v>Pants (Eclipse)</v>
      </c>
      <c r="C197" s="8" t="str">
        <f>IF(מלאי!D197&lt;&gt;"",מלאי!A197,"")</f>
        <v>Uniform</v>
      </c>
      <c r="D197" s="8" t="str">
        <f>IF(מלאי!D197&lt;&gt;"",מלאי!H197,"")</f>
        <v>Kestrel</v>
      </c>
      <c r="E197" s="8"/>
      <c r="F197" s="8"/>
      <c r="G197" s="8"/>
      <c r="H197" s="8"/>
      <c r="I197" s="8"/>
      <c r="J197" s="8"/>
      <c r="K197" s="8"/>
      <c r="L197" s="8"/>
    </row>
    <row r="198" spans="1:12" ht="15" customHeight="1" x14ac:dyDescent="0.35">
      <c r="A198" s="8" t="str">
        <f>IF(מלאי!D198&lt;&gt;"",מלאי!D198,"")</f>
        <v>UNI 067</v>
      </c>
      <c r="B198" s="8" t="str">
        <f>IF(מלאי!D198&lt;&gt;"",מלאי!B198&amp;IF(מלאי!C198&lt;&gt;""," ("&amp;מלאי!C198&amp;")",""),"")</f>
        <v>Shirt (Eclipse)</v>
      </c>
      <c r="C198" s="8" t="str">
        <f>IF(מלאי!D198&lt;&gt;"",מלאי!A198,"")</f>
        <v>Uniform</v>
      </c>
      <c r="D198" s="8" t="str">
        <f>IF(מלאי!D198&lt;&gt;"",מלאי!H198,"")</f>
        <v>Kestrel</v>
      </c>
      <c r="E198" s="8"/>
      <c r="F198" s="8"/>
      <c r="G198" s="8"/>
      <c r="H198" s="8"/>
      <c r="I198" s="8"/>
      <c r="J198" s="8"/>
      <c r="K198" s="8"/>
      <c r="L198" s="8"/>
    </row>
    <row r="199" spans="1:12" ht="15" customHeight="1" x14ac:dyDescent="0.35">
      <c r="A199" s="8" t="str">
        <f>IF(מלאי!D199&lt;&gt;"",מלאי!D199,"")</f>
        <v>UNI 068</v>
      </c>
      <c r="B199" s="8" t="str">
        <f>IF(מלאי!D199&lt;&gt;"",מלאי!B199&amp;IF(מלאי!C199&lt;&gt;""," ("&amp;מלאי!C199&amp;")",""),"")</f>
        <v>Headcover (ELITE)</v>
      </c>
      <c r="C199" s="8" t="str">
        <f>IF(מלאי!D199&lt;&gt;"",מלאי!A199,"")</f>
        <v>Uniform</v>
      </c>
      <c r="D199" s="8" t="str">
        <f>IF(מלאי!D199&lt;&gt;"",מלאי!H199,"")</f>
        <v>Kestrel</v>
      </c>
      <c r="E199" s="8"/>
      <c r="F199" s="8"/>
      <c r="G199" s="8"/>
      <c r="H199" s="8"/>
      <c r="I199" s="8"/>
      <c r="J199" s="8"/>
      <c r="K199" s="8"/>
      <c r="L199" s="8"/>
    </row>
    <row r="200" spans="1:12" ht="15" customHeight="1" x14ac:dyDescent="0.35">
      <c r="A200" s="8" t="str">
        <f>IF(מלאי!D200&lt;&gt;"",מלאי!D200,"")</f>
        <v>UNI 069</v>
      </c>
      <c r="B200" s="8" t="str">
        <f>IF(מלאי!D200&lt;&gt;"",מלאי!B200&amp;IF(מלאי!C200&lt;&gt;""," ("&amp;מלאי!C200&amp;")",""),"")</f>
        <v>Headcover (ELITE)</v>
      </c>
      <c r="C200" s="8" t="str">
        <f>IF(מלאי!D200&lt;&gt;"",מלאי!A200,"")</f>
        <v>Uniform</v>
      </c>
      <c r="D200" s="8" t="str">
        <f>IF(מלאי!D200&lt;&gt;"",מלאי!H200,"")</f>
        <v>Kestrel</v>
      </c>
      <c r="E200" s="8"/>
      <c r="F200" s="8"/>
      <c r="G200" s="8"/>
      <c r="H200" s="8"/>
      <c r="I200" s="8"/>
      <c r="J200" s="8"/>
      <c r="K200" s="8"/>
      <c r="L200" s="8"/>
    </row>
    <row r="201" spans="1:12" ht="15" customHeight="1" x14ac:dyDescent="0.35">
      <c r="A201" s="8" t="str">
        <f>IF(מלאי!D201&lt;&gt;"",מלאי!D201,"")</f>
        <v>UNI 069</v>
      </c>
      <c r="B201" s="8" t="str">
        <f>IF(מלאי!D201&lt;&gt;"",מלאי!B201&amp;IF(מלאי!C201&lt;&gt;""," ("&amp;מלאי!C201&amp;")",""),"")</f>
        <v>Headcover (ELITE)</v>
      </c>
      <c r="C201" s="8" t="str">
        <f>IF(מלאי!D201&lt;&gt;"",מלאי!A201,"")</f>
        <v>Uniform</v>
      </c>
      <c r="D201" s="8" t="str">
        <f>IF(מלאי!D201&lt;&gt;"",מלאי!H201,"")</f>
        <v>Kestrel</v>
      </c>
      <c r="E201" s="8"/>
      <c r="F201" s="8"/>
      <c r="G201" s="8"/>
      <c r="H201" s="8"/>
      <c r="I201" s="8"/>
      <c r="J201" s="8"/>
      <c r="K201" s="8"/>
      <c r="L201" s="8"/>
    </row>
    <row r="202" spans="1:12" ht="15" customHeight="1" x14ac:dyDescent="0.35">
      <c r="A202" s="8" t="str">
        <f>IF(מלאי!D202&lt;&gt;"",מלאי!D202,"")</f>
        <v>UNI 071</v>
      </c>
      <c r="B202" s="8" t="str">
        <f>IF(מלאי!D202&lt;&gt;"",מלאי!B202&amp;IF(מלאי!C202&lt;&gt;""," ("&amp;מלאי!C202&amp;")",""),"")</f>
        <v>Headcover (ELITE)</v>
      </c>
      <c r="C202" s="8" t="str">
        <f>IF(מלאי!D202&lt;&gt;"",מלאי!A202,"")</f>
        <v>Uniform</v>
      </c>
      <c r="D202" s="8" t="str">
        <f>IF(מלאי!D202&lt;&gt;"",מלאי!H202,"")</f>
        <v>Kestrel</v>
      </c>
      <c r="E202" s="8"/>
      <c r="F202" s="8"/>
      <c r="G202" s="8"/>
      <c r="H202" s="8"/>
      <c r="I202" s="8"/>
      <c r="J202" s="8"/>
      <c r="K202" s="8"/>
      <c r="L202" s="8"/>
    </row>
    <row r="203" spans="1:12" ht="15" customHeight="1" x14ac:dyDescent="0.35">
      <c r="A203" s="8" t="str">
        <f>IF(מלאי!D203&lt;&gt;"",מלאי!D203,"")</f>
        <v>AC 001</v>
      </c>
      <c r="B203" s="8" t="str">
        <f>IF(מלאי!D203&lt;&gt;"",מלאי!B203&amp;IF(מלאי!C203&lt;&gt;""," ("&amp;מלאי!C203&amp;")",""),"")</f>
        <v>Bag cover 90L</v>
      </c>
      <c r="C203" s="8" t="str">
        <f>IF(מלאי!D203&lt;&gt;"",מלאי!A203,"")</f>
        <v>Accessories</v>
      </c>
      <c r="D203" s="8" t="str">
        <f>IF(מלאי!D203&lt;&gt;"",מלאי!H203,"")</f>
        <v>Woodland Brown</v>
      </c>
      <c r="E203" s="8"/>
      <c r="F203" s="8"/>
      <c r="G203" s="8"/>
      <c r="H203" s="8"/>
      <c r="I203" s="8"/>
      <c r="J203" s="8"/>
      <c r="K203" s="8"/>
      <c r="L203" s="8"/>
    </row>
    <row r="204" spans="1:12" ht="15" customHeight="1" x14ac:dyDescent="0.35">
      <c r="A204" s="8" t="str">
        <f>IF(מלאי!D204&lt;&gt;"",מלאי!D204,"")</f>
        <v>AC 002</v>
      </c>
      <c r="B204" s="8" t="str">
        <f>IF(מלאי!D204&lt;&gt;"",מלאי!B204&amp;IF(מלאי!C204&lt;&gt;""," ("&amp;מלאי!C204&amp;")",""),"")</f>
        <v>Bag cover 90L</v>
      </c>
      <c r="C204" s="8" t="str">
        <f>IF(מלאי!D204&lt;&gt;"",מלאי!A204,"")</f>
        <v>Accessories</v>
      </c>
      <c r="D204" s="8" t="str">
        <f>IF(מלאי!D204&lt;&gt;"",מלאי!H204,"")</f>
        <v>Kestrel</v>
      </c>
      <c r="E204" s="8"/>
      <c r="F204" s="8"/>
      <c r="G204" s="8"/>
      <c r="H204" s="8"/>
      <c r="I204" s="8"/>
      <c r="J204" s="8"/>
      <c r="K204" s="8"/>
      <c r="L204" s="8"/>
    </row>
    <row r="205" spans="1:12" ht="15" customHeight="1" x14ac:dyDescent="0.35">
      <c r="A205" s="8" t="str">
        <f>IF(מלאי!D205&lt;&gt;"",מלאי!D205,"")</f>
        <v>AC 003</v>
      </c>
      <c r="B205" s="8" t="str">
        <f>IF(מלאי!D205&lt;&gt;"",מלאי!B205&amp;IF(מלאי!C205&lt;&gt;""," ("&amp;מלאי!C205&amp;")",""),"")</f>
        <v>Bag cover 90L</v>
      </c>
      <c r="C205" s="8" t="str">
        <f>IF(מלאי!D205&lt;&gt;"",מלאי!A205,"")</f>
        <v>Accessories</v>
      </c>
      <c r="D205" s="8" t="str">
        <f>IF(מלאי!D205&lt;&gt;"",מלאי!H205,"")</f>
        <v>Kestrel</v>
      </c>
      <c r="E205" s="8"/>
      <c r="F205" s="8"/>
      <c r="G205" s="8"/>
      <c r="H205" s="8"/>
      <c r="I205" s="8"/>
      <c r="J205" s="8"/>
      <c r="K205" s="8"/>
      <c r="L205" s="8"/>
    </row>
    <row r="206" spans="1:12" ht="15" customHeight="1" x14ac:dyDescent="0.35">
      <c r="A206" s="8" t="str">
        <f>IF(מלאי!D206&lt;&gt;"",מלאי!D206,"")</f>
        <v>UNI072</v>
      </c>
      <c r="B206" s="8" t="str">
        <f>IF(מלאי!D206&lt;&gt;"",מלאי!B206&amp;IF(מלאי!C206&lt;&gt;""," ("&amp;מלאי!C206&amp;")",""),"")</f>
        <v>Balaclava</v>
      </c>
      <c r="C206" s="8" t="str">
        <f>IF(מלאי!D206&lt;&gt;"",מלאי!A206,"")</f>
        <v>Uniform</v>
      </c>
      <c r="D206" s="8" t="str">
        <f>IF(מלאי!D206&lt;&gt;"",מלאי!H206,"")</f>
        <v>Fresh Snow</v>
      </c>
      <c r="E206" s="8"/>
      <c r="F206" s="8"/>
      <c r="G206" s="8"/>
      <c r="H206" s="8"/>
      <c r="I206" s="8"/>
      <c r="J206" s="8"/>
      <c r="K206" s="8"/>
      <c r="L206" s="8"/>
    </row>
    <row r="207" spans="1:12" ht="15" customHeight="1" x14ac:dyDescent="0.35">
      <c r="A207" s="8" t="str">
        <f>IF(מלאי!D207&lt;&gt;"",מלאי!D207,"")</f>
        <v>MAY1</v>
      </c>
      <c r="B207" s="8" t="str">
        <f>IF(מלאי!D207&lt;&gt;"",מלאי!B207&amp;IF(מלאי!C207&lt;&gt;""," ("&amp;מלאי!C207&amp;")",""),"")</f>
        <v>May Suit (one side)</v>
      </c>
      <c r="C207" s="8" t="str">
        <f>IF(מלאי!D207&lt;&gt;"",מלאי!A207,"")</f>
        <v>OverGarment</v>
      </c>
      <c r="D207" s="8" t="str">
        <f>IF(מלאי!D207&lt;&gt;"",מלאי!H207,"")</f>
        <v>Forest Green</v>
      </c>
      <c r="E207" s="8"/>
      <c r="F207" s="8"/>
      <c r="G207" s="8"/>
      <c r="H207" s="8"/>
      <c r="I207" s="8"/>
      <c r="J207" s="8"/>
      <c r="K207" s="8"/>
      <c r="L207" s="8"/>
    </row>
    <row r="208" spans="1:12" ht="15" customHeight="1" x14ac:dyDescent="0.35">
      <c r="A208" s="8" t="str">
        <f>IF(מלאי!D208&lt;&gt;"",מלאי!D208,"")</f>
        <v>Inbar A8</v>
      </c>
      <c r="B208" s="8" t="str">
        <f>IF(מלאי!D208&lt;&gt;"",מלאי!B208&amp;IF(מלאי!C208&lt;&gt;""," ("&amp;מלאי!C208&amp;")",""),"")</f>
        <v>Poncho Inbar (V1)</v>
      </c>
      <c r="C208" s="8" t="str">
        <f>IF(מלאי!D208&lt;&gt;"",מלאי!A208,"")</f>
        <v>OverGarment</v>
      </c>
      <c r="D208" s="8" t="str">
        <f>IF(מלאי!D208&lt;&gt;"",מלאי!H208,"")</f>
        <v>Forest Green</v>
      </c>
      <c r="E208" s="8"/>
      <c r="F208" s="8"/>
      <c r="G208" s="8"/>
      <c r="H208" s="8"/>
      <c r="I208" s="8"/>
      <c r="J208" s="8"/>
      <c r="K208" s="8"/>
      <c r="L208" s="8"/>
    </row>
    <row r="209" spans="1:12" ht="15" customHeight="1" x14ac:dyDescent="0.35">
      <c r="A209" s="8" t="str">
        <f>IF(מלאי!D209&lt;&gt;"",מלאי!D209,"")</f>
        <v>poncho inbar b 3d sampals</v>
      </c>
      <c r="B209" s="8" t="str">
        <f>IF(מלאי!D209&lt;&gt;"",מלאי!B209&amp;IF(מלאי!C209&lt;&gt;""," ("&amp;מלאי!C209&amp;")",""),"")</f>
        <v>Poncho Inbar 3D (v2)</v>
      </c>
      <c r="C209" s="8" t="str">
        <f>IF(מלאי!D209&lt;&gt;"",מלאי!A209,"")</f>
        <v>OverGarment</v>
      </c>
      <c r="D209" s="8" t="str">
        <f>IF(מלאי!D209&lt;&gt;"",מלאי!H209,"")</f>
        <v>Woodland Brown</v>
      </c>
      <c r="E209" s="8"/>
      <c r="F209" s="8"/>
      <c r="G209" s="8"/>
      <c r="H209" s="8"/>
      <c r="I209" s="8"/>
      <c r="J209" s="8"/>
      <c r="K209" s="8"/>
      <c r="L209" s="8"/>
    </row>
    <row r="210" spans="1:12" ht="15" customHeight="1" x14ac:dyDescent="0.35">
      <c r="A210" s="8" t="str">
        <f>IF(מלאי!D210&lt;&gt;"",מלאי!D210,"")</f>
        <v>UNI 038</v>
      </c>
      <c r="B210" s="8" t="str">
        <f>IF(מלאי!D210&lt;&gt;"",מלאי!B210&amp;IF(מלאי!C210&lt;&gt;""," ("&amp;מלאי!C210&amp;")",""),"")</f>
        <v>Headcover (ELITE)</v>
      </c>
      <c r="C210" s="8" t="str">
        <f>IF(מלאי!D210&lt;&gt;"",מלאי!A210,"")</f>
        <v>Uniform</v>
      </c>
      <c r="D210" s="8" t="str">
        <f>IF(מלאי!D210&lt;&gt;"",מלאי!H210,"")</f>
        <v>Kestrel</v>
      </c>
      <c r="E210" s="8"/>
      <c r="F210" s="8"/>
      <c r="G210" s="8"/>
      <c r="H210" s="8"/>
      <c r="I210" s="8"/>
      <c r="J210" s="8"/>
      <c r="K210" s="8"/>
      <c r="L210" s="8"/>
    </row>
    <row r="211" spans="1:12" ht="15" customHeight="1" x14ac:dyDescent="0.35">
      <c r="A211" s="8" t="str">
        <f>IF(מלאי!D211&lt;&gt;"",מלאי!D211,"")</f>
        <v>UNI 047</v>
      </c>
      <c r="B211" s="8" t="str">
        <f>IF(מלאי!D211&lt;&gt;"",מלאי!B211&amp;IF(מלאי!C211&lt;&gt;""," ("&amp;מלאי!C211&amp;")",""),"")</f>
        <v>Pants (ישראלי)</v>
      </c>
      <c r="C211" s="8" t="str">
        <f>IF(מלאי!D211&lt;&gt;"",מלאי!A211,"")</f>
        <v>Uniform</v>
      </c>
      <c r="D211" s="8" t="str">
        <f>IF(מלאי!D211&lt;&gt;"",מלאי!H211,"")</f>
        <v>Kestrel</v>
      </c>
      <c r="E211" s="8"/>
      <c r="F211" s="8"/>
      <c r="G211" s="8"/>
      <c r="H211" s="8"/>
      <c r="I211" s="8"/>
      <c r="J211" s="8"/>
      <c r="K211" s="8"/>
      <c r="L211" s="8"/>
    </row>
    <row r="212" spans="1:12" ht="15" customHeight="1" x14ac:dyDescent="0.35">
      <c r="A212" s="8" t="str">
        <f>IF(מלאי!D212&lt;&gt;"",מלאי!D212,"")</f>
        <v>UNI 048</v>
      </c>
      <c r="B212" s="8" t="str">
        <f>IF(מלאי!D212&lt;&gt;"",מלאי!B212&amp;IF(מלאי!C212&lt;&gt;""," ("&amp;מלאי!C212&amp;")",""),"")</f>
        <v>Pants (ישראלי)</v>
      </c>
      <c r="C212" s="8" t="str">
        <f>IF(מלאי!D212&lt;&gt;"",מלאי!A212,"")</f>
        <v>Uniform</v>
      </c>
      <c r="D212" s="8" t="str">
        <f>IF(מלאי!D212&lt;&gt;"",מלאי!H212,"")</f>
        <v>Kestrel</v>
      </c>
      <c r="E212" s="8"/>
      <c r="F212" s="8"/>
      <c r="G212" s="8"/>
      <c r="H212" s="8"/>
      <c r="I212" s="8"/>
      <c r="J212" s="8"/>
      <c r="K212" s="8"/>
      <c r="L212" s="8"/>
    </row>
    <row r="213" spans="1:12" ht="15" customHeight="1" x14ac:dyDescent="0.35">
      <c r="A213" s="8" t="str">
        <f>IF(מלאי!D213&lt;&gt;"",מלאי!D213,"")</f>
        <v>UNI 004</v>
      </c>
      <c r="B213" s="8" t="str">
        <f>IF(מלאי!D213&lt;&gt;"",מלאי!B213&amp;IF(מלאי!C213&lt;&gt;""," ("&amp;מלאי!C213&amp;")",""),"")</f>
        <v>Shirt (Maritime)</v>
      </c>
      <c r="C213" s="8" t="str">
        <f>IF(מלאי!D213&lt;&gt;"",מלאי!A213,"")</f>
        <v>Uniform</v>
      </c>
      <c r="D213" s="8" t="str">
        <f>IF(מלאי!D213&lt;&gt;"",מלאי!H213,"")</f>
        <v>Kestrel</v>
      </c>
      <c r="E213" s="8"/>
      <c r="F213" s="8"/>
      <c r="G213" s="8"/>
      <c r="H213" s="8"/>
      <c r="I213" s="8"/>
      <c r="J213" s="8"/>
      <c r="K213" s="8"/>
      <c r="L213" s="8"/>
    </row>
    <row r="214" spans="1:12" ht="15" customHeight="1" x14ac:dyDescent="0.35">
      <c r="A214" s="8" t="str">
        <f>IF(מלאי!D214&lt;&gt;"",מלאי!D214,"")</f>
        <v>UNI 046</v>
      </c>
      <c r="B214" s="8" t="str">
        <f>IF(מלאי!D214&lt;&gt;"",מלאי!B214&amp;IF(מלאי!C214&lt;&gt;""," ("&amp;מלאי!C214&amp;")",""),"")</f>
        <v>Pants (ישראלי)</v>
      </c>
      <c r="C214" s="8" t="str">
        <f>IF(מלאי!D214&lt;&gt;"",מלאי!A214,"")</f>
        <v>Uniform</v>
      </c>
      <c r="D214" s="8" t="str">
        <f>IF(מלאי!D214&lt;&gt;"",מלאי!H214,"")</f>
        <v>Kestrel</v>
      </c>
      <c r="E214" s="8"/>
      <c r="F214" s="8"/>
      <c r="G214" s="8"/>
      <c r="H214" s="8"/>
      <c r="I214" s="8"/>
      <c r="J214" s="8"/>
      <c r="K214" s="8"/>
      <c r="L214" s="8"/>
    </row>
    <row r="215" spans="1:12" ht="15" customHeight="1" x14ac:dyDescent="0.35">
      <c r="A215" s="8" t="str">
        <f>IF(מלאי!D215&lt;&gt;"",מלאי!D215,"")</f>
        <v xml:space="preserve">U-036  </v>
      </c>
      <c r="B215" s="8" t="str">
        <f>IF(מלאי!D215&lt;&gt;"",מלאי!B215&amp;IF(מלאי!C215&lt;&gt;""," ("&amp;מלאי!C215&amp;")",""),"")</f>
        <v>Pants (MERON)</v>
      </c>
      <c r="C215" s="8" t="str">
        <f>IF(מלאי!D215&lt;&gt;"",מלאי!A215,"")</f>
        <v>Uniform</v>
      </c>
      <c r="D215" s="8" t="str">
        <f>IF(מלאי!D215&lt;&gt;"",מלאי!H215,"")</f>
        <v>Kestrel</v>
      </c>
      <c r="E215" s="8"/>
      <c r="F215" s="8"/>
      <c r="G215" s="8"/>
      <c r="H215" s="8"/>
      <c r="I215" s="8"/>
      <c r="J215" s="8"/>
      <c r="K215" s="8"/>
      <c r="L215" s="8"/>
    </row>
    <row r="216" spans="1:12" ht="15" customHeight="1" x14ac:dyDescent="0.35">
      <c r="A216" s="8" t="str">
        <f>IF(מלאי!D216&lt;&gt;"",מלאי!D216,"")</f>
        <v xml:space="preserve">U-090  </v>
      </c>
      <c r="B216" s="8" t="str">
        <f>IF(מלאי!D216&lt;&gt;"",מלאי!B216&amp;IF(מלאי!C216&lt;&gt;""," ("&amp;מלאי!C216&amp;")",""),"")</f>
        <v>Pants (Eclipse)</v>
      </c>
      <c r="C216" s="8" t="str">
        <f>IF(מלאי!D216&lt;&gt;"",מלאי!A216,"")</f>
        <v>Uniform</v>
      </c>
      <c r="D216" s="8" t="str">
        <f>IF(מלאי!D216&lt;&gt;"",מלאי!H216,"")</f>
        <v>Ever-Green</v>
      </c>
      <c r="E216" s="8"/>
      <c r="F216" s="8"/>
      <c r="G216" s="8"/>
      <c r="H216" s="8"/>
      <c r="I216" s="8"/>
      <c r="J216" s="8"/>
      <c r="K216" s="8"/>
      <c r="L216" s="8"/>
    </row>
    <row r="217" spans="1:12" ht="15" customHeight="1" x14ac:dyDescent="0.35">
      <c r="A217" s="8" t="str">
        <f>IF(מלאי!D217&lt;&gt;"",מלאי!D217,"")</f>
        <v xml:space="preserve">U-036  </v>
      </c>
      <c r="B217" s="8" t="str">
        <f>IF(מלאי!D217&lt;&gt;"",מלאי!B217&amp;IF(מלאי!C217&lt;&gt;""," ("&amp;מלאי!C217&amp;")",""),"")</f>
        <v>Shirt (ARBEL)</v>
      </c>
      <c r="C217" s="8" t="str">
        <f>IF(מלאי!D217&lt;&gt;"",מלאי!A217,"")</f>
        <v>Uniform</v>
      </c>
      <c r="D217" s="8" t="str">
        <f>IF(מלאי!D217&lt;&gt;"",מלאי!H217,"")</f>
        <v>Kestrel</v>
      </c>
      <c r="E217" s="8"/>
      <c r="F217" s="8"/>
      <c r="G217" s="8"/>
      <c r="H217" s="8"/>
      <c r="I217" s="8"/>
      <c r="J217" s="8"/>
      <c r="K217" s="8"/>
      <c r="L217" s="8"/>
    </row>
    <row r="218" spans="1:12" ht="15" customHeight="1" x14ac:dyDescent="0.35">
      <c r="A218" s="8" t="str">
        <f>IF(מלאי!D218&lt;&gt;"",מלאי!D218,"")</f>
        <v xml:space="preserve">U-036  </v>
      </c>
      <c r="B218" s="8" t="str">
        <f>IF(מלאי!D218&lt;&gt;"",מלאי!B218&amp;IF(מלאי!C218&lt;&gt;""," ("&amp;מלאי!C218&amp;")",""),"")</f>
        <v>Pants (ARBEL)</v>
      </c>
      <c r="C218" s="8" t="str">
        <f>IF(מלאי!D218&lt;&gt;"",מלאי!A218,"")</f>
        <v>Uniform</v>
      </c>
      <c r="D218" s="8" t="str">
        <f>IF(מלאי!D218&lt;&gt;"",מלאי!H218,"")</f>
        <v>Kestrel</v>
      </c>
      <c r="E218" s="8"/>
      <c r="F218" s="8"/>
      <c r="G218" s="8"/>
      <c r="H218" s="8"/>
      <c r="I218" s="8"/>
      <c r="J218" s="8"/>
      <c r="K218" s="8"/>
      <c r="L218" s="8"/>
    </row>
    <row r="219" spans="1:12" ht="15" customHeight="1" x14ac:dyDescent="0.35">
      <c r="A219" s="8" t="str">
        <f>IF(מלאי!D219&lt;&gt;"",מלאי!D219,"")</f>
        <v>U-091</v>
      </c>
      <c r="B219" s="8" t="e">
        <f>IF(מלאי!D219&lt;&gt;"",מלאי!C219&amp;IF(מלאי!#REF!&lt;&gt;""," ("&amp;מלאי!#REF!&amp;")",""),"")</f>
        <v>#REF!</v>
      </c>
      <c r="C219" s="8" t="str">
        <f>IF(מלאי!D219&lt;&gt;"",מלאי!A219,"")</f>
        <v>Uniform</v>
      </c>
      <c r="D219" s="8" t="str">
        <f>IF(מלאי!D219&lt;&gt;"",מלאי!H219,"")</f>
        <v>Kestrel</v>
      </c>
      <c r="E219" s="8"/>
      <c r="F219" s="8"/>
      <c r="G219" s="8"/>
      <c r="H219" s="8"/>
      <c r="I219" s="8"/>
      <c r="J219" s="8"/>
      <c r="K219" s="8"/>
      <c r="L219" s="8"/>
    </row>
    <row r="220" spans="1:12" ht="15" customHeight="1" x14ac:dyDescent="0.35">
      <c r="A220" s="8" t="str">
        <f>IF(מלאי!D220&lt;&gt;"",מלאי!D220,"")</f>
        <v>UNI 042</v>
      </c>
      <c r="B220" s="8" t="str">
        <f>IF(מלאי!D220&lt;&gt;"",מלאי!B220&amp;IF(מלאי!C220&lt;&gt;""," ("&amp;מלאי!C220&amp;")",""),"")</f>
        <v>Headcover (ELITE)</v>
      </c>
      <c r="C220" s="8" t="str">
        <f>IF(מלאי!D220&lt;&gt;"",מלאי!A220,"")</f>
        <v>Uniform</v>
      </c>
      <c r="D220" s="8" t="str">
        <f>IF(מלאי!D220&lt;&gt;"",מלאי!H220,"")</f>
        <v>Kestrel</v>
      </c>
      <c r="E220" s="8"/>
      <c r="F220" s="8"/>
      <c r="G220" s="8"/>
      <c r="H220" s="8"/>
      <c r="I220" s="8"/>
      <c r="J220" s="8"/>
      <c r="K220" s="8"/>
      <c r="L220" s="8"/>
    </row>
    <row r="221" spans="1:12" ht="15" customHeight="1" x14ac:dyDescent="0.35">
      <c r="A221" s="8" t="str">
        <f>IF(מלאי!D221&lt;&gt;"",מלאי!D221,"")</f>
        <v/>
      </c>
      <c r="B221" s="8" t="str">
        <f>IF(מלאי!D221&lt;&gt;"",מלאי!B221&amp;IF(מלאי!C221&lt;&gt;""," ("&amp;מלאי!C221&amp;")",""),"")</f>
        <v/>
      </c>
      <c r="C221" s="8" t="str">
        <f>IF(מלאי!D221&lt;&gt;"",מלאי!A221,"")</f>
        <v/>
      </c>
      <c r="D221" s="8" t="str">
        <f>IF(מלאי!D221&lt;&gt;"",מלאי!H221,"")</f>
        <v/>
      </c>
      <c r="E221" s="8"/>
      <c r="F221" s="8"/>
      <c r="G221" s="8"/>
      <c r="H221" s="8"/>
      <c r="I221" s="8"/>
      <c r="J221" s="8"/>
      <c r="K221" s="8"/>
      <c r="L221" s="8"/>
    </row>
    <row r="222" spans="1:12" ht="15" customHeight="1" x14ac:dyDescent="0.35">
      <c r="A222" s="8" t="str">
        <f>IF(מלאי!D222&lt;&gt;"",מלאי!D222,"")</f>
        <v/>
      </c>
      <c r="B222" s="8" t="str">
        <f>IF(מלאי!D222&lt;&gt;"",מלאי!B222&amp;IF(מלאי!C222&lt;&gt;""," ("&amp;מלאי!C222&amp;")",""),"")</f>
        <v/>
      </c>
      <c r="C222" s="8" t="str">
        <f>IF(מלאי!D222&lt;&gt;"",מלאי!A222,"")</f>
        <v/>
      </c>
      <c r="D222" s="8" t="str">
        <f>IF(מלאי!D222&lt;&gt;"",מלאי!H222,"")</f>
        <v/>
      </c>
      <c r="E222" s="8"/>
      <c r="F222" s="8"/>
      <c r="G222" s="8"/>
      <c r="H222" s="8"/>
      <c r="I222" s="8"/>
      <c r="J222" s="8"/>
      <c r="K222" s="8"/>
      <c r="L222" s="8"/>
    </row>
    <row r="223" spans="1:12" ht="15" customHeight="1" x14ac:dyDescent="0.35">
      <c r="A223" s="8" t="str">
        <f>IF(מלאי!D223&lt;&gt;"",מלאי!D223,"")</f>
        <v/>
      </c>
      <c r="B223" s="8" t="str">
        <f>IF(מלאי!D223&lt;&gt;"",מלאי!B223&amp;IF(מלאי!C223&lt;&gt;""," ("&amp;מלאי!C223&amp;")",""),"")</f>
        <v/>
      </c>
      <c r="C223" s="8" t="str">
        <f>IF(מלאי!D223&lt;&gt;"",מלאי!A223,"")</f>
        <v/>
      </c>
      <c r="D223" s="8" t="str">
        <f>IF(מלאי!D223&lt;&gt;"",מלאי!H223,"")</f>
        <v/>
      </c>
      <c r="E223" s="8"/>
      <c r="F223" s="8"/>
      <c r="G223" s="8"/>
      <c r="H223" s="8"/>
      <c r="I223" s="8"/>
      <c r="J223" s="8"/>
      <c r="K223" s="8"/>
      <c r="L223" s="8"/>
    </row>
    <row r="224" spans="1:12" ht="15" customHeight="1" x14ac:dyDescent="0.35">
      <c r="A224" s="8" t="str">
        <f>IF(מלאי!D224&lt;&gt;"",מלאי!D224,"")</f>
        <v/>
      </c>
      <c r="B224" s="8" t="str">
        <f>IF(מלאי!D224&lt;&gt;"",מלאי!B224&amp;IF(מלאי!C224&lt;&gt;""," ("&amp;מלאי!C224&amp;")",""),"")</f>
        <v/>
      </c>
      <c r="C224" s="8" t="str">
        <f>IF(מלאי!D224&lt;&gt;"",מלאי!A224,"")</f>
        <v/>
      </c>
      <c r="D224" s="8" t="str">
        <f>IF(מלאי!D224&lt;&gt;"",מלאי!H224,"")</f>
        <v/>
      </c>
      <c r="E224" s="8"/>
      <c r="F224" s="8"/>
      <c r="G224" s="8"/>
      <c r="H224" s="8"/>
      <c r="I224" s="8"/>
      <c r="J224" s="8"/>
      <c r="K224" s="8"/>
      <c r="L224" s="8"/>
    </row>
    <row r="225" spans="1:12" ht="15" customHeight="1" x14ac:dyDescent="0.35">
      <c r="A225" s="8" t="str">
        <f>IF(מלאי!D225&lt;&gt;"",מלאי!D225,"")</f>
        <v/>
      </c>
      <c r="B225" s="8" t="str">
        <f>IF(מלאי!D225&lt;&gt;"",מלאי!B225&amp;IF(מלאי!C225&lt;&gt;""," ("&amp;מלאי!C225&amp;")",""),"")</f>
        <v/>
      </c>
      <c r="C225" s="8" t="str">
        <f>IF(מלאי!D225&lt;&gt;"",מלאי!A225,"")</f>
        <v/>
      </c>
      <c r="D225" s="8" t="str">
        <f>IF(מלאי!D225&lt;&gt;"",מלאי!H225,"")</f>
        <v/>
      </c>
      <c r="E225" s="8"/>
      <c r="F225" s="8"/>
      <c r="G225" s="8"/>
      <c r="H225" s="8"/>
      <c r="I225" s="8"/>
      <c r="J225" s="8"/>
      <c r="K225" s="8"/>
      <c r="L225" s="8"/>
    </row>
    <row r="226" spans="1:12" ht="15" customHeight="1" x14ac:dyDescent="0.35">
      <c r="A226" s="8" t="str">
        <f>IF(מלאי!D226&lt;&gt;"",מלאי!D226,"")</f>
        <v/>
      </c>
      <c r="B226" s="8" t="str">
        <f>IF(מלאי!D226&lt;&gt;"",מלאי!B226&amp;IF(מלאי!C226&lt;&gt;""," ("&amp;מלאי!C226&amp;")",""),"")</f>
        <v/>
      </c>
      <c r="C226" s="8" t="str">
        <f>IF(מלאי!D226&lt;&gt;"",מלאי!A226,"")</f>
        <v/>
      </c>
      <c r="D226" s="8" t="str">
        <f>IF(מלאי!D226&lt;&gt;"",מלאי!H226,"")</f>
        <v/>
      </c>
      <c r="E226" s="8"/>
      <c r="F226" s="8"/>
      <c r="G226" s="8"/>
      <c r="H226" s="8"/>
      <c r="I226" s="8"/>
      <c r="J226" s="8"/>
      <c r="K226" s="8"/>
      <c r="L226" s="8"/>
    </row>
    <row r="227" spans="1:12" ht="15" customHeight="1" x14ac:dyDescent="0.35">
      <c r="A227" s="8" t="str">
        <f>IF(מלאי!D227&lt;&gt;"",מלאי!D227,"")</f>
        <v/>
      </c>
      <c r="B227" s="8" t="str">
        <f>IF(מלאי!D227&lt;&gt;"",מלאי!B227&amp;IF(מלאי!C227&lt;&gt;""," ("&amp;מלאי!C227&amp;")",""),"")</f>
        <v/>
      </c>
      <c r="C227" s="8" t="str">
        <f>IF(מלאי!D227&lt;&gt;"",מלאי!A227,"")</f>
        <v/>
      </c>
      <c r="D227" s="8" t="str">
        <f>IF(מלאי!D227&lt;&gt;"",מלאי!H227,"")</f>
        <v/>
      </c>
      <c r="E227" s="8"/>
      <c r="F227" s="8"/>
      <c r="G227" s="8"/>
      <c r="H227" s="8"/>
      <c r="I227" s="8"/>
      <c r="J227" s="8"/>
      <c r="K227" s="8"/>
      <c r="L227" s="8"/>
    </row>
    <row r="228" spans="1:12" ht="15" customHeight="1" x14ac:dyDescent="0.35">
      <c r="A228" s="8" t="str">
        <f>IF(מלאי!D228&lt;&gt;"",מלאי!D228,"")</f>
        <v/>
      </c>
      <c r="B228" s="8" t="str">
        <f>IF(מלאי!D228&lt;&gt;"",מלאי!B228&amp;IF(מלאי!C228&lt;&gt;""," ("&amp;מלאי!C228&amp;")",""),"")</f>
        <v/>
      </c>
      <c r="C228" s="8" t="str">
        <f>IF(מלאי!D228&lt;&gt;"",מלאי!A228,"")</f>
        <v/>
      </c>
      <c r="D228" s="8" t="str">
        <f>IF(מלאי!D228&lt;&gt;"",מלאי!H228,"")</f>
        <v/>
      </c>
      <c r="E228" s="8"/>
      <c r="F228" s="8"/>
      <c r="G228" s="8"/>
      <c r="H228" s="8"/>
      <c r="I228" s="8"/>
      <c r="J228" s="8"/>
      <c r="K228" s="8"/>
      <c r="L228" s="8"/>
    </row>
    <row r="229" spans="1:12" ht="15" customHeight="1" x14ac:dyDescent="0.35">
      <c r="A229" s="8" t="str">
        <f>IF(מלאי!D229&lt;&gt;"",מלאי!D229,"")</f>
        <v/>
      </c>
      <c r="B229" s="8" t="str">
        <f>IF(מלאי!D229&lt;&gt;"",מלאי!B229&amp;IF(מלאי!C229&lt;&gt;""," ("&amp;מלאי!C229&amp;")",""),"")</f>
        <v/>
      </c>
      <c r="C229" s="8" t="str">
        <f>IF(מלאי!D229&lt;&gt;"",מלאי!A229,"")</f>
        <v/>
      </c>
      <c r="D229" s="8" t="str">
        <f>IF(מלאי!D229&lt;&gt;"",מלאי!H229,"")</f>
        <v/>
      </c>
      <c r="E229" s="8"/>
      <c r="F229" s="8"/>
      <c r="G229" s="8"/>
      <c r="H229" s="8"/>
      <c r="I229" s="8"/>
      <c r="J229" s="8"/>
      <c r="K229" s="8"/>
      <c r="L229" s="8"/>
    </row>
    <row r="230" spans="1:12" ht="15" customHeight="1" x14ac:dyDescent="0.35">
      <c r="A230" s="8" t="str">
        <f>IF(מלאי!D230&lt;&gt;"",מלאי!D230,"")</f>
        <v/>
      </c>
      <c r="B230" s="8" t="str">
        <f>IF(מלאי!D230&lt;&gt;"",מלאי!B230&amp;IF(מלאי!C230&lt;&gt;""," ("&amp;מלאי!C230&amp;")",""),"")</f>
        <v/>
      </c>
      <c r="C230" s="8" t="str">
        <f>IF(מלאי!D230&lt;&gt;"",מלאי!A230,"")</f>
        <v/>
      </c>
      <c r="D230" s="8" t="str">
        <f>IF(מלאי!D230&lt;&gt;"",מלאי!H230,"")</f>
        <v/>
      </c>
      <c r="E230" s="8"/>
      <c r="F230" s="8"/>
      <c r="G230" s="8"/>
      <c r="H230" s="8"/>
      <c r="I230" s="8"/>
      <c r="J230" s="8"/>
      <c r="K230" s="8"/>
      <c r="L230" s="8"/>
    </row>
    <row r="231" spans="1:12" ht="15" customHeight="1" x14ac:dyDescent="0.35">
      <c r="A231" s="8" t="str">
        <f>IF(מלאי!D231&lt;&gt;"",מלאי!D231,"")</f>
        <v/>
      </c>
      <c r="B231" s="8" t="str">
        <f>IF(מלאי!D231&lt;&gt;"",מלאי!B231&amp;IF(מלאי!C231&lt;&gt;""," ("&amp;מלאי!C231&amp;")",""),"")</f>
        <v/>
      </c>
      <c r="C231" s="8" t="str">
        <f>IF(מלאי!D231&lt;&gt;"",מלאי!A231,"")</f>
        <v/>
      </c>
      <c r="D231" s="8" t="str">
        <f>IF(מלאי!D231&lt;&gt;"",מלאי!H231,"")</f>
        <v/>
      </c>
      <c r="E231" s="8"/>
      <c r="F231" s="8"/>
      <c r="G231" s="8"/>
      <c r="H231" s="8"/>
      <c r="I231" s="8"/>
      <c r="J231" s="8"/>
      <c r="K231" s="8"/>
      <c r="L231" s="8"/>
    </row>
    <row r="232" spans="1:12" ht="15" customHeight="1" x14ac:dyDescent="0.35">
      <c r="A232" s="8" t="str">
        <f>IF(מלאי!D232&lt;&gt;"",מלאי!D232,"")</f>
        <v/>
      </c>
      <c r="B232" s="8" t="str">
        <f>IF(מלאי!D232&lt;&gt;"",מלאי!B232&amp;IF(מלאי!C232&lt;&gt;""," ("&amp;מלאי!C232&amp;")",""),"")</f>
        <v/>
      </c>
      <c r="C232" s="8" t="str">
        <f>IF(מלאי!D232&lt;&gt;"",מלאי!A232,"")</f>
        <v/>
      </c>
      <c r="D232" s="8" t="str">
        <f>IF(מלאי!D232&lt;&gt;"",מלאי!H232,"")</f>
        <v/>
      </c>
      <c r="E232" s="8"/>
      <c r="F232" s="8"/>
      <c r="G232" s="8"/>
      <c r="H232" s="8"/>
      <c r="I232" s="8"/>
      <c r="J232" s="8"/>
      <c r="K232" s="8"/>
      <c r="L232" s="8"/>
    </row>
    <row r="233" spans="1:12" ht="15" customHeight="1" x14ac:dyDescent="0.35">
      <c r="A233" s="8" t="str">
        <f>IF(מלאי!D233&lt;&gt;"",מלאי!D233,"")</f>
        <v/>
      </c>
      <c r="B233" s="8" t="str">
        <f>IF(מלאי!D233&lt;&gt;"",מלאי!B233&amp;IF(מלאי!C233&lt;&gt;""," ("&amp;מלאי!C233&amp;")",""),"")</f>
        <v/>
      </c>
      <c r="C233" s="8" t="str">
        <f>IF(מלאי!D233&lt;&gt;"",מלאי!A233,"")</f>
        <v/>
      </c>
      <c r="D233" s="8" t="str">
        <f>IF(מלאי!D233&lt;&gt;"",מלאי!H233,"")</f>
        <v/>
      </c>
      <c r="E233" s="8"/>
      <c r="F233" s="8"/>
      <c r="G233" s="8"/>
      <c r="H233" s="8"/>
      <c r="I233" s="8"/>
      <c r="J233" s="8"/>
      <c r="K233" s="8"/>
      <c r="L233" s="8"/>
    </row>
    <row r="234" spans="1:12" ht="15" customHeight="1" x14ac:dyDescent="0.35">
      <c r="A234" s="8" t="str">
        <f>IF(מלאי!D234&lt;&gt;"",מלאי!D234,"")</f>
        <v/>
      </c>
      <c r="B234" s="8" t="str">
        <f>IF(מלאי!D234&lt;&gt;"",מלאי!B234&amp;IF(מלאי!C234&lt;&gt;""," ("&amp;מלאי!C234&amp;")",""),"")</f>
        <v/>
      </c>
      <c r="C234" s="8" t="str">
        <f>IF(מלאי!D234&lt;&gt;"",מלאי!A234,"")</f>
        <v/>
      </c>
      <c r="D234" s="8" t="str">
        <f>IF(מלאי!D234&lt;&gt;"",מלאי!H234,"")</f>
        <v/>
      </c>
      <c r="E234" s="8"/>
      <c r="F234" s="8"/>
      <c r="G234" s="8"/>
      <c r="H234" s="8"/>
      <c r="I234" s="8"/>
      <c r="J234" s="8"/>
      <c r="K234" s="8"/>
      <c r="L234" s="8"/>
    </row>
    <row r="235" spans="1:12" ht="15" customHeight="1" x14ac:dyDescent="0.35">
      <c r="A235" s="8" t="str">
        <f>IF(מלאי!D235&lt;&gt;"",מלאי!D235,"")</f>
        <v/>
      </c>
      <c r="B235" s="8" t="str">
        <f>IF(מלאי!D235&lt;&gt;"",מלאי!B235&amp;IF(מלאי!C235&lt;&gt;""," ("&amp;מלאי!C235&amp;")",""),"")</f>
        <v/>
      </c>
      <c r="C235" s="8" t="str">
        <f>IF(מלאי!D235&lt;&gt;"",מלאי!A235,"")</f>
        <v/>
      </c>
      <c r="D235" s="8" t="str">
        <f>IF(מלאי!D235&lt;&gt;"",מלאי!H235,"")</f>
        <v/>
      </c>
      <c r="E235" s="8"/>
      <c r="F235" s="8"/>
      <c r="G235" s="8"/>
      <c r="H235" s="8"/>
      <c r="I235" s="8"/>
      <c r="J235" s="8"/>
      <c r="K235" s="8"/>
      <c r="L235" s="8"/>
    </row>
    <row r="236" spans="1:12" ht="15" customHeight="1" x14ac:dyDescent="0.35">
      <c r="A236" s="8" t="str">
        <f>IF(מלאי!D236&lt;&gt;"",מלאי!D236,"")</f>
        <v/>
      </c>
      <c r="B236" s="8" t="str">
        <f>IF(מלאי!D236&lt;&gt;"",מלאי!B236&amp;IF(מלאי!C236&lt;&gt;""," ("&amp;מלאי!C236&amp;")",""),"")</f>
        <v/>
      </c>
      <c r="C236" s="8" t="str">
        <f>IF(מלאי!D236&lt;&gt;"",מלאי!A236,"")</f>
        <v/>
      </c>
      <c r="D236" s="8" t="str">
        <f>IF(מלאי!D236&lt;&gt;"",מלאי!H236,"")</f>
        <v/>
      </c>
      <c r="E236" s="8"/>
      <c r="F236" s="8"/>
      <c r="G236" s="8"/>
      <c r="H236" s="8"/>
      <c r="I236" s="8"/>
      <c r="J236" s="8"/>
      <c r="K236" s="8"/>
      <c r="L236" s="8"/>
    </row>
    <row r="237" spans="1:12" ht="15" customHeight="1" x14ac:dyDescent="0.35">
      <c r="A237" s="8" t="str">
        <f>IF(מלאי!D237&lt;&gt;"",מלאי!D237,"")</f>
        <v/>
      </c>
      <c r="B237" s="8" t="str">
        <f>IF(מלאי!D237&lt;&gt;"",מלאי!B237&amp;IF(מלאי!C237&lt;&gt;""," ("&amp;מלאי!C237&amp;")",""),"")</f>
        <v/>
      </c>
      <c r="C237" s="8" t="str">
        <f>IF(מלאי!D237&lt;&gt;"",מלאי!A237,"")</f>
        <v/>
      </c>
      <c r="D237" s="8" t="str">
        <f>IF(מלאי!D237&lt;&gt;"",מלאי!H237,"")</f>
        <v/>
      </c>
      <c r="E237" s="8"/>
      <c r="F237" s="8"/>
      <c r="G237" s="8"/>
      <c r="H237" s="8"/>
      <c r="I237" s="8"/>
      <c r="J237" s="8"/>
      <c r="K237" s="8"/>
      <c r="L237" s="8"/>
    </row>
    <row r="238" spans="1:12" ht="15" customHeight="1" x14ac:dyDescent="0.35">
      <c r="A238" s="8" t="str">
        <f>IF(מלאי!D238&lt;&gt;"",מלאי!D238,"")</f>
        <v/>
      </c>
      <c r="B238" s="8" t="str">
        <f>IF(מלאי!D238&lt;&gt;"",מלאי!B238&amp;IF(מלאי!C238&lt;&gt;""," ("&amp;מלאי!C238&amp;")",""),"")</f>
        <v/>
      </c>
      <c r="C238" s="8" t="str">
        <f>IF(מלאי!D238&lt;&gt;"",מלאי!A238,"")</f>
        <v/>
      </c>
      <c r="D238" s="8" t="str">
        <f>IF(מלאי!D238&lt;&gt;"",מלאי!H238,"")</f>
        <v/>
      </c>
      <c r="E238" s="8"/>
      <c r="F238" s="8"/>
      <c r="G238" s="8"/>
      <c r="H238" s="8"/>
      <c r="I238" s="8"/>
      <c r="J238" s="8"/>
      <c r="K238" s="8"/>
      <c r="L238" s="8"/>
    </row>
    <row r="239" spans="1:12" ht="15" customHeight="1" x14ac:dyDescent="0.35">
      <c r="A239" s="8" t="str">
        <f>IF(מלאי!D239&lt;&gt;"",מלאי!D239,"")</f>
        <v/>
      </c>
      <c r="B239" s="8" t="str">
        <f>IF(מלאי!D239&lt;&gt;"",מלאי!B239&amp;IF(מלאי!C239&lt;&gt;""," ("&amp;מלאי!C239&amp;")",""),"")</f>
        <v/>
      </c>
      <c r="C239" s="8" t="str">
        <f>IF(מלאי!D239&lt;&gt;"",מלאי!A239,"")</f>
        <v/>
      </c>
      <c r="D239" s="8" t="str">
        <f>IF(מלאי!D239&lt;&gt;"",מלאי!H239,"")</f>
        <v/>
      </c>
      <c r="E239" s="8"/>
      <c r="F239" s="8"/>
      <c r="G239" s="8"/>
      <c r="H239" s="8"/>
      <c r="I239" s="8"/>
      <c r="J239" s="8"/>
      <c r="K239" s="8"/>
      <c r="L239" s="8"/>
    </row>
    <row r="240" spans="1:12" ht="15" customHeight="1" x14ac:dyDescent="0.35">
      <c r="A240" s="8" t="str">
        <f>IF(מלאי!D240&lt;&gt;"",מלאי!D240,"")</f>
        <v/>
      </c>
      <c r="B240" s="8" t="str">
        <f>IF(מלאי!D240&lt;&gt;"",מלאי!B240&amp;IF(מלאי!C240&lt;&gt;""," ("&amp;מלאי!C240&amp;")",""),"")</f>
        <v/>
      </c>
      <c r="C240" s="8" t="str">
        <f>IF(מלאי!D240&lt;&gt;"",מלאי!A240,"")</f>
        <v/>
      </c>
      <c r="D240" s="8" t="str">
        <f>IF(מלאי!D240&lt;&gt;"",מלאי!H240,"")</f>
        <v/>
      </c>
      <c r="E240" s="8"/>
      <c r="F240" s="8"/>
      <c r="G240" s="8"/>
      <c r="H240" s="8"/>
      <c r="I240" s="8"/>
      <c r="J240" s="8"/>
      <c r="K240" s="8"/>
      <c r="L240" s="8"/>
    </row>
    <row r="241" spans="1:12" ht="15" customHeight="1" x14ac:dyDescent="0.35">
      <c r="A241" s="8" t="str">
        <f>IF(מלאי!D241&lt;&gt;"",מלאי!D241,"")</f>
        <v/>
      </c>
      <c r="B241" s="8" t="str">
        <f>IF(מלאי!D241&lt;&gt;"",מלאי!B241&amp;IF(מלאי!C241&lt;&gt;""," ("&amp;מלאי!C241&amp;")",""),"")</f>
        <v/>
      </c>
      <c r="C241" s="8" t="str">
        <f>IF(מלאי!D241&lt;&gt;"",מלאי!A241,"")</f>
        <v/>
      </c>
      <c r="D241" s="8" t="str">
        <f>IF(מלאי!D241&lt;&gt;"",מלאי!H241,"")</f>
        <v/>
      </c>
      <c r="E241" s="8"/>
      <c r="F241" s="8"/>
      <c r="G241" s="8"/>
      <c r="H241" s="8"/>
      <c r="I241" s="8"/>
      <c r="J241" s="8"/>
      <c r="K241" s="8"/>
      <c r="L241" s="8"/>
    </row>
    <row r="242" spans="1:12" ht="15" customHeight="1" x14ac:dyDescent="0.35">
      <c r="A242" s="8" t="str">
        <f>IF(מלאי!D242&lt;&gt;"",מלאי!D242,"")</f>
        <v/>
      </c>
      <c r="B242" s="8" t="str">
        <f>IF(מלאי!D242&lt;&gt;"",מלאי!B242&amp;IF(מלאי!C242&lt;&gt;""," ("&amp;מלאי!C242&amp;")",""),"")</f>
        <v/>
      </c>
      <c r="C242" s="8" t="str">
        <f>IF(מלאי!D242&lt;&gt;"",מלאי!A242,"")</f>
        <v/>
      </c>
      <c r="D242" s="8" t="str">
        <f>IF(מלאי!D242&lt;&gt;"",מלאי!H242,"")</f>
        <v/>
      </c>
      <c r="E242" s="8"/>
      <c r="F242" s="8"/>
      <c r="G242" s="8"/>
      <c r="H242" s="8"/>
      <c r="I242" s="8"/>
      <c r="J242" s="8"/>
      <c r="K242" s="8"/>
      <c r="L242" s="8"/>
    </row>
    <row r="243" spans="1:12" ht="15" customHeight="1" x14ac:dyDescent="0.35">
      <c r="A243" s="8" t="str">
        <f>IF(מלאי!D243&lt;&gt;"",מלאי!D243,"")</f>
        <v/>
      </c>
      <c r="B243" s="8" t="str">
        <f>IF(מלאי!D243&lt;&gt;"",מלאי!B243&amp;IF(מלאי!C243&lt;&gt;""," ("&amp;מלאי!C243&amp;")",""),"")</f>
        <v/>
      </c>
      <c r="C243" s="8" t="str">
        <f>IF(מלאי!D243&lt;&gt;"",מלאי!A243,"")</f>
        <v/>
      </c>
      <c r="D243" s="8" t="str">
        <f>IF(מלאי!D243&lt;&gt;"",מלאי!H243,"")</f>
        <v/>
      </c>
      <c r="E243" s="8"/>
      <c r="F243" s="8"/>
      <c r="G243" s="8"/>
      <c r="H243" s="8" t="str">
        <f>IF(מלאי!D243&lt;&gt;"",מלאי!I243,"")</f>
        <v/>
      </c>
      <c r="I243" s="8"/>
      <c r="J243" s="8"/>
      <c r="K243" s="8"/>
      <c r="L243" s="8"/>
    </row>
    <row r="244" spans="1:12" ht="15" customHeight="1" x14ac:dyDescent="0.35">
      <c r="A244" s="8" t="str">
        <f>IF(מלאי!D244&lt;&gt;"",מלאי!D244,"")</f>
        <v/>
      </c>
      <c r="B244" s="8" t="str">
        <f>IF(מלאי!D244&lt;&gt;"",מלאי!B244&amp;IF(מלאי!C244&lt;&gt;""," ("&amp;מלאי!C244&amp;")",""),"")</f>
        <v/>
      </c>
      <c r="C244" s="8" t="str">
        <f>IF(מלאי!D244&lt;&gt;"",מלאי!A244,"")</f>
        <v/>
      </c>
      <c r="D244" s="8" t="str">
        <f>IF(מלאי!D244&lt;&gt;"",מלאי!H244,"")</f>
        <v/>
      </c>
      <c r="E244" s="8"/>
      <c r="F244" s="8"/>
      <c r="G244" s="8"/>
      <c r="H244" s="8" t="str">
        <f>IF(מלאי!D244&lt;&gt;"",מלאי!I244,"")</f>
        <v/>
      </c>
      <c r="I244" s="8"/>
      <c r="J244" s="8"/>
      <c r="K244" s="8"/>
      <c r="L244" s="8"/>
    </row>
    <row r="245" spans="1:12" ht="15" customHeight="1" x14ac:dyDescent="0.35">
      <c r="A245" s="8" t="str">
        <f>IF(מלאי!D245&lt;&gt;"",מלאי!D245,"")</f>
        <v/>
      </c>
      <c r="B245" s="8" t="str">
        <f>IF(מלאי!D245&lt;&gt;"",מלאי!B245&amp;IF(מלאי!C245&lt;&gt;""," ("&amp;מלאי!C245&amp;")",""),"")</f>
        <v/>
      </c>
      <c r="C245" s="8" t="str">
        <f>IF(מלאי!D245&lt;&gt;"",מלאי!A245,"")</f>
        <v/>
      </c>
      <c r="D245" s="8" t="str">
        <f>IF(מלאי!D245&lt;&gt;"",מלאי!H245,"")</f>
        <v/>
      </c>
      <c r="E245" s="8"/>
      <c r="F245" s="8"/>
      <c r="G245" s="8"/>
      <c r="H245" s="8" t="str">
        <f>IF(מלאי!D245&lt;&gt;"",מלאי!I245,"")</f>
        <v/>
      </c>
      <c r="I245" s="8"/>
      <c r="J245" s="8"/>
      <c r="K245" s="8"/>
      <c r="L245" s="8"/>
    </row>
    <row r="246" spans="1:12" ht="15" customHeight="1" x14ac:dyDescent="0.35">
      <c r="A246" s="8" t="str">
        <f>IF(מלאי!D246&lt;&gt;"",מלאי!D246,"")</f>
        <v/>
      </c>
      <c r="B246" s="8" t="str">
        <f>IF(מלאי!D246&lt;&gt;"",מלאי!B246&amp;IF(מלאי!C246&lt;&gt;""," ("&amp;מלאי!C246&amp;")",""),"")</f>
        <v/>
      </c>
      <c r="C246" s="8" t="str">
        <f>IF(מלאי!D246&lt;&gt;"",מלאי!A246,"")</f>
        <v/>
      </c>
      <c r="D246" s="8" t="str">
        <f>IF(מלאי!D246&lt;&gt;"",מלאי!H246,"")</f>
        <v/>
      </c>
      <c r="E246" s="8"/>
      <c r="F246" s="8"/>
      <c r="G246" s="8"/>
      <c r="H246" s="8" t="str">
        <f>IF(מלאי!D246&lt;&gt;"",מלאי!I246,"")</f>
        <v/>
      </c>
      <c r="I246" s="8"/>
      <c r="J246" s="8"/>
      <c r="K246" s="8"/>
      <c r="L246" s="8"/>
    </row>
    <row r="247" spans="1:12" ht="15" customHeight="1" x14ac:dyDescent="0.35">
      <c r="A247" s="8" t="str">
        <f>IF(מלאי!D247&lt;&gt;"",מלאי!D247,"")</f>
        <v/>
      </c>
      <c r="B247" s="8" t="str">
        <f>IF(מלאי!D247&lt;&gt;"",מלאי!B247&amp;IF(מלאי!C247&lt;&gt;""," ("&amp;מלאי!C247&amp;")",""),"")</f>
        <v/>
      </c>
      <c r="C247" s="8" t="str">
        <f>IF(מלאי!D247&lt;&gt;"",מלאי!A247,"")</f>
        <v/>
      </c>
      <c r="D247" s="8" t="str">
        <f>IF(מלאי!D247&lt;&gt;"",מלאי!H247,"")</f>
        <v/>
      </c>
      <c r="E247" s="8"/>
      <c r="F247" s="8"/>
      <c r="G247" s="8"/>
      <c r="H247" s="8" t="str">
        <f>IF(מלאי!D247&lt;&gt;"",מלאי!I247,"")</f>
        <v/>
      </c>
      <c r="I247" s="8"/>
      <c r="J247" s="8"/>
      <c r="K247" s="8"/>
      <c r="L247" s="8"/>
    </row>
    <row r="248" spans="1:12" ht="15" customHeight="1" x14ac:dyDescent="0.35">
      <c r="A248" s="8" t="str">
        <f>IF(מלאי!D248&lt;&gt;"",מלאי!D248,"")</f>
        <v/>
      </c>
      <c r="B248" s="8" t="str">
        <f>IF(מלאי!D248&lt;&gt;"",מלאי!B248&amp;IF(מלאי!C248&lt;&gt;""," ("&amp;מלאי!C248&amp;")",""),"")</f>
        <v/>
      </c>
      <c r="C248" s="8" t="str">
        <f>IF(מלאי!D248&lt;&gt;"",מלאי!A248,"")</f>
        <v/>
      </c>
      <c r="D248" s="8" t="str">
        <f>IF(מלאי!D248&lt;&gt;"",מלאי!H248,"")</f>
        <v/>
      </c>
      <c r="E248" s="8"/>
      <c r="F248" s="8"/>
      <c r="G248" s="8"/>
      <c r="H248" s="8" t="str">
        <f>IF(מלאי!D248&lt;&gt;"",מלאי!I248,"")</f>
        <v/>
      </c>
      <c r="I248" s="8"/>
      <c r="J248" s="8"/>
      <c r="K248" s="8"/>
      <c r="L248" s="8"/>
    </row>
    <row r="249" spans="1:12" ht="15" customHeight="1" x14ac:dyDescent="0.35">
      <c r="A249" s="8" t="str">
        <f>IF(מלאי!D249&lt;&gt;"",מלאי!D249,"")</f>
        <v/>
      </c>
      <c r="B249" s="8" t="str">
        <f>IF(מלאי!D249&lt;&gt;"",מלאי!B249&amp;IF(מלאי!C249&lt;&gt;""," ("&amp;מלאי!C249&amp;")",""),"")</f>
        <v/>
      </c>
      <c r="C249" s="8" t="str">
        <f>IF(מלאי!D249&lt;&gt;"",מלאי!A249,"")</f>
        <v/>
      </c>
      <c r="D249" s="8" t="str">
        <f>IF(מלאי!D249&lt;&gt;"",מלאי!H249,"")</f>
        <v/>
      </c>
      <c r="E249" s="8"/>
      <c r="F249" s="8"/>
      <c r="G249" s="8"/>
      <c r="H249" s="8" t="str">
        <f>IF(מלאי!D249&lt;&gt;"",מלאי!I249,"")</f>
        <v/>
      </c>
      <c r="I249" s="8"/>
      <c r="J249" s="8"/>
      <c r="K249" s="8"/>
      <c r="L249" s="8"/>
    </row>
    <row r="250" spans="1:12" ht="15" customHeight="1" x14ac:dyDescent="0.35">
      <c r="A250" s="8" t="str">
        <f>IF(מלאי!D250&lt;&gt;"",מלאי!D250,"")</f>
        <v/>
      </c>
      <c r="B250" s="8" t="str">
        <f>IF(מלאי!D250&lt;&gt;"",מלאי!B250&amp;IF(מלאי!C250&lt;&gt;""," ("&amp;מלאי!C250&amp;")",""),"")</f>
        <v/>
      </c>
      <c r="C250" s="8" t="str">
        <f>IF(מלאי!D250&lt;&gt;"",מלאי!A250,"")</f>
        <v/>
      </c>
      <c r="D250" s="8" t="str">
        <f>IF(מלאי!D250&lt;&gt;"",מלאי!H250,"")</f>
        <v/>
      </c>
      <c r="E250" s="8"/>
      <c r="F250" s="8"/>
      <c r="G250" s="8"/>
      <c r="H250" s="8" t="str">
        <f>IF(מלאי!D250&lt;&gt;"",מלאי!I250,"")</f>
        <v/>
      </c>
      <c r="I250" s="8"/>
      <c r="J250" s="8"/>
      <c r="K250" s="8"/>
      <c r="L250" s="8"/>
    </row>
    <row r="251" spans="1:12" ht="15" customHeight="1" x14ac:dyDescent="0.35">
      <c r="A251" s="8" t="str">
        <f>IF(מלאי!D251&lt;&gt;"",מלאי!D251,"")</f>
        <v/>
      </c>
      <c r="B251" s="8" t="str">
        <f>IF(מלאי!D251&lt;&gt;"",מלאי!B251&amp;IF(מלאי!C251&lt;&gt;""," ("&amp;מלאי!C251&amp;")",""),"")</f>
        <v/>
      </c>
      <c r="C251" s="8" t="str">
        <f>IF(מלאי!D251&lt;&gt;"",מלאי!A251,"")</f>
        <v/>
      </c>
      <c r="D251" s="8" t="str">
        <f>IF(מלאי!D251&lt;&gt;"",מלאי!H251,"")</f>
        <v/>
      </c>
      <c r="E251" s="8"/>
      <c r="F251" s="8"/>
      <c r="G251" s="8"/>
      <c r="H251" s="8" t="str">
        <f>IF(מלאי!D251&lt;&gt;"",מלאי!I251,"")</f>
        <v/>
      </c>
      <c r="I251" s="8"/>
      <c r="J251" s="8"/>
      <c r="K251" s="8"/>
      <c r="L251" s="8"/>
    </row>
    <row r="252" spans="1:12" ht="15" customHeight="1" x14ac:dyDescent="0.35">
      <c r="A252" s="8" t="str">
        <f>IF(מלאי!D252&lt;&gt;"",מלאי!D252,"")</f>
        <v/>
      </c>
      <c r="B252" s="8" t="str">
        <f>IF(מלאי!D252&lt;&gt;"",מלאי!B252&amp;IF(מלאי!C252&lt;&gt;""," ("&amp;מלאי!C252&amp;")",""),"")</f>
        <v/>
      </c>
      <c r="C252" s="8" t="str">
        <f>IF(מלאי!D252&lt;&gt;"",מלאי!A252,"")</f>
        <v/>
      </c>
      <c r="D252" s="8" t="str">
        <f>IF(מלאי!D252&lt;&gt;"",מלאי!H252,"")</f>
        <v/>
      </c>
      <c r="E252" s="8"/>
      <c r="F252" s="8"/>
      <c r="G252" s="8"/>
      <c r="H252" s="8" t="str">
        <f>IF(מלאי!D252&lt;&gt;"",מלאי!I252,"")</f>
        <v/>
      </c>
      <c r="I252" s="8"/>
      <c r="J252" s="8"/>
      <c r="K252" s="8"/>
      <c r="L252" s="8"/>
    </row>
    <row r="253" spans="1:12" ht="15" customHeight="1" x14ac:dyDescent="0.35">
      <c r="A253" s="8" t="str">
        <f>IF(מלאי!D253&lt;&gt;"",מלאי!D253,"")</f>
        <v/>
      </c>
      <c r="B253" s="8" t="str">
        <f>IF(מלאי!D253&lt;&gt;"",מלאי!B253&amp;IF(מלאי!C253&lt;&gt;""," ("&amp;מלאי!C253&amp;")",""),"")</f>
        <v/>
      </c>
      <c r="C253" s="8" t="str">
        <f>IF(מלאי!D253&lt;&gt;"",מלאי!A253,"")</f>
        <v/>
      </c>
      <c r="D253" s="8" t="str">
        <f>IF(מלאי!D253&lt;&gt;"",מלאי!H253,"")</f>
        <v/>
      </c>
      <c r="E253" s="8"/>
      <c r="F253" s="8"/>
      <c r="G253" s="8"/>
      <c r="H253" s="8" t="str">
        <f>IF(מלאי!D253&lt;&gt;"",מלאי!I253,"")</f>
        <v/>
      </c>
      <c r="I253" s="8"/>
      <c r="J253" s="8"/>
      <c r="K253" s="8"/>
      <c r="L253" s="8"/>
    </row>
    <row r="254" spans="1:12" ht="15" customHeight="1" x14ac:dyDescent="0.35">
      <c r="A254" s="8" t="str">
        <f>IF(מלאי!D254&lt;&gt;"",מלאי!D254,"")</f>
        <v/>
      </c>
      <c r="B254" s="8" t="str">
        <f>IF(מלאי!D254&lt;&gt;"",מלאי!B254&amp;IF(מלאי!C254&lt;&gt;""," ("&amp;מלאי!C254&amp;")",""),"")</f>
        <v/>
      </c>
      <c r="C254" s="8" t="str">
        <f>IF(מלאי!D254&lt;&gt;"",מלאי!A254,"")</f>
        <v/>
      </c>
      <c r="D254" s="8" t="str">
        <f>IF(מלאי!D254&lt;&gt;"",מלאי!H254,"")</f>
        <v/>
      </c>
      <c r="E254" s="8"/>
      <c r="F254" s="8"/>
      <c r="G254" s="8"/>
      <c r="H254" s="8" t="str">
        <f>IF(מלאי!D254&lt;&gt;"",מלאי!I254,"")</f>
        <v/>
      </c>
      <c r="I254" s="8"/>
      <c r="J254" s="8"/>
      <c r="K254" s="8"/>
      <c r="L254" s="8"/>
    </row>
    <row r="255" spans="1:12" ht="15" customHeight="1" x14ac:dyDescent="0.35">
      <c r="A255" s="8" t="str">
        <f>IF(מלאי!D255&lt;&gt;"",מלאי!D255,"")</f>
        <v/>
      </c>
      <c r="B255" s="8" t="str">
        <f>IF(מלאי!D255&lt;&gt;"",מלאי!B255&amp;IF(מלאי!C255&lt;&gt;""," ("&amp;מלאי!C255&amp;")",""),"")</f>
        <v/>
      </c>
      <c r="C255" s="8" t="str">
        <f>IF(מלאי!D255&lt;&gt;"",מלאי!A255,"")</f>
        <v/>
      </c>
      <c r="D255" s="8" t="str">
        <f>IF(מלאי!D255&lt;&gt;"",מלאי!H255,"")</f>
        <v/>
      </c>
      <c r="E255" s="8"/>
      <c r="F255" s="8"/>
      <c r="G255" s="8"/>
      <c r="H255" s="8" t="str">
        <f>IF(מלאי!D255&lt;&gt;"",מלאי!I255,"")</f>
        <v/>
      </c>
      <c r="I255" s="8"/>
      <c r="J255" s="8"/>
      <c r="K255" s="8"/>
      <c r="L255" s="8"/>
    </row>
    <row r="256" spans="1:12" ht="15" customHeight="1" x14ac:dyDescent="0.35">
      <c r="A256" s="8" t="str">
        <f>IF(מלאי!D256&lt;&gt;"",מלאי!D256,"")</f>
        <v/>
      </c>
      <c r="B256" s="8" t="str">
        <f>IF(מלאי!D256&lt;&gt;"",מלאי!B256&amp;IF(מלאי!C256&lt;&gt;""," ("&amp;מלאי!C256&amp;")",""),"")</f>
        <v/>
      </c>
      <c r="C256" s="8" t="str">
        <f>IF(מלאי!D256&lt;&gt;"",מלאי!A256,"")</f>
        <v/>
      </c>
      <c r="D256" s="8" t="str">
        <f>IF(מלאי!D256&lt;&gt;"",מלאי!H256,"")</f>
        <v/>
      </c>
      <c r="E256" s="8"/>
      <c r="F256" s="8"/>
      <c r="G256" s="8"/>
      <c r="H256" s="8" t="str">
        <f>IF(מלאי!D256&lt;&gt;"",מלאי!I256,"")</f>
        <v/>
      </c>
      <c r="I256" s="8"/>
      <c r="J256" s="8"/>
      <c r="K256" s="8"/>
      <c r="L256" s="8"/>
    </row>
    <row r="257" spans="1:12" ht="15" customHeight="1" x14ac:dyDescent="0.35">
      <c r="A257" s="8" t="str">
        <f>IF(מלאי!D257&lt;&gt;"",מלאי!D257,"")</f>
        <v/>
      </c>
      <c r="B257" s="8" t="str">
        <f>IF(מלאי!D257&lt;&gt;"",מלאי!B257&amp;IF(מלאי!C257&lt;&gt;""," ("&amp;מלאי!C257&amp;")",""),"")</f>
        <v/>
      </c>
      <c r="C257" s="8" t="str">
        <f>IF(מלאי!D257&lt;&gt;"",מלאי!A257,"")</f>
        <v/>
      </c>
      <c r="D257" s="8" t="str">
        <f>IF(מלאי!D257&lt;&gt;"",מלאי!H257,"")</f>
        <v/>
      </c>
      <c r="E257" s="8"/>
      <c r="F257" s="8"/>
      <c r="G257" s="8"/>
      <c r="H257" s="8" t="str">
        <f>IF(מלאי!D257&lt;&gt;"",מלאי!I257,"")</f>
        <v/>
      </c>
      <c r="I257" s="8"/>
      <c r="J257" s="8"/>
      <c r="K257" s="8"/>
      <c r="L257" s="8"/>
    </row>
    <row r="258" spans="1:12" ht="15" customHeight="1" x14ac:dyDescent="0.35">
      <c r="A258" s="8" t="str">
        <f>IF(מלאי!D258&lt;&gt;"",מלאי!D258,"")</f>
        <v/>
      </c>
      <c r="B258" s="8" t="str">
        <f>IF(מלאי!D258&lt;&gt;"",מלאי!B258&amp;IF(מלאי!C258&lt;&gt;""," ("&amp;מלאי!C258&amp;")",""),"")</f>
        <v/>
      </c>
      <c r="C258" s="8" t="str">
        <f>IF(מלאי!D258&lt;&gt;"",מלאי!A258,"")</f>
        <v/>
      </c>
      <c r="D258" s="8" t="str">
        <f>IF(מלאי!D258&lt;&gt;"",מלאי!H258,"")</f>
        <v/>
      </c>
      <c r="E258" s="8"/>
      <c r="F258" s="8"/>
      <c r="G258" s="8"/>
      <c r="H258" s="8" t="str">
        <f>IF(מלאי!D258&lt;&gt;"",מלאי!I258,"")</f>
        <v/>
      </c>
      <c r="I258" s="8"/>
      <c r="J258" s="8"/>
      <c r="K258" s="8"/>
      <c r="L258" s="8"/>
    </row>
    <row r="259" spans="1:12" ht="15" customHeight="1" x14ac:dyDescent="0.35">
      <c r="A259" s="8" t="str">
        <f>IF(מלאי!D259&lt;&gt;"",מלאי!D259,"")</f>
        <v/>
      </c>
      <c r="B259" s="8" t="str">
        <f>IF(מלאי!D259&lt;&gt;"",מלאי!B259&amp;IF(מלאי!C259&lt;&gt;""," ("&amp;מלאי!C259&amp;")",""),"")</f>
        <v/>
      </c>
      <c r="C259" s="8" t="str">
        <f>IF(מלאי!D259&lt;&gt;"",מלאי!A259,"")</f>
        <v/>
      </c>
      <c r="D259" s="8" t="str">
        <f>IF(מלאי!D259&lt;&gt;"",מלאי!H259,"")</f>
        <v/>
      </c>
      <c r="E259" s="8"/>
      <c r="F259" s="8"/>
      <c r="G259" s="8"/>
      <c r="H259" s="8" t="str">
        <f>IF(מלאי!D259&lt;&gt;"",מלאי!I259,"")</f>
        <v/>
      </c>
      <c r="I259" s="8"/>
      <c r="J259" s="8"/>
      <c r="K259" s="8"/>
      <c r="L259" s="8"/>
    </row>
    <row r="260" spans="1:12" ht="15" customHeight="1" x14ac:dyDescent="0.35">
      <c r="A260" s="8" t="str">
        <f>IF(מלאי!D260&lt;&gt;"",מלאי!D260,"")</f>
        <v/>
      </c>
      <c r="B260" s="8" t="str">
        <f>IF(מלאי!D260&lt;&gt;"",מלאי!B260&amp;IF(מלאי!C260&lt;&gt;""," ("&amp;מלאי!C260&amp;")",""),"")</f>
        <v/>
      </c>
      <c r="C260" s="8" t="str">
        <f>IF(מלאי!D260&lt;&gt;"",מלאי!A260,"")</f>
        <v/>
      </c>
      <c r="D260" s="8" t="str">
        <f>IF(מלאי!D260&lt;&gt;"",מלאי!H260,"")</f>
        <v/>
      </c>
      <c r="E260" s="8"/>
      <c r="F260" s="8"/>
      <c r="G260" s="8"/>
      <c r="H260" s="8" t="str">
        <f>IF(מלאי!D260&lt;&gt;"",מלאי!I260,"")</f>
        <v/>
      </c>
      <c r="I260" s="8"/>
      <c r="J260" s="8"/>
      <c r="K260" s="8"/>
      <c r="L260" s="8"/>
    </row>
    <row r="261" spans="1:12" ht="15" customHeight="1" x14ac:dyDescent="0.35">
      <c r="A261" s="8" t="str">
        <f>IF(מלאי!D261&lt;&gt;"",מלאי!D261,"")</f>
        <v/>
      </c>
      <c r="B261" s="8" t="str">
        <f>IF(מלאי!D261&lt;&gt;"",מלאי!B261&amp;IF(מלאי!C261&lt;&gt;""," ("&amp;מלאי!C261&amp;")",""),"")</f>
        <v/>
      </c>
      <c r="C261" s="8" t="str">
        <f>IF(מלאי!D261&lt;&gt;"",מלאי!A261,"")</f>
        <v/>
      </c>
      <c r="D261" s="8" t="str">
        <f>IF(מלאי!D261&lt;&gt;"",מלאי!H261,"")</f>
        <v/>
      </c>
      <c r="E261" s="8"/>
      <c r="F261" s="8"/>
      <c r="G261" s="8"/>
      <c r="H261" s="8" t="str">
        <f>IF(מלאי!D261&lt;&gt;"",מלאי!I261,"")</f>
        <v/>
      </c>
      <c r="I261" s="8"/>
      <c r="J261" s="8"/>
      <c r="K261" s="8"/>
      <c r="L261" s="8"/>
    </row>
    <row r="262" spans="1:12" ht="15" customHeight="1" x14ac:dyDescent="0.35">
      <c r="A262" s="8" t="str">
        <f>IF(מלאי!D262&lt;&gt;"",מלאי!D262,"")</f>
        <v/>
      </c>
      <c r="B262" s="8" t="str">
        <f>IF(מלאי!D262&lt;&gt;"",מלאי!B262&amp;IF(מלאי!C262&lt;&gt;""," ("&amp;מלאי!C262&amp;")",""),"")</f>
        <v/>
      </c>
      <c r="C262" s="8" t="str">
        <f>IF(מלאי!D262&lt;&gt;"",מלאי!A262,"")</f>
        <v/>
      </c>
      <c r="D262" s="8" t="str">
        <f>IF(מלאי!D262&lt;&gt;"",מלאי!H262,"")</f>
        <v/>
      </c>
      <c r="E262" s="8"/>
      <c r="F262" s="8"/>
      <c r="G262" s="8"/>
      <c r="H262" s="8" t="str">
        <f>IF(מלאי!D262&lt;&gt;"",מלאי!I262,"")</f>
        <v/>
      </c>
      <c r="I262" s="8"/>
      <c r="J262" s="8"/>
      <c r="K262" s="8"/>
      <c r="L262" s="8"/>
    </row>
    <row r="263" spans="1:12" ht="15" customHeight="1" x14ac:dyDescent="0.35">
      <c r="A263" s="8" t="str">
        <f>IF(מלאי!D263&lt;&gt;"",מלאי!D263,"")</f>
        <v/>
      </c>
      <c r="B263" s="8" t="str">
        <f>IF(מלאי!D263&lt;&gt;"",מלאי!B263&amp;IF(מלאי!C263&lt;&gt;""," ("&amp;מלאי!C263&amp;")",""),"")</f>
        <v/>
      </c>
      <c r="C263" s="8" t="str">
        <f>IF(מלאי!D263&lt;&gt;"",מלאי!A263,"")</f>
        <v/>
      </c>
      <c r="D263" s="8" t="str">
        <f>IF(מלאי!D263&lt;&gt;"",מלאי!H263,"")</f>
        <v/>
      </c>
      <c r="E263" s="8"/>
      <c r="F263" s="8"/>
      <c r="G263" s="8"/>
      <c r="H263" s="8" t="str">
        <f>IF(מלאי!D263&lt;&gt;"",מלאי!I263,"")</f>
        <v/>
      </c>
      <c r="I263" s="8"/>
      <c r="J263" s="8"/>
      <c r="K263" s="8"/>
      <c r="L263" s="8"/>
    </row>
    <row r="264" spans="1:12" ht="15" customHeight="1" x14ac:dyDescent="0.35">
      <c r="A264" s="8" t="str">
        <f>IF(מלאי!D264&lt;&gt;"",מלאי!D264,"")</f>
        <v/>
      </c>
      <c r="B264" s="8" t="str">
        <f>IF(מלאי!D264&lt;&gt;"",מלאי!B264&amp;IF(מלאי!C264&lt;&gt;""," ("&amp;מלאי!C264&amp;")",""),"")</f>
        <v/>
      </c>
      <c r="C264" s="8" t="str">
        <f>IF(מלאי!D264&lt;&gt;"",מלאי!A264,"")</f>
        <v/>
      </c>
      <c r="D264" s="8" t="str">
        <f>IF(מלאי!D264&lt;&gt;"",מלאי!H264,"")</f>
        <v/>
      </c>
      <c r="E264" s="8"/>
      <c r="F264" s="8"/>
      <c r="G264" s="8"/>
      <c r="H264" s="8" t="str">
        <f>IF(מלאי!D264&lt;&gt;"",מלאי!I264,"")</f>
        <v/>
      </c>
      <c r="I264" s="8"/>
      <c r="J264" s="8"/>
      <c r="K264" s="8"/>
      <c r="L264" s="8"/>
    </row>
    <row r="265" spans="1:12" ht="15" customHeight="1" x14ac:dyDescent="0.35">
      <c r="A265" s="8" t="str">
        <f>IF(מלאי!D265&lt;&gt;"",מלאי!D265,"")</f>
        <v/>
      </c>
      <c r="B265" s="8" t="str">
        <f>IF(מלאי!D265&lt;&gt;"",מלאי!B265&amp;IF(מלאי!C265&lt;&gt;""," ("&amp;מלאי!C265&amp;")",""),"")</f>
        <v/>
      </c>
      <c r="C265" s="8" t="str">
        <f>IF(מלאי!D265&lt;&gt;"",מלאי!A265,"")</f>
        <v/>
      </c>
      <c r="D265" s="8" t="str">
        <f>IF(מלאי!D265&lt;&gt;"",מלאי!H265,"")</f>
        <v/>
      </c>
      <c r="E265" s="8"/>
      <c r="F265" s="8"/>
      <c r="G265" s="8"/>
      <c r="H265" s="8" t="str">
        <f>IF(מלאי!D265&lt;&gt;"",מלאי!I265,"")</f>
        <v/>
      </c>
      <c r="I265" s="8"/>
      <c r="J265" s="8"/>
      <c r="K265" s="8"/>
      <c r="L265" s="8"/>
    </row>
    <row r="266" spans="1:12" ht="15" customHeight="1" x14ac:dyDescent="0.35">
      <c r="A266" s="8" t="str">
        <f>IF(מלאי!D266&lt;&gt;"",מלאי!D266,"")</f>
        <v/>
      </c>
      <c r="B266" s="8" t="str">
        <f>IF(מלאי!D266&lt;&gt;"",מלאי!B266&amp;IF(מלאי!C266&lt;&gt;""," ("&amp;מלאי!C266&amp;")",""),"")</f>
        <v/>
      </c>
      <c r="C266" s="8" t="str">
        <f>IF(מלאי!D266&lt;&gt;"",מלאי!A266,"")</f>
        <v/>
      </c>
      <c r="D266" s="8" t="str">
        <f>IF(מלאי!D266&lt;&gt;"",מלאי!H266,"")</f>
        <v/>
      </c>
      <c r="E266" s="8"/>
      <c r="F266" s="8"/>
      <c r="G266" s="8"/>
      <c r="H266" s="8" t="str">
        <f>IF(מלאי!D266&lt;&gt;"",מלאי!I266,"")</f>
        <v/>
      </c>
      <c r="I266" s="8"/>
      <c r="J266" s="8"/>
      <c r="K266" s="8"/>
      <c r="L266" s="8"/>
    </row>
    <row r="267" spans="1:12" ht="15" customHeight="1" x14ac:dyDescent="0.35">
      <c r="A267" s="8" t="str">
        <f>IF(מלאי!D267&lt;&gt;"",מלאי!D267,"")</f>
        <v/>
      </c>
      <c r="B267" s="8" t="str">
        <f>IF(מלאי!D267&lt;&gt;"",מלאי!B267&amp;IF(מלאי!C267&lt;&gt;""," ("&amp;מלאי!C267&amp;")",""),"")</f>
        <v/>
      </c>
      <c r="C267" s="8" t="str">
        <f>IF(מלאי!D267&lt;&gt;"",מלאי!A267,"")</f>
        <v/>
      </c>
      <c r="D267" s="8" t="str">
        <f>IF(מלאי!D267&lt;&gt;"",מלאי!H267,"")</f>
        <v/>
      </c>
      <c r="E267" s="8"/>
      <c r="F267" s="8"/>
      <c r="G267" s="8"/>
      <c r="H267" s="8" t="str">
        <f>IF(מלאי!D267&lt;&gt;"",מלאי!I267,"")</f>
        <v/>
      </c>
      <c r="I267" s="8"/>
      <c r="J267" s="8"/>
      <c r="K267" s="8"/>
      <c r="L267" s="8"/>
    </row>
    <row r="268" spans="1:12" ht="15" customHeight="1" x14ac:dyDescent="0.35">
      <c r="A268" s="8" t="str">
        <f>IF(מלאי!D268&lt;&gt;"",מלאי!D268,"")</f>
        <v/>
      </c>
      <c r="B268" s="8" t="str">
        <f>IF(מלאי!D268&lt;&gt;"",מלאי!B268&amp;IF(מלאי!C268&lt;&gt;""," ("&amp;מלאי!C268&amp;")",""),"")</f>
        <v/>
      </c>
      <c r="C268" s="8" t="str">
        <f>IF(מלאי!D268&lt;&gt;"",מלאי!A268,"")</f>
        <v/>
      </c>
      <c r="D268" s="8" t="str">
        <f>IF(מלאי!D268&lt;&gt;"",מלאי!H268,"")</f>
        <v/>
      </c>
      <c r="E268" s="8"/>
      <c r="F268" s="8"/>
      <c r="G268" s="8"/>
      <c r="H268" s="8" t="str">
        <f>IF(מלאי!D268&lt;&gt;"",מלאי!I268,"")</f>
        <v/>
      </c>
      <c r="I268" s="8"/>
      <c r="J268" s="8"/>
      <c r="K268" s="8"/>
      <c r="L268" s="8"/>
    </row>
    <row r="269" spans="1:12" ht="15" customHeight="1" x14ac:dyDescent="0.35">
      <c r="A269" s="8" t="str">
        <f>IF(מלאי!D269&lt;&gt;"",מלאי!D269,"")</f>
        <v/>
      </c>
      <c r="B269" s="8" t="str">
        <f>IF(מלאי!D269&lt;&gt;"",מלאי!B269&amp;IF(מלאי!C269&lt;&gt;""," ("&amp;מלאי!C269&amp;")",""),"")</f>
        <v/>
      </c>
      <c r="C269" s="8" t="str">
        <f>IF(מלאי!D269&lt;&gt;"",מלאי!A269,"")</f>
        <v/>
      </c>
      <c r="D269" s="8" t="str">
        <f>IF(מלאי!D269&lt;&gt;"",מלאי!H269,"")</f>
        <v/>
      </c>
      <c r="E269" s="8"/>
      <c r="F269" s="8"/>
      <c r="G269" s="8"/>
      <c r="H269" s="8" t="str">
        <f>IF(מלאי!D269&lt;&gt;"",מלאי!I269,"")</f>
        <v/>
      </c>
      <c r="I269" s="8"/>
      <c r="J269" s="8"/>
      <c r="K269" s="8"/>
      <c r="L269" s="8"/>
    </row>
    <row r="270" spans="1:12" ht="15" customHeight="1" x14ac:dyDescent="0.35">
      <c r="A270" s="8" t="str">
        <f>IF(מלאי!D270&lt;&gt;"",מלאי!D270,"")</f>
        <v/>
      </c>
      <c r="B270" s="8" t="str">
        <f>IF(מלאי!D270&lt;&gt;"",מלאי!B270&amp;IF(מלאי!C270&lt;&gt;""," ("&amp;מלאי!C270&amp;")",""),"")</f>
        <v/>
      </c>
      <c r="C270" s="8" t="str">
        <f>IF(מלאי!D270&lt;&gt;"",מלאי!A270,"")</f>
        <v/>
      </c>
      <c r="D270" s="8" t="str">
        <f>IF(מלאי!D270&lt;&gt;"",מלאי!H270,"")</f>
        <v/>
      </c>
      <c r="E270" s="8"/>
      <c r="F270" s="8"/>
      <c r="G270" s="8"/>
      <c r="H270" s="8" t="str">
        <f>IF(מלאי!D270&lt;&gt;"",מלאי!I270,"")</f>
        <v/>
      </c>
      <c r="I270" s="8"/>
      <c r="J270" s="8"/>
      <c r="K270" s="8"/>
      <c r="L270" s="8"/>
    </row>
    <row r="271" spans="1:12" ht="15" customHeight="1" x14ac:dyDescent="0.35">
      <c r="A271" s="8" t="str">
        <f>IF(מלאי!D271&lt;&gt;"",מלאי!D271,"")</f>
        <v/>
      </c>
      <c r="B271" s="8" t="str">
        <f>IF(מלאי!D271&lt;&gt;"",מלאי!B271&amp;IF(מלאי!C271&lt;&gt;""," ("&amp;מלאי!C271&amp;")",""),"")</f>
        <v/>
      </c>
      <c r="C271" s="8" t="str">
        <f>IF(מלאי!D271&lt;&gt;"",מלאי!A271,"")</f>
        <v/>
      </c>
      <c r="D271" s="8" t="str">
        <f>IF(מלאי!D271&lt;&gt;"",מלאי!H271,"")</f>
        <v/>
      </c>
      <c r="E271" s="8"/>
      <c r="F271" s="8"/>
      <c r="G271" s="8"/>
      <c r="H271" s="8" t="str">
        <f>IF(מלאי!D271&lt;&gt;"",מלאי!I271,"")</f>
        <v/>
      </c>
      <c r="I271" s="8"/>
      <c r="J271" s="8"/>
      <c r="K271" s="8"/>
      <c r="L271" s="8"/>
    </row>
    <row r="272" spans="1:12" ht="15" customHeight="1" x14ac:dyDescent="0.35">
      <c r="A272" s="8" t="str">
        <f>IF(מלאי!D272&lt;&gt;"",מלאי!D272,"")</f>
        <v/>
      </c>
      <c r="B272" s="8" t="str">
        <f>IF(מלאי!D272&lt;&gt;"",מלאי!B272&amp;IF(מלאי!C272&lt;&gt;""," ("&amp;מלאי!C272&amp;")",""),"")</f>
        <v/>
      </c>
      <c r="C272" s="8" t="str">
        <f>IF(מלאי!D272&lt;&gt;"",מלאי!A272,"")</f>
        <v/>
      </c>
      <c r="D272" s="8" t="str">
        <f>IF(מלאי!D272&lt;&gt;"",מלאי!H272,"")</f>
        <v/>
      </c>
      <c r="E272" s="8"/>
      <c r="F272" s="8"/>
      <c r="G272" s="8"/>
      <c r="H272" s="8" t="str">
        <f>IF(מלאי!D272&lt;&gt;"",מלאי!I272,"")</f>
        <v/>
      </c>
      <c r="I272" s="8"/>
      <c r="J272" s="8"/>
      <c r="K272" s="8"/>
      <c r="L272" s="8"/>
    </row>
    <row r="273" spans="1:12" ht="15" customHeight="1" x14ac:dyDescent="0.35">
      <c r="A273" s="8" t="str">
        <f>IF(מלאי!D273&lt;&gt;"",מלאי!D273,"")</f>
        <v/>
      </c>
      <c r="B273" s="8" t="str">
        <f>IF(מלאי!D273&lt;&gt;"",מלאי!B273&amp;IF(מלאי!C273&lt;&gt;""," ("&amp;מלאי!C273&amp;")",""),"")</f>
        <v/>
      </c>
      <c r="C273" s="8" t="str">
        <f>IF(מלאי!D273&lt;&gt;"",מלאי!A273,"")</f>
        <v/>
      </c>
      <c r="D273" s="8" t="str">
        <f>IF(מלאי!D273&lt;&gt;"",מלאי!H273,"")</f>
        <v/>
      </c>
      <c r="E273" s="8"/>
      <c r="F273" s="8"/>
      <c r="G273" s="8"/>
      <c r="H273" s="8" t="str">
        <f>IF(מלאי!D273&lt;&gt;"",מלאי!I273,"")</f>
        <v/>
      </c>
      <c r="I273" s="8"/>
      <c r="J273" s="8"/>
      <c r="K273" s="8"/>
      <c r="L273" s="8"/>
    </row>
    <row r="274" spans="1:12" ht="15" customHeight="1" x14ac:dyDescent="0.35">
      <c r="A274" s="8" t="str">
        <f>IF(מלאי!D274&lt;&gt;"",מלאי!D274,"")</f>
        <v/>
      </c>
      <c r="B274" s="8" t="str">
        <f>IF(מלאי!D274&lt;&gt;"",מלאי!B274&amp;IF(מלאי!C274&lt;&gt;""," ("&amp;מלאי!C274&amp;")",""),"")</f>
        <v/>
      </c>
      <c r="C274" s="8" t="str">
        <f>IF(מלאי!D274&lt;&gt;"",מלאי!A274,"")</f>
        <v/>
      </c>
      <c r="D274" s="8" t="str">
        <f>IF(מלאי!D274&lt;&gt;"",מלאי!H274,"")</f>
        <v/>
      </c>
      <c r="E274" s="8"/>
      <c r="F274" s="8"/>
      <c r="G274" s="8"/>
      <c r="H274" s="8" t="str">
        <f>IF(מלאי!D274&lt;&gt;"",מלאי!I274,"")</f>
        <v/>
      </c>
      <c r="I274" s="8"/>
      <c r="J274" s="8"/>
      <c r="K274" s="8"/>
      <c r="L274" s="8"/>
    </row>
    <row r="275" spans="1:12" ht="15" customHeight="1" x14ac:dyDescent="0.35">
      <c r="A275" s="8" t="str">
        <f>IF(מלאי!D275&lt;&gt;"",מלאי!D275,"")</f>
        <v/>
      </c>
      <c r="B275" s="8" t="str">
        <f>IF(מלאי!D275&lt;&gt;"",מלאי!B275&amp;IF(מלאי!C275&lt;&gt;""," ("&amp;מלאי!C275&amp;")",""),"")</f>
        <v/>
      </c>
      <c r="C275" s="8" t="str">
        <f>IF(מלאי!D275&lt;&gt;"",מלאי!A275,"")</f>
        <v/>
      </c>
      <c r="D275" s="8" t="str">
        <f>IF(מלאי!D275&lt;&gt;"",מלאי!H275,"")</f>
        <v/>
      </c>
      <c r="E275" s="8"/>
      <c r="F275" s="8"/>
      <c r="G275" s="8"/>
      <c r="H275" s="8" t="str">
        <f>IF(מלאי!D275&lt;&gt;"",מלאי!I275,"")</f>
        <v/>
      </c>
      <c r="I275" s="8"/>
      <c r="J275" s="8"/>
      <c r="K275" s="8"/>
      <c r="L275" s="8"/>
    </row>
    <row r="276" spans="1:12" ht="15" customHeight="1" x14ac:dyDescent="0.35">
      <c r="A276" s="8" t="str">
        <f>IF(מלאי!D276&lt;&gt;"",מלאי!D276,"")</f>
        <v/>
      </c>
      <c r="B276" s="8" t="str">
        <f>IF(מלאי!D276&lt;&gt;"",מלאי!B276&amp;IF(מלאי!C276&lt;&gt;""," ("&amp;מלאי!C276&amp;")",""),"")</f>
        <v/>
      </c>
      <c r="C276" s="8" t="str">
        <f>IF(מלאי!D276&lt;&gt;"",מלאי!A276,"")</f>
        <v/>
      </c>
      <c r="D276" s="8" t="str">
        <f>IF(מלאי!D276&lt;&gt;"",מלאי!H276,"")</f>
        <v/>
      </c>
      <c r="E276" s="8"/>
      <c r="F276" s="8"/>
      <c r="G276" s="8"/>
      <c r="H276" s="8" t="str">
        <f>IF(מלאי!D276&lt;&gt;"",מלאי!I276,"")</f>
        <v/>
      </c>
      <c r="I276" s="8"/>
      <c r="J276" s="8"/>
      <c r="K276" s="8"/>
      <c r="L276" s="8"/>
    </row>
    <row r="277" spans="1:12" ht="15" customHeight="1" x14ac:dyDescent="0.35">
      <c r="A277" s="8" t="str">
        <f>IF(מלאי!D277&lt;&gt;"",מלאי!D277,"")</f>
        <v/>
      </c>
      <c r="B277" s="8" t="str">
        <f>IF(מלאי!D277&lt;&gt;"",מלאי!B277&amp;IF(מלאי!C277&lt;&gt;""," ("&amp;מלאי!C277&amp;")",""),"")</f>
        <v/>
      </c>
      <c r="C277" s="8" t="str">
        <f>IF(מלאי!D277&lt;&gt;"",מלאי!A277,"")</f>
        <v/>
      </c>
      <c r="D277" s="8" t="str">
        <f>IF(מלאי!D277&lt;&gt;"",מלאי!H277,"")</f>
        <v/>
      </c>
      <c r="E277" s="8"/>
      <c r="F277" s="8"/>
      <c r="G277" s="8"/>
      <c r="H277" s="8" t="str">
        <f>IF(מלאי!D277&lt;&gt;"",מלאי!I277,"")</f>
        <v/>
      </c>
      <c r="I277" s="8"/>
      <c r="J277" s="8"/>
      <c r="K277" s="8"/>
      <c r="L277" s="8"/>
    </row>
    <row r="278" spans="1:12" ht="15" customHeight="1" x14ac:dyDescent="0.35">
      <c r="A278" s="8" t="str">
        <f>IF(מלאי!D278&lt;&gt;"",מלאי!D278,"")</f>
        <v/>
      </c>
      <c r="B278" s="8" t="str">
        <f>IF(מלאי!D278&lt;&gt;"",מלאי!B278&amp;IF(מלאי!C278&lt;&gt;""," ("&amp;מלאי!C278&amp;")",""),"")</f>
        <v/>
      </c>
      <c r="C278" s="8" t="str">
        <f>IF(מלאי!D278&lt;&gt;"",מלאי!A278,"")</f>
        <v/>
      </c>
      <c r="D278" s="8" t="str">
        <f>IF(מלאי!D278&lt;&gt;"",מלאי!H278,"")</f>
        <v/>
      </c>
      <c r="E278" s="8"/>
      <c r="F278" s="8"/>
      <c r="G278" s="8"/>
      <c r="H278" s="8" t="str">
        <f>IF(מלאי!D278&lt;&gt;"",מלאי!I278,"")</f>
        <v/>
      </c>
      <c r="I278" s="8"/>
      <c r="J278" s="8"/>
      <c r="K278" s="8"/>
      <c r="L278" s="8"/>
    </row>
    <row r="279" spans="1:12" ht="15" customHeight="1" x14ac:dyDescent="0.35">
      <c r="A279" s="8" t="str">
        <f>IF(מלאי!D279&lt;&gt;"",מלאי!D279,"")</f>
        <v/>
      </c>
      <c r="B279" s="8" t="str">
        <f>IF(מלאי!D279&lt;&gt;"",מלאי!B279&amp;IF(מלאי!C279&lt;&gt;""," ("&amp;מלאי!C279&amp;")",""),"")</f>
        <v/>
      </c>
      <c r="C279" s="8" t="str">
        <f>IF(מלאי!D279&lt;&gt;"",מלאי!A279,"")</f>
        <v/>
      </c>
      <c r="D279" s="8" t="str">
        <f>IF(מלאי!D279&lt;&gt;"",מלאי!H279,"")</f>
        <v/>
      </c>
      <c r="E279" s="8"/>
      <c r="F279" s="8"/>
      <c r="G279" s="8"/>
      <c r="H279" s="8" t="str">
        <f>IF(מלאי!D279&lt;&gt;"",מלאי!I279,"")</f>
        <v/>
      </c>
      <c r="I279" s="8"/>
      <c r="J279" s="8"/>
      <c r="K279" s="8"/>
      <c r="L279" s="8"/>
    </row>
    <row r="280" spans="1:12" ht="15" customHeight="1" x14ac:dyDescent="0.35">
      <c r="A280" s="8" t="str">
        <f>IF(מלאי!D280&lt;&gt;"",מלאי!D280,"")</f>
        <v/>
      </c>
      <c r="B280" s="8" t="str">
        <f>IF(מלאי!D280&lt;&gt;"",מלאי!B280&amp;IF(מלאי!C280&lt;&gt;""," ("&amp;מלאי!C280&amp;")",""),"")</f>
        <v/>
      </c>
      <c r="C280" s="8" t="str">
        <f>IF(מלאי!D280&lt;&gt;"",מלאי!A280,"")</f>
        <v/>
      </c>
      <c r="D280" s="8" t="str">
        <f>IF(מלאי!D280&lt;&gt;"",מלאי!H280,"")</f>
        <v/>
      </c>
      <c r="E280" s="8"/>
      <c r="F280" s="8"/>
      <c r="G280" s="8"/>
      <c r="H280" s="8" t="str">
        <f>IF(מלאי!D280&lt;&gt;"",מלאי!I280,"")</f>
        <v/>
      </c>
      <c r="I280" s="8"/>
      <c r="J280" s="8"/>
      <c r="K280" s="8"/>
      <c r="L280" s="8"/>
    </row>
    <row r="281" spans="1:12" ht="15" customHeight="1" x14ac:dyDescent="0.35">
      <c r="A281" s="8" t="str">
        <f>IF(מלאי!D281&lt;&gt;"",מלאי!D281,"")</f>
        <v/>
      </c>
      <c r="B281" s="8" t="str">
        <f>IF(מלאי!D281&lt;&gt;"",מלאי!B281&amp;IF(מלאי!C281&lt;&gt;""," ("&amp;מלאי!C281&amp;")",""),"")</f>
        <v/>
      </c>
      <c r="C281" s="8" t="str">
        <f>IF(מלאי!D281&lt;&gt;"",מלאי!A281,"")</f>
        <v/>
      </c>
      <c r="D281" s="8" t="str">
        <f>IF(מלאי!D281&lt;&gt;"",מלאי!H281,"")</f>
        <v/>
      </c>
      <c r="E281" s="8"/>
      <c r="F281" s="8"/>
      <c r="G281" s="8"/>
      <c r="H281" s="8" t="str">
        <f>IF(מלאי!D281&lt;&gt;"",מלאי!I281,"")</f>
        <v/>
      </c>
      <c r="I281" s="8"/>
      <c r="J281" s="8"/>
      <c r="K281" s="8"/>
      <c r="L281" s="8"/>
    </row>
    <row r="282" spans="1:12" ht="15" customHeight="1" x14ac:dyDescent="0.35">
      <c r="A282" s="8" t="str">
        <f>IF(מלאי!D282&lt;&gt;"",מלאי!D282,"")</f>
        <v/>
      </c>
      <c r="B282" s="8" t="str">
        <f>IF(מלאי!D282&lt;&gt;"",מלאי!B282&amp;IF(מלאי!C282&lt;&gt;""," ("&amp;מלאי!C282&amp;")",""),"")</f>
        <v/>
      </c>
      <c r="C282" s="8" t="str">
        <f>IF(מלאי!D282&lt;&gt;"",מלאי!A282,"")</f>
        <v/>
      </c>
      <c r="D282" s="8" t="str">
        <f>IF(מלאי!D282&lt;&gt;"",מלאי!H282,"")</f>
        <v/>
      </c>
      <c r="E282" s="8"/>
      <c r="F282" s="8"/>
      <c r="G282" s="8"/>
      <c r="H282" s="8" t="str">
        <f>IF(מלאי!D282&lt;&gt;"",מלאי!I282,"")</f>
        <v/>
      </c>
      <c r="I282" s="8"/>
      <c r="J282" s="8"/>
      <c r="K282" s="8"/>
      <c r="L282" s="8"/>
    </row>
    <row r="283" spans="1:12" ht="15" customHeight="1" x14ac:dyDescent="0.35">
      <c r="A283" s="8" t="str">
        <f>IF(מלאי!D283&lt;&gt;"",מלאי!D283,"")</f>
        <v/>
      </c>
      <c r="B283" s="8" t="str">
        <f>IF(מלאי!D283&lt;&gt;"",מלאי!B283&amp;IF(מלאי!C283&lt;&gt;""," ("&amp;מלאי!C283&amp;")",""),"")</f>
        <v/>
      </c>
      <c r="C283" s="8" t="str">
        <f>IF(מלאי!D283&lt;&gt;"",מלאי!A283,"")</f>
        <v/>
      </c>
      <c r="D283" s="8" t="str">
        <f>IF(מלאי!D283&lt;&gt;"",מלאי!H283,"")</f>
        <v/>
      </c>
      <c r="E283" s="8"/>
      <c r="F283" s="8"/>
      <c r="G283" s="8"/>
      <c r="H283" s="8" t="str">
        <f>IF(מלאי!D283&lt;&gt;"",מלאי!I283,"")</f>
        <v/>
      </c>
      <c r="I283" s="8"/>
      <c r="J283" s="8"/>
      <c r="K283" s="8"/>
      <c r="L283" s="8"/>
    </row>
    <row r="284" spans="1:12" ht="15" customHeight="1" x14ac:dyDescent="0.35">
      <c r="A284" s="8" t="str">
        <f>IF(מלאי!D284&lt;&gt;"",מלאי!D284,"")</f>
        <v/>
      </c>
      <c r="B284" s="8" t="str">
        <f>IF(מלאי!D284&lt;&gt;"",מלאי!B284&amp;IF(מלאי!C284&lt;&gt;""," ("&amp;מלאי!C284&amp;")",""),"")</f>
        <v/>
      </c>
      <c r="C284" s="8" t="str">
        <f>IF(מלאי!D284&lt;&gt;"",מלאי!A284,"")</f>
        <v/>
      </c>
      <c r="D284" s="8" t="str">
        <f>IF(מלאי!D284&lt;&gt;"",מלאי!H284,"")</f>
        <v/>
      </c>
      <c r="E284" s="8"/>
      <c r="F284" s="8"/>
      <c r="G284" s="8"/>
      <c r="H284" s="8" t="str">
        <f>IF(מלאי!D284&lt;&gt;"",מלאי!I284,"")</f>
        <v/>
      </c>
      <c r="I284" s="8"/>
      <c r="J284" s="8"/>
      <c r="K284" s="8"/>
      <c r="L284" s="8"/>
    </row>
    <row r="285" spans="1:12" ht="15" customHeight="1" x14ac:dyDescent="0.35">
      <c r="A285" s="8" t="str">
        <f>IF(מלאי!D285&lt;&gt;"",מלאי!D285,"")</f>
        <v/>
      </c>
      <c r="B285" s="8" t="str">
        <f>IF(מלאי!D285&lt;&gt;"",מלאי!B285&amp;IF(מלאי!C285&lt;&gt;""," ("&amp;מלאי!C285&amp;")",""),"")</f>
        <v/>
      </c>
      <c r="C285" s="8" t="str">
        <f>IF(מלאי!D285&lt;&gt;"",מלאי!A285,"")</f>
        <v/>
      </c>
      <c r="D285" s="8" t="str">
        <f>IF(מלאי!D285&lt;&gt;"",מלאי!H285,"")</f>
        <v/>
      </c>
      <c r="E285" s="8"/>
      <c r="F285" s="8"/>
      <c r="G285" s="8"/>
      <c r="H285" s="8" t="str">
        <f>IF(מלאי!D285&lt;&gt;"",מלאי!I285,"")</f>
        <v/>
      </c>
      <c r="I285" s="8"/>
      <c r="J285" s="8"/>
      <c r="K285" s="8"/>
      <c r="L285" s="8"/>
    </row>
    <row r="286" spans="1:12" ht="15" customHeight="1" x14ac:dyDescent="0.35">
      <c r="A286" s="8" t="str">
        <f>IF(מלאי!D286&lt;&gt;"",מלאי!D286,"")</f>
        <v/>
      </c>
      <c r="B286" s="8" t="str">
        <f>IF(מלאי!D286&lt;&gt;"",מלאי!B286&amp;IF(מלאי!C286&lt;&gt;""," ("&amp;מלאי!C286&amp;")",""),"")</f>
        <v/>
      </c>
      <c r="C286" s="8" t="str">
        <f>IF(מלאי!D286&lt;&gt;"",מלאי!A286,"")</f>
        <v/>
      </c>
      <c r="D286" s="8" t="str">
        <f>IF(מלאי!D286&lt;&gt;"",מלאי!H286,"")</f>
        <v/>
      </c>
      <c r="E286" s="8"/>
      <c r="F286" s="8"/>
      <c r="G286" s="8"/>
      <c r="H286" s="8" t="str">
        <f>IF(מלאי!D286&lt;&gt;"",מלאי!I286,"")</f>
        <v/>
      </c>
      <c r="I286" s="8"/>
      <c r="J286" s="8"/>
      <c r="K286" s="8"/>
      <c r="L286" s="8"/>
    </row>
    <row r="287" spans="1:12" ht="15" customHeight="1" x14ac:dyDescent="0.35">
      <c r="A287" s="8" t="str">
        <f>IF(מלאי!D287&lt;&gt;"",מלאי!D287,"")</f>
        <v/>
      </c>
      <c r="B287" s="8" t="str">
        <f>IF(מלאי!D287&lt;&gt;"",מלאי!B287&amp;IF(מלאי!C287&lt;&gt;""," ("&amp;מלאי!C287&amp;")",""),"")</f>
        <v/>
      </c>
      <c r="C287" s="8" t="str">
        <f>IF(מלאי!D287&lt;&gt;"",מלאי!A287,"")</f>
        <v/>
      </c>
      <c r="D287" s="8" t="str">
        <f>IF(מלאי!D287&lt;&gt;"",מלאי!H287,"")</f>
        <v/>
      </c>
      <c r="E287" s="8"/>
      <c r="F287" s="8"/>
      <c r="G287" s="8"/>
      <c r="H287" s="8" t="str">
        <f>IF(מלאי!D287&lt;&gt;"",מלאי!I287,"")</f>
        <v/>
      </c>
      <c r="I287" s="8"/>
      <c r="J287" s="8"/>
      <c r="K287" s="8"/>
      <c r="L287" s="8"/>
    </row>
    <row r="288" spans="1:12" ht="15" customHeight="1" x14ac:dyDescent="0.35">
      <c r="A288" s="8" t="str">
        <f>IF(מלאי!D288&lt;&gt;"",מלאי!D288,"")</f>
        <v/>
      </c>
      <c r="B288" s="8" t="str">
        <f>IF(מלאי!D288&lt;&gt;"",מלאי!B288&amp;IF(מלאי!C288&lt;&gt;""," ("&amp;מלאי!C288&amp;")",""),"")</f>
        <v/>
      </c>
      <c r="C288" s="8" t="str">
        <f>IF(מלאי!D288&lt;&gt;"",מלאי!A288,"")</f>
        <v/>
      </c>
      <c r="D288" s="8" t="str">
        <f>IF(מלאי!D288&lt;&gt;"",מלאי!H288,"")</f>
        <v/>
      </c>
      <c r="E288" s="8"/>
      <c r="F288" s="8"/>
      <c r="G288" s="8"/>
      <c r="H288" s="8" t="str">
        <f>IF(מלאי!D288&lt;&gt;"",מלאי!I288,"")</f>
        <v/>
      </c>
      <c r="I288" s="8"/>
      <c r="J288" s="8"/>
      <c r="K288" s="8"/>
      <c r="L288" s="8"/>
    </row>
    <row r="289" spans="1:12" ht="15" customHeight="1" x14ac:dyDescent="0.35">
      <c r="A289" s="8" t="str">
        <f>IF(מלאי!D289&lt;&gt;"",מלאי!D289,"")</f>
        <v/>
      </c>
      <c r="B289" s="8" t="str">
        <f>IF(מלאי!D289&lt;&gt;"",מלאי!B289&amp;IF(מלאי!C289&lt;&gt;""," ("&amp;מלאי!C289&amp;")",""),"")</f>
        <v/>
      </c>
      <c r="C289" s="8" t="str">
        <f>IF(מלאי!D289&lt;&gt;"",מלאי!A289,"")</f>
        <v/>
      </c>
      <c r="D289" s="8" t="str">
        <f>IF(מלאי!D289&lt;&gt;"",מלאי!H289,"")</f>
        <v/>
      </c>
      <c r="E289" s="8"/>
      <c r="F289" s="8"/>
      <c r="G289" s="8"/>
      <c r="H289" s="8" t="str">
        <f>IF(מלאי!D289&lt;&gt;"",מלאי!I289,"")</f>
        <v/>
      </c>
      <c r="I289" s="8"/>
      <c r="J289" s="8"/>
      <c r="K289" s="8"/>
      <c r="L289" s="8"/>
    </row>
    <row r="290" spans="1:12" ht="15" customHeight="1" x14ac:dyDescent="0.35">
      <c r="A290" s="8" t="str">
        <f>IF(מלאי!D290&lt;&gt;"",מלאי!D290,"")</f>
        <v/>
      </c>
      <c r="B290" s="8" t="str">
        <f>IF(מלאי!D290&lt;&gt;"",מלאי!B290&amp;IF(מלאי!C290&lt;&gt;""," ("&amp;מלאי!C290&amp;")",""),"")</f>
        <v/>
      </c>
      <c r="C290" s="8" t="str">
        <f>IF(מלאי!D290&lt;&gt;"",מלאי!A290,"")</f>
        <v/>
      </c>
      <c r="D290" s="8" t="str">
        <f>IF(מלאי!D290&lt;&gt;"",מלאי!H290,"")</f>
        <v/>
      </c>
      <c r="E290" s="8"/>
      <c r="F290" s="8"/>
      <c r="G290" s="8"/>
      <c r="H290" s="8" t="str">
        <f>IF(מלאי!D290&lt;&gt;"",מלאי!I290,"")</f>
        <v/>
      </c>
      <c r="I290" s="8"/>
      <c r="J290" s="8"/>
      <c r="K290" s="8"/>
      <c r="L290" s="8"/>
    </row>
    <row r="291" spans="1:12" ht="15" customHeight="1" x14ac:dyDescent="0.35">
      <c r="A291" s="8" t="str">
        <f>IF(מלאי!D291&lt;&gt;"",מלאי!D291,"")</f>
        <v/>
      </c>
      <c r="B291" s="8" t="str">
        <f>IF(מלאי!D291&lt;&gt;"",מלאי!B291&amp;IF(מלאי!C291&lt;&gt;""," ("&amp;מלאי!C291&amp;")",""),"")</f>
        <v/>
      </c>
      <c r="C291" s="8" t="str">
        <f>IF(מלאי!D291&lt;&gt;"",מלאי!A291,"")</f>
        <v/>
      </c>
      <c r="D291" s="8" t="str">
        <f>IF(מלאי!D291&lt;&gt;"",מלאי!H291,"")</f>
        <v/>
      </c>
      <c r="E291" s="8"/>
      <c r="F291" s="8"/>
      <c r="G291" s="8"/>
      <c r="H291" s="8" t="str">
        <f>IF(מלאי!D291&lt;&gt;"",מלאי!I291,"")</f>
        <v/>
      </c>
      <c r="I291" s="8"/>
      <c r="J291" s="8"/>
      <c r="K291" s="8"/>
      <c r="L291" s="8"/>
    </row>
    <row r="292" spans="1:12" ht="15" customHeight="1" x14ac:dyDescent="0.35">
      <c r="A292" s="8" t="str">
        <f>IF(מלאי!D292&lt;&gt;"",מלאי!D292,"")</f>
        <v/>
      </c>
      <c r="B292" s="8" t="str">
        <f>IF(מלאי!D292&lt;&gt;"",מלאי!B292&amp;IF(מלאי!C292&lt;&gt;""," ("&amp;מלאי!C292&amp;")",""),"")</f>
        <v/>
      </c>
      <c r="C292" s="8" t="str">
        <f>IF(מלאי!D292&lt;&gt;"",מלאי!A292,"")</f>
        <v/>
      </c>
      <c r="D292" s="8" t="str">
        <f>IF(מלאי!D292&lt;&gt;"",מלאי!H292,"")</f>
        <v/>
      </c>
      <c r="E292" s="8"/>
      <c r="F292" s="8"/>
      <c r="G292" s="8"/>
      <c r="H292" s="8" t="str">
        <f>IF(מלאי!D292&lt;&gt;"",מלאי!I292,"")</f>
        <v/>
      </c>
      <c r="I292" s="8"/>
      <c r="J292" s="8"/>
      <c r="K292" s="8"/>
      <c r="L292" s="8"/>
    </row>
    <row r="293" spans="1:12" ht="15" customHeight="1" x14ac:dyDescent="0.35">
      <c r="A293" s="8" t="str">
        <f>IF(מלאי!D293&lt;&gt;"",מלאי!D293,"")</f>
        <v/>
      </c>
      <c r="B293" s="8" t="str">
        <f>IF(מלאי!D293&lt;&gt;"",מלאי!B293&amp;IF(מלאי!C293&lt;&gt;""," ("&amp;מלאי!C293&amp;")",""),"")</f>
        <v/>
      </c>
      <c r="C293" s="8" t="str">
        <f>IF(מלאי!D293&lt;&gt;"",מלאי!A293,"")</f>
        <v/>
      </c>
      <c r="D293" s="8" t="str">
        <f>IF(מלאי!D293&lt;&gt;"",מלאי!H293,"")</f>
        <v/>
      </c>
      <c r="E293" s="8"/>
      <c r="F293" s="8"/>
      <c r="G293" s="8"/>
      <c r="H293" s="8" t="str">
        <f>IF(מלאי!D293&lt;&gt;"",מלאי!I293,"")</f>
        <v/>
      </c>
      <c r="I293" s="8"/>
      <c r="J293" s="8"/>
      <c r="K293" s="8"/>
      <c r="L293" s="8"/>
    </row>
    <row r="294" spans="1:12" ht="15" customHeight="1" x14ac:dyDescent="0.35">
      <c r="A294" s="8" t="str">
        <f>IF(מלאי!D294&lt;&gt;"",מלאי!D294,"")</f>
        <v/>
      </c>
      <c r="B294" s="8" t="str">
        <f>IF(מלאי!D294&lt;&gt;"",מלאי!B294&amp;IF(מלאי!C294&lt;&gt;""," ("&amp;מלאי!C294&amp;")",""),"")</f>
        <v/>
      </c>
      <c r="C294" s="8" t="str">
        <f>IF(מלאי!D294&lt;&gt;"",מלאי!A294,"")</f>
        <v/>
      </c>
      <c r="D294" s="8" t="str">
        <f>IF(מלאי!D294&lt;&gt;"",מלאי!H294,"")</f>
        <v/>
      </c>
      <c r="E294" s="8"/>
      <c r="F294" s="8"/>
      <c r="G294" s="8"/>
      <c r="H294" s="8" t="str">
        <f>IF(מלאי!D294&lt;&gt;"",מלאי!I294,"")</f>
        <v/>
      </c>
      <c r="I294" s="8"/>
      <c r="J294" s="8"/>
      <c r="K294" s="8"/>
      <c r="L294" s="8"/>
    </row>
    <row r="295" spans="1:12" ht="15" customHeight="1" x14ac:dyDescent="0.35">
      <c r="A295" s="8" t="str">
        <f>IF(מלאי!D295&lt;&gt;"",מלאי!D295,"")</f>
        <v/>
      </c>
      <c r="B295" s="8" t="str">
        <f>IF(מלאי!D295&lt;&gt;"",מלאי!B295&amp;IF(מלאי!C295&lt;&gt;""," ("&amp;מלאי!C295&amp;")",""),"")</f>
        <v/>
      </c>
      <c r="C295" s="8" t="str">
        <f>IF(מלאי!D295&lt;&gt;"",מלאי!A295,"")</f>
        <v/>
      </c>
      <c r="D295" s="8" t="str">
        <f>IF(מלאי!D295&lt;&gt;"",מלאי!H295,"")</f>
        <v/>
      </c>
      <c r="E295" s="8"/>
      <c r="F295" s="8"/>
      <c r="G295" s="8"/>
      <c r="H295" s="8" t="str">
        <f>IF(מלאי!D295&lt;&gt;"",מלאי!I295,"")</f>
        <v/>
      </c>
      <c r="I295" s="8"/>
      <c r="J295" s="8"/>
      <c r="K295" s="8"/>
      <c r="L295" s="8"/>
    </row>
    <row r="296" spans="1:12" ht="15" customHeight="1" x14ac:dyDescent="0.35">
      <c r="A296" s="8" t="str">
        <f>IF(מלאי!D296&lt;&gt;"",מלאי!D296,"")</f>
        <v/>
      </c>
      <c r="B296" s="8" t="str">
        <f>IF(מלאי!D296&lt;&gt;"",מלאי!B296&amp;IF(מלאי!C296&lt;&gt;""," ("&amp;מלאי!C296&amp;")",""),"")</f>
        <v/>
      </c>
      <c r="C296" s="8" t="str">
        <f>IF(מלאי!D296&lt;&gt;"",מלאי!A296,"")</f>
        <v/>
      </c>
      <c r="D296" s="8" t="str">
        <f>IF(מלאי!D296&lt;&gt;"",מלאי!H296,"")</f>
        <v/>
      </c>
      <c r="E296" s="8"/>
      <c r="F296" s="8"/>
      <c r="G296" s="8"/>
      <c r="H296" s="8" t="str">
        <f>IF(מלאי!D296&lt;&gt;"",מלאי!I296,"")</f>
        <v/>
      </c>
      <c r="I296" s="8"/>
      <c r="J296" s="8"/>
      <c r="K296" s="8"/>
      <c r="L296" s="8"/>
    </row>
    <row r="297" spans="1:12" ht="15" customHeight="1" x14ac:dyDescent="0.35">
      <c r="A297" s="8" t="str">
        <f>IF(מלאי!D297&lt;&gt;"",מלאי!D297,"")</f>
        <v/>
      </c>
      <c r="B297" s="8" t="str">
        <f>IF(מלאי!D297&lt;&gt;"",מלאי!B297&amp;IF(מלאי!C297&lt;&gt;""," ("&amp;מלאי!C297&amp;")",""),"")</f>
        <v/>
      </c>
      <c r="C297" s="8" t="str">
        <f>IF(מלאי!D297&lt;&gt;"",מלאי!A297,"")</f>
        <v/>
      </c>
      <c r="D297" s="8" t="str">
        <f>IF(מלאי!D297&lt;&gt;"",מלאי!H297,"")</f>
        <v/>
      </c>
      <c r="E297" s="8"/>
      <c r="F297" s="8"/>
      <c r="G297" s="8"/>
      <c r="H297" s="8" t="str">
        <f>IF(מלאי!D297&lt;&gt;"",מלאי!I297,"")</f>
        <v/>
      </c>
      <c r="I297" s="8"/>
      <c r="J297" s="8"/>
      <c r="K297" s="8"/>
      <c r="L297" s="8"/>
    </row>
    <row r="298" spans="1:12" ht="15" customHeight="1" x14ac:dyDescent="0.35">
      <c r="A298" s="8" t="str">
        <f>IF(מלאי!D298&lt;&gt;"",מלאי!D298,"")</f>
        <v/>
      </c>
      <c r="B298" s="8" t="str">
        <f>IF(מלאי!D298&lt;&gt;"",מלאי!B298&amp;IF(מלאי!C298&lt;&gt;""," ("&amp;מלאי!C298&amp;")",""),"")</f>
        <v/>
      </c>
      <c r="C298" s="8" t="str">
        <f>IF(מלאי!D298&lt;&gt;"",מלאי!A298,"")</f>
        <v/>
      </c>
      <c r="D298" s="8" t="str">
        <f>IF(מלאי!D298&lt;&gt;"",מלאי!H298,"")</f>
        <v/>
      </c>
      <c r="E298" s="8"/>
      <c r="F298" s="8"/>
      <c r="G298" s="8"/>
      <c r="H298" s="8" t="str">
        <f>IF(מלאי!D298&lt;&gt;"",מלאי!I298,"")</f>
        <v/>
      </c>
      <c r="I298" s="8"/>
      <c r="J298" s="8"/>
      <c r="K298" s="8"/>
      <c r="L298" s="8"/>
    </row>
    <row r="299" spans="1:12" ht="15" customHeight="1" x14ac:dyDescent="0.35">
      <c r="A299" s="8" t="str">
        <f>IF(מלאי!D299&lt;&gt;"",מלאי!D299,"")</f>
        <v/>
      </c>
      <c r="B299" s="8" t="str">
        <f>IF(מלאי!D299&lt;&gt;"",מלאי!B299&amp;IF(מלאי!C299&lt;&gt;""," ("&amp;מלאי!C299&amp;")",""),"")</f>
        <v/>
      </c>
      <c r="C299" s="8" t="str">
        <f>IF(מלאי!D299&lt;&gt;"",מלאי!A299,"")</f>
        <v/>
      </c>
      <c r="D299" s="8" t="str">
        <f>IF(מלאי!D299&lt;&gt;"",מלאי!H299,"")</f>
        <v/>
      </c>
      <c r="E299" s="8"/>
      <c r="F299" s="8"/>
      <c r="G299" s="8"/>
      <c r="H299" s="8" t="str">
        <f>IF(מלאי!D299&lt;&gt;"",מלאי!I299,"")</f>
        <v/>
      </c>
      <c r="I299" s="8"/>
      <c r="J299" s="8"/>
      <c r="K299" s="8"/>
      <c r="L299" s="8"/>
    </row>
    <row r="300" spans="1:12" ht="15" customHeight="1" x14ac:dyDescent="0.35">
      <c r="A300" s="8" t="str">
        <f>IF(מלאי!D300&lt;&gt;"",מלאי!D300,"")</f>
        <v/>
      </c>
      <c r="B300" s="8" t="str">
        <f>IF(מלאי!D300&lt;&gt;"",מלאי!B300&amp;IF(מלאי!C300&lt;&gt;""," ("&amp;מלאי!C300&amp;")",""),"")</f>
        <v/>
      </c>
      <c r="C300" s="8" t="str">
        <f>IF(מלאי!D300&lt;&gt;"",מלאי!A300,"")</f>
        <v/>
      </c>
      <c r="D300" s="8" t="str">
        <f>IF(מלאי!D300&lt;&gt;"",מלאי!H300,"")</f>
        <v/>
      </c>
      <c r="E300" s="8"/>
      <c r="F300" s="8"/>
      <c r="G300" s="8"/>
      <c r="H300" s="8" t="str">
        <f>IF(מלאי!D300&lt;&gt;"",מלאי!I300,"")</f>
        <v/>
      </c>
      <c r="I300" s="8"/>
      <c r="J300" s="8"/>
      <c r="K300" s="8"/>
      <c r="L300" s="8"/>
    </row>
    <row r="301" spans="1:12" ht="15" customHeight="1" x14ac:dyDescent="0.35">
      <c r="A301" s="8" t="str">
        <f>IF(מלאי!D301&lt;&gt;"",מלאי!D301,"")</f>
        <v/>
      </c>
      <c r="B301" s="8" t="str">
        <f>IF(מלאי!D301&lt;&gt;"",מלאי!B301&amp;IF(מלאי!C301&lt;&gt;""," ("&amp;מלאי!C301&amp;")",""),"")</f>
        <v/>
      </c>
      <c r="C301" s="8" t="str">
        <f>IF(מלאי!D301&lt;&gt;"",מלאי!A301,"")</f>
        <v/>
      </c>
      <c r="D301" s="8" t="str">
        <f>IF(מלאי!D301&lt;&gt;"",מלאי!H301,"")</f>
        <v/>
      </c>
      <c r="E301" s="8"/>
      <c r="F301" s="8"/>
      <c r="G301" s="8"/>
      <c r="H301" s="8" t="str">
        <f>IF(מלאי!D301&lt;&gt;"",מלאי!I301,"")</f>
        <v/>
      </c>
      <c r="I301" s="8"/>
      <c r="J301" s="8"/>
      <c r="K301" s="8"/>
      <c r="L301" s="8"/>
    </row>
    <row r="302" spans="1:12" ht="15" customHeight="1" x14ac:dyDescent="0.35">
      <c r="A302" s="8" t="str">
        <f>IF(מלאי!D302&lt;&gt;"",מלאי!D302,"")</f>
        <v/>
      </c>
      <c r="B302" s="8" t="str">
        <f>IF(מלאי!D302&lt;&gt;"",מלאי!B302&amp;IF(מלאי!C302&lt;&gt;""," ("&amp;מלאי!C302&amp;")",""),"")</f>
        <v/>
      </c>
      <c r="C302" s="8" t="str">
        <f>IF(מלאי!D302&lt;&gt;"",מלאי!A302,"")</f>
        <v/>
      </c>
      <c r="D302" s="8" t="str">
        <f>IF(מלאי!D302&lt;&gt;"",מלאי!H302,"")</f>
        <v/>
      </c>
      <c r="E302" s="8"/>
      <c r="F302" s="8"/>
      <c r="G302" s="8"/>
      <c r="H302" s="8" t="str">
        <f>IF(מלאי!D302&lt;&gt;"",מלאי!I302,"")</f>
        <v/>
      </c>
      <c r="I302" s="8"/>
      <c r="J302" s="8"/>
      <c r="K302" s="8"/>
      <c r="L302" s="8"/>
    </row>
    <row r="303" spans="1:12" ht="15" customHeight="1" x14ac:dyDescent="0.35">
      <c r="A303" s="8" t="str">
        <f>IF(מלאי!D303&lt;&gt;"",מלאי!D303,"")</f>
        <v/>
      </c>
      <c r="B303" s="8" t="str">
        <f>IF(מלאי!D303&lt;&gt;"",מלאי!B303&amp;IF(מלאי!C303&lt;&gt;""," ("&amp;מלאי!C303&amp;")",""),"")</f>
        <v/>
      </c>
      <c r="C303" s="8" t="str">
        <f>IF(מלאי!D303&lt;&gt;"",מלאי!A303,"")</f>
        <v/>
      </c>
      <c r="D303" s="8" t="str">
        <f>IF(מלאי!D303&lt;&gt;"",מלאי!H303,"")</f>
        <v/>
      </c>
      <c r="E303" s="8"/>
      <c r="F303" s="8"/>
      <c r="G303" s="8"/>
      <c r="H303" s="8" t="str">
        <f>IF(מלאי!D303&lt;&gt;"",מלאי!I303,"")</f>
        <v/>
      </c>
      <c r="I303" s="8"/>
      <c r="J303" s="8"/>
      <c r="K303" s="8"/>
      <c r="L303" s="8"/>
    </row>
    <row r="304" spans="1:12" ht="15" customHeight="1" x14ac:dyDescent="0.35">
      <c r="A304" s="8" t="str">
        <f>IF(מלאי!D304&lt;&gt;"",מלאי!D304,"")</f>
        <v/>
      </c>
      <c r="B304" s="8" t="str">
        <f>IF(מלאי!D304&lt;&gt;"",מלאי!B304&amp;IF(מלאי!C304&lt;&gt;""," ("&amp;מלאי!C304&amp;")",""),"")</f>
        <v/>
      </c>
      <c r="C304" s="8" t="str">
        <f>IF(מלאי!D304&lt;&gt;"",מלאי!A304,"")</f>
        <v/>
      </c>
      <c r="D304" s="8" t="str">
        <f>IF(מלאי!D304&lt;&gt;"",מלאי!H304,"")</f>
        <v/>
      </c>
      <c r="E304" s="8"/>
      <c r="F304" s="8"/>
      <c r="G304" s="8"/>
      <c r="H304" s="8" t="str">
        <f>IF(מלאי!D304&lt;&gt;"",מלאי!I304,"")</f>
        <v/>
      </c>
      <c r="I304" s="8"/>
      <c r="J304" s="8"/>
      <c r="K304" s="8"/>
      <c r="L304" s="8"/>
    </row>
    <row r="305" spans="1:12" ht="15" customHeight="1" x14ac:dyDescent="0.35">
      <c r="A305" s="8" t="str">
        <f>IF(מלאי!D305&lt;&gt;"",מלאי!D305,"")</f>
        <v/>
      </c>
      <c r="B305" s="8" t="str">
        <f>IF(מלאי!D305&lt;&gt;"",מלאי!B305&amp;IF(מלאי!C305&lt;&gt;""," ("&amp;מלאי!C305&amp;")",""),"")</f>
        <v/>
      </c>
      <c r="C305" s="8" t="str">
        <f>IF(מלאי!D305&lt;&gt;"",מלאי!A305,"")</f>
        <v/>
      </c>
      <c r="D305" s="8" t="str">
        <f>IF(מלאי!D305&lt;&gt;"",מלאי!H305,"")</f>
        <v/>
      </c>
      <c r="E305" s="8"/>
      <c r="F305" s="8"/>
      <c r="G305" s="8"/>
      <c r="H305" s="8" t="str">
        <f>IF(מלאי!D305&lt;&gt;"",מלאי!I305,"")</f>
        <v/>
      </c>
      <c r="I305" s="8"/>
      <c r="J305" s="8"/>
      <c r="K305" s="8"/>
      <c r="L305" s="8"/>
    </row>
    <row r="306" spans="1:12" ht="15" customHeight="1" x14ac:dyDescent="0.35">
      <c r="A306" s="8" t="str">
        <f>IF(מלאי!D306&lt;&gt;"",מלאי!D306,"")</f>
        <v/>
      </c>
      <c r="B306" s="8" t="str">
        <f>IF(מלאי!D306&lt;&gt;"",מלאי!B306&amp;IF(מלאי!C306&lt;&gt;""," ("&amp;מלאי!C306&amp;")",""),"")</f>
        <v/>
      </c>
      <c r="C306" s="8" t="str">
        <f>IF(מלאי!D306&lt;&gt;"",מלאי!A306,"")</f>
        <v/>
      </c>
      <c r="D306" s="8" t="str">
        <f>IF(מלאי!D306&lt;&gt;"",מלאי!H306,"")</f>
        <v/>
      </c>
      <c r="E306" s="8"/>
      <c r="F306" s="8"/>
      <c r="G306" s="8"/>
      <c r="H306" s="8" t="str">
        <f>IF(מלאי!D306&lt;&gt;"",מלאי!I306,"")</f>
        <v/>
      </c>
      <c r="I306" s="8"/>
      <c r="J306" s="8"/>
      <c r="K306" s="8"/>
      <c r="L306" s="8"/>
    </row>
    <row r="307" spans="1:12" ht="15" customHeight="1" x14ac:dyDescent="0.35">
      <c r="A307" s="8" t="str">
        <f>IF(מלאי!D307&lt;&gt;"",מלאי!D307,"")</f>
        <v/>
      </c>
      <c r="B307" s="8" t="str">
        <f>IF(מלאי!D307&lt;&gt;"",מלאי!B307&amp;IF(מלאי!C307&lt;&gt;""," ("&amp;מלאי!C307&amp;")",""),"")</f>
        <v/>
      </c>
      <c r="C307" s="8" t="str">
        <f>IF(מלאי!D307&lt;&gt;"",מלאי!A307,"")</f>
        <v/>
      </c>
      <c r="D307" s="8" t="str">
        <f>IF(מלאי!D307&lt;&gt;"",מלאי!H307,"")</f>
        <v/>
      </c>
      <c r="E307" s="8"/>
      <c r="F307" s="8"/>
      <c r="G307" s="8"/>
      <c r="H307" s="8" t="str">
        <f>IF(מלאי!D307&lt;&gt;"",מלאי!I307,"")</f>
        <v/>
      </c>
      <c r="I307" s="8"/>
      <c r="J307" s="8"/>
      <c r="K307" s="8"/>
      <c r="L307" s="8"/>
    </row>
    <row r="308" spans="1:12" ht="15" customHeight="1" x14ac:dyDescent="0.35">
      <c r="A308" s="8" t="str">
        <f>IF(מלאי!D308&lt;&gt;"",מלאי!D308,"")</f>
        <v/>
      </c>
      <c r="B308" s="8" t="str">
        <f>IF(מלאי!D308&lt;&gt;"",מלאי!B308&amp;IF(מלאי!C308&lt;&gt;""," ("&amp;מלאי!C308&amp;")",""),"")</f>
        <v/>
      </c>
      <c r="C308" s="8" t="str">
        <f>IF(מלאי!D308&lt;&gt;"",מלאי!A308,"")</f>
        <v/>
      </c>
      <c r="D308" s="8" t="str">
        <f>IF(מלאי!D308&lt;&gt;"",מלאי!H308,"")</f>
        <v/>
      </c>
      <c r="E308" s="8"/>
      <c r="F308" s="8"/>
      <c r="G308" s="8"/>
      <c r="H308" s="8" t="str">
        <f>IF(מלאי!D308&lt;&gt;"",מלאי!I308,"")</f>
        <v/>
      </c>
      <c r="I308" s="8"/>
      <c r="J308" s="8"/>
      <c r="K308" s="8"/>
      <c r="L308" s="8"/>
    </row>
    <row r="309" spans="1:12" ht="15" customHeight="1" x14ac:dyDescent="0.35">
      <c r="A309" s="8" t="str">
        <f>IF(מלאי!D309&lt;&gt;"",מלאי!D309,"")</f>
        <v/>
      </c>
      <c r="B309" s="8" t="str">
        <f>IF(מלאי!D309&lt;&gt;"",מלאי!B309&amp;IF(מלאי!C309&lt;&gt;""," ("&amp;מלאי!C309&amp;")",""),"")</f>
        <v/>
      </c>
      <c r="C309" s="8" t="str">
        <f>IF(מלאי!D309&lt;&gt;"",מלאי!A309,"")</f>
        <v/>
      </c>
      <c r="D309" s="8" t="str">
        <f>IF(מלאי!D309&lt;&gt;"",מלאי!H309,"")</f>
        <v/>
      </c>
      <c r="E309" s="8"/>
      <c r="F309" s="8"/>
      <c r="G309" s="8"/>
      <c r="H309" s="8" t="str">
        <f>IF(מלאי!D309&lt;&gt;"",מלאי!I309,"")</f>
        <v/>
      </c>
      <c r="I309" s="8"/>
      <c r="J309" s="8"/>
      <c r="K309" s="8"/>
      <c r="L309" s="8"/>
    </row>
    <row r="310" spans="1:12" ht="15" customHeight="1" x14ac:dyDescent="0.35">
      <c r="A310" s="8" t="str">
        <f>IF(מלאי!D310&lt;&gt;"",מלאי!D310,"")</f>
        <v/>
      </c>
      <c r="B310" s="8" t="str">
        <f>IF(מלאי!D310&lt;&gt;"",מלאי!B310&amp;IF(מלאי!C310&lt;&gt;""," ("&amp;מלאי!C310&amp;")",""),"")</f>
        <v/>
      </c>
      <c r="C310" s="8" t="str">
        <f>IF(מלאי!D310&lt;&gt;"",מלאי!A310,"")</f>
        <v/>
      </c>
      <c r="D310" s="8" t="str">
        <f>IF(מלאי!D310&lt;&gt;"",מלאי!H310,"")</f>
        <v/>
      </c>
      <c r="E310" s="8"/>
      <c r="F310" s="8"/>
      <c r="G310" s="8"/>
      <c r="H310" s="8" t="str">
        <f>IF(מלאי!D310&lt;&gt;"",מלאי!I310,"")</f>
        <v/>
      </c>
      <c r="I310" s="8"/>
      <c r="J310" s="8"/>
      <c r="K310" s="8"/>
      <c r="L310" s="8"/>
    </row>
    <row r="311" spans="1:12" ht="15" customHeight="1" x14ac:dyDescent="0.35">
      <c r="A311" s="8" t="str">
        <f>IF(מלאי!D311&lt;&gt;"",מלאי!D311,"")</f>
        <v/>
      </c>
      <c r="B311" s="8" t="str">
        <f>IF(מלאי!D311&lt;&gt;"",מלאי!B311&amp;IF(מלאי!C311&lt;&gt;""," ("&amp;מלאי!C311&amp;")",""),"")</f>
        <v/>
      </c>
      <c r="C311" s="8" t="str">
        <f>IF(מלאי!D311&lt;&gt;"",מלאי!A311,"")</f>
        <v/>
      </c>
      <c r="D311" s="8" t="str">
        <f>IF(מלאי!D311&lt;&gt;"",מלאי!H311,"")</f>
        <v/>
      </c>
      <c r="E311" s="8"/>
      <c r="F311" s="8"/>
      <c r="G311" s="8"/>
      <c r="H311" s="8" t="str">
        <f>IF(מלאי!D311&lt;&gt;"",מלאי!I311,"")</f>
        <v/>
      </c>
      <c r="I311" s="8"/>
      <c r="J311" s="8"/>
      <c r="K311" s="8"/>
      <c r="L311" s="8"/>
    </row>
    <row r="312" spans="1:12" ht="15" customHeight="1" x14ac:dyDescent="0.35">
      <c r="A312" s="8" t="str">
        <f>IF(מלאי!D312&lt;&gt;"",מלאי!D312,"")</f>
        <v/>
      </c>
      <c r="B312" s="8" t="str">
        <f>IF(מלאי!D312&lt;&gt;"",מלאי!B312&amp;IF(מלאי!C312&lt;&gt;""," ("&amp;מלאי!C312&amp;")",""),"")</f>
        <v/>
      </c>
      <c r="C312" s="8" t="str">
        <f>IF(מלאי!D312&lt;&gt;"",מלאי!A312,"")</f>
        <v/>
      </c>
      <c r="D312" s="8" t="str">
        <f>IF(מלאי!D312&lt;&gt;"",מלאי!H312,"")</f>
        <v/>
      </c>
      <c r="E312" s="8"/>
      <c r="F312" s="8"/>
      <c r="G312" s="8"/>
      <c r="H312" s="8" t="str">
        <f>IF(מלאי!D312&lt;&gt;"",מלאי!I312,"")</f>
        <v/>
      </c>
      <c r="I312" s="8"/>
      <c r="J312" s="8"/>
      <c r="K312" s="8"/>
      <c r="L312" s="8"/>
    </row>
    <row r="313" spans="1:12" ht="15" customHeight="1" x14ac:dyDescent="0.35">
      <c r="A313" s="8" t="str">
        <f>IF(מלאי!D313&lt;&gt;"",מלאי!D313,"")</f>
        <v/>
      </c>
      <c r="B313" s="8" t="str">
        <f>IF(מלאי!D313&lt;&gt;"",מלאי!B313&amp;IF(מלאי!C313&lt;&gt;""," ("&amp;מלאי!C313&amp;")",""),"")</f>
        <v/>
      </c>
      <c r="C313" s="8" t="str">
        <f>IF(מלאי!D313&lt;&gt;"",מלאי!A313,"")</f>
        <v/>
      </c>
      <c r="D313" s="8" t="str">
        <f>IF(מלאי!D313&lt;&gt;"",מלאי!H313,"")</f>
        <v/>
      </c>
      <c r="E313" s="8"/>
      <c r="F313" s="8"/>
      <c r="G313" s="8"/>
      <c r="H313" s="8" t="str">
        <f>IF(מלאי!D313&lt;&gt;"",מלאי!I313,"")</f>
        <v/>
      </c>
      <c r="I313" s="8"/>
      <c r="J313" s="8"/>
      <c r="K313" s="8"/>
      <c r="L313" s="8"/>
    </row>
    <row r="314" spans="1:12" ht="15" customHeight="1" x14ac:dyDescent="0.35">
      <c r="A314" s="8" t="str">
        <f>IF(מלאי!D314&lt;&gt;"",מלאי!D314,"")</f>
        <v/>
      </c>
      <c r="B314" s="8" t="str">
        <f>IF(מלאי!D314&lt;&gt;"",מלאי!B314&amp;IF(מלאי!C314&lt;&gt;""," ("&amp;מלאי!C314&amp;")",""),"")</f>
        <v/>
      </c>
      <c r="C314" s="8" t="str">
        <f>IF(מלאי!D314&lt;&gt;"",מלאי!A314,"")</f>
        <v/>
      </c>
      <c r="D314" s="8" t="str">
        <f>IF(מלאי!D314&lt;&gt;"",מלאי!H314,"")</f>
        <v/>
      </c>
      <c r="E314" s="8"/>
      <c r="F314" s="8"/>
      <c r="G314" s="8"/>
      <c r="H314" s="8" t="str">
        <f>IF(מלאי!D314&lt;&gt;"",מלאי!I314,"")</f>
        <v/>
      </c>
      <c r="I314" s="8"/>
      <c r="J314" s="8"/>
      <c r="K314" s="8"/>
      <c r="L314" s="8"/>
    </row>
    <row r="315" spans="1:12" ht="15" customHeight="1" x14ac:dyDescent="0.35">
      <c r="A315" s="8" t="str">
        <f>IF(מלאי!D315&lt;&gt;"",מלאי!D315,"")</f>
        <v/>
      </c>
      <c r="B315" s="8" t="str">
        <f>IF(מלאי!D315&lt;&gt;"",מלאי!B315&amp;IF(מלאי!C315&lt;&gt;""," ("&amp;מלאי!C315&amp;")",""),"")</f>
        <v/>
      </c>
      <c r="C315" s="8" t="str">
        <f>IF(מלאי!D315&lt;&gt;"",מלאי!A315,"")</f>
        <v/>
      </c>
      <c r="D315" s="8" t="str">
        <f>IF(מלאי!D315&lt;&gt;"",מלאי!H315,"")</f>
        <v/>
      </c>
      <c r="E315" s="8"/>
      <c r="F315" s="8"/>
      <c r="G315" s="8"/>
      <c r="H315" s="8" t="str">
        <f>IF(מלאי!D315&lt;&gt;"",מלאי!I315,"")</f>
        <v/>
      </c>
      <c r="I315" s="8"/>
      <c r="J315" s="8"/>
      <c r="K315" s="8"/>
      <c r="L315" s="8"/>
    </row>
    <row r="316" spans="1:12" ht="15" customHeight="1" x14ac:dyDescent="0.35">
      <c r="A316" s="8" t="str">
        <f>IF(מלאי!D316&lt;&gt;"",מלאי!D316,"")</f>
        <v/>
      </c>
      <c r="B316" s="8" t="str">
        <f>IF(מלאי!D316&lt;&gt;"",מלאי!B316&amp;IF(מלאי!C316&lt;&gt;""," ("&amp;מלאי!C316&amp;")",""),"")</f>
        <v/>
      </c>
      <c r="C316" s="8" t="str">
        <f>IF(מלאי!D316&lt;&gt;"",מלאי!A316,"")</f>
        <v/>
      </c>
      <c r="D316" s="8" t="str">
        <f>IF(מלאי!D316&lt;&gt;"",מלאי!H316,"")</f>
        <v/>
      </c>
      <c r="E316" s="8"/>
      <c r="F316" s="8"/>
      <c r="G316" s="8"/>
      <c r="H316" s="8" t="str">
        <f>IF(מלאי!D316&lt;&gt;"",מלאי!I316,"")</f>
        <v/>
      </c>
      <c r="I316" s="8"/>
      <c r="J316" s="8"/>
      <c r="K316" s="8"/>
      <c r="L316" s="8"/>
    </row>
    <row r="317" spans="1:12" ht="15" customHeight="1" x14ac:dyDescent="0.35">
      <c r="A317" s="8" t="str">
        <f>IF(מלאי!D317&lt;&gt;"",מלאי!D317,"")</f>
        <v/>
      </c>
      <c r="B317" s="8" t="str">
        <f>IF(מלאי!D317&lt;&gt;"",מלאי!B317&amp;IF(מלאי!C317&lt;&gt;""," ("&amp;מלאי!C317&amp;")",""),"")</f>
        <v/>
      </c>
      <c r="C317" s="8" t="str">
        <f>IF(מלאי!D317&lt;&gt;"",מלאי!A317,"")</f>
        <v/>
      </c>
      <c r="D317" s="8" t="str">
        <f>IF(מלאי!D317&lt;&gt;"",מלאי!H317,"")</f>
        <v/>
      </c>
      <c r="E317" s="8"/>
      <c r="F317" s="8"/>
      <c r="G317" s="8"/>
      <c r="H317" s="8" t="str">
        <f>IF(מלאי!D317&lt;&gt;"",מלאי!I317,"")</f>
        <v/>
      </c>
      <c r="I317" s="8"/>
      <c r="J317" s="8"/>
      <c r="K317" s="8"/>
      <c r="L317" s="8"/>
    </row>
    <row r="318" spans="1:12" ht="15" customHeight="1" x14ac:dyDescent="0.35">
      <c r="A318" s="8" t="str">
        <f>IF(מלאי!D318&lt;&gt;"",מלאי!D318,"")</f>
        <v/>
      </c>
      <c r="B318" s="8" t="str">
        <f>IF(מלאי!D318&lt;&gt;"",מלאי!B318&amp;IF(מלאי!C318&lt;&gt;""," ("&amp;מלאי!C318&amp;")",""),"")</f>
        <v/>
      </c>
      <c r="C318" s="8" t="str">
        <f>IF(מלאי!D318&lt;&gt;"",מלאי!A318,"")</f>
        <v/>
      </c>
      <c r="D318" s="8" t="str">
        <f>IF(מלאי!D318&lt;&gt;"",מלאי!H318,"")</f>
        <v/>
      </c>
      <c r="E318" s="8"/>
      <c r="F318" s="8"/>
      <c r="G318" s="8"/>
      <c r="H318" s="8" t="str">
        <f>IF(מלאי!D318&lt;&gt;"",מלאי!I318,"")</f>
        <v/>
      </c>
      <c r="I318" s="8"/>
      <c r="J318" s="8"/>
      <c r="K318" s="8"/>
      <c r="L318" s="8"/>
    </row>
    <row r="319" spans="1:12" ht="15" customHeight="1" x14ac:dyDescent="0.35">
      <c r="A319" s="8" t="str">
        <f>IF(מלאי!D319&lt;&gt;"",מלאי!D319,"")</f>
        <v/>
      </c>
      <c r="B319" s="8" t="str">
        <f>IF(מלאי!D319&lt;&gt;"",מלאי!B319&amp;IF(מלאי!C319&lt;&gt;""," ("&amp;מלאי!C319&amp;")",""),"")</f>
        <v/>
      </c>
      <c r="C319" s="8" t="str">
        <f>IF(מלאי!D319&lt;&gt;"",מלאי!A319,"")</f>
        <v/>
      </c>
      <c r="D319" s="8" t="str">
        <f>IF(מלאי!D319&lt;&gt;"",מלאי!H319,"")</f>
        <v/>
      </c>
      <c r="E319" s="8"/>
      <c r="F319" s="8"/>
      <c r="G319" s="8"/>
      <c r="H319" s="8" t="str">
        <f>IF(מלאי!D319&lt;&gt;"",מלאי!I319,"")</f>
        <v/>
      </c>
      <c r="I319" s="8"/>
      <c r="J319" s="8"/>
      <c r="K319" s="8"/>
      <c r="L319" s="8"/>
    </row>
    <row r="320" spans="1:12" ht="15" customHeight="1" x14ac:dyDescent="0.35">
      <c r="A320" s="8" t="str">
        <f>IF(מלאי!D320&lt;&gt;"",מלאי!D320,"")</f>
        <v/>
      </c>
      <c r="B320" s="8" t="str">
        <f>IF(מלאי!D320&lt;&gt;"",מלאי!B320&amp;IF(מלאי!C320&lt;&gt;""," ("&amp;מלאי!C320&amp;")",""),"")</f>
        <v/>
      </c>
      <c r="C320" s="8" t="str">
        <f>IF(מלאי!D320&lt;&gt;"",מלאי!A320,"")</f>
        <v/>
      </c>
      <c r="D320" s="8" t="str">
        <f>IF(מלאי!D320&lt;&gt;"",מלאי!H320,"")</f>
        <v/>
      </c>
      <c r="E320" s="8"/>
      <c r="F320" s="8"/>
      <c r="G320" s="8"/>
      <c r="H320" s="8" t="str">
        <f>IF(מלאי!D320&lt;&gt;"",מלאי!I320,"")</f>
        <v/>
      </c>
      <c r="I320" s="8"/>
      <c r="J320" s="8"/>
      <c r="K320" s="8"/>
      <c r="L320" s="8"/>
    </row>
    <row r="321" spans="1:12" ht="15" customHeight="1" x14ac:dyDescent="0.35">
      <c r="A321" s="8" t="str">
        <f>IF(מלאי!D321&lt;&gt;"",מלאי!D321,"")</f>
        <v/>
      </c>
      <c r="B321" s="8" t="str">
        <f>IF(מלאי!D321&lt;&gt;"",מלאי!B321&amp;IF(מלאי!C321&lt;&gt;""," ("&amp;מלאי!C321&amp;")",""),"")</f>
        <v/>
      </c>
      <c r="C321" s="8" t="str">
        <f>IF(מלאי!D321&lt;&gt;"",מלאי!A321,"")</f>
        <v/>
      </c>
      <c r="D321" s="8" t="str">
        <f>IF(מלאי!D321&lt;&gt;"",מלאי!H321,"")</f>
        <v/>
      </c>
      <c r="E321" s="8"/>
      <c r="F321" s="8"/>
      <c r="G321" s="8"/>
      <c r="H321" s="8" t="str">
        <f>IF(מלאי!D321&lt;&gt;"",מלאי!I321,"")</f>
        <v/>
      </c>
      <c r="I321" s="8"/>
      <c r="J321" s="8"/>
      <c r="K321" s="8"/>
      <c r="L321" s="8"/>
    </row>
    <row r="322" spans="1:12" ht="15" customHeight="1" x14ac:dyDescent="0.35">
      <c r="A322" s="8" t="str">
        <f>IF(מלאי!D322&lt;&gt;"",מלאי!D322,"")</f>
        <v/>
      </c>
      <c r="B322" s="8" t="str">
        <f>IF(מלאי!D322&lt;&gt;"",מלאי!B322&amp;IF(מלאי!C322&lt;&gt;""," ("&amp;מלאי!C322&amp;")",""),"")</f>
        <v/>
      </c>
      <c r="C322" s="8" t="str">
        <f>IF(מלאי!D322&lt;&gt;"",מלאי!A322,"")</f>
        <v/>
      </c>
      <c r="D322" s="8" t="str">
        <f>IF(מלאי!D322&lt;&gt;"",מלאי!H322,"")</f>
        <v/>
      </c>
      <c r="E322" s="8"/>
      <c r="F322" s="8"/>
      <c r="G322" s="8"/>
      <c r="H322" s="8" t="str">
        <f>IF(מלאי!D322&lt;&gt;"",מלאי!I322,"")</f>
        <v/>
      </c>
      <c r="I322" s="8"/>
      <c r="J322" s="8"/>
      <c r="K322" s="8"/>
      <c r="L322" s="8"/>
    </row>
    <row r="323" spans="1:12" ht="15" customHeight="1" x14ac:dyDescent="0.35">
      <c r="A323" s="8" t="str">
        <f>IF(מלאי!D323&lt;&gt;"",מלאי!D323,"")</f>
        <v/>
      </c>
      <c r="B323" s="8" t="str">
        <f>IF(מלאי!D323&lt;&gt;"",מלאי!B323&amp;IF(מלאי!C323&lt;&gt;""," ("&amp;מלאי!C323&amp;")",""),"")</f>
        <v/>
      </c>
      <c r="C323" s="8" t="str">
        <f>IF(מלאי!D323&lt;&gt;"",מלאי!A323,"")</f>
        <v/>
      </c>
      <c r="D323" s="8" t="str">
        <f>IF(מלאי!D323&lt;&gt;"",מלאי!H323,"")</f>
        <v/>
      </c>
      <c r="E323" s="8"/>
      <c r="F323" s="8"/>
      <c r="G323" s="8"/>
      <c r="H323" s="8" t="str">
        <f>IF(מלאי!D323&lt;&gt;"",מלאי!I323,"")</f>
        <v/>
      </c>
      <c r="I323" s="8"/>
      <c r="J323" s="8"/>
      <c r="K323" s="8"/>
      <c r="L323" s="8"/>
    </row>
    <row r="324" spans="1:12" ht="15" customHeight="1" x14ac:dyDescent="0.35">
      <c r="A324" s="8" t="str">
        <f>IF(מלאי!D324&lt;&gt;"",מלאי!D324,"")</f>
        <v/>
      </c>
      <c r="B324" s="8" t="str">
        <f>IF(מלאי!D324&lt;&gt;"",מלאי!B324&amp;IF(מלאי!C324&lt;&gt;""," ("&amp;מלאי!C324&amp;")",""),"")</f>
        <v/>
      </c>
      <c r="C324" s="8" t="str">
        <f>IF(מלאי!D324&lt;&gt;"",מלאי!A324,"")</f>
        <v/>
      </c>
      <c r="D324" s="8" t="str">
        <f>IF(מלאי!D324&lt;&gt;"",מלאי!H324,"")</f>
        <v/>
      </c>
      <c r="E324" s="8"/>
      <c r="F324" s="8"/>
      <c r="G324" s="8"/>
      <c r="H324" s="8" t="str">
        <f>IF(מלאי!D324&lt;&gt;"",מלאי!I324,"")</f>
        <v/>
      </c>
      <c r="I324" s="8"/>
      <c r="J324" s="8"/>
      <c r="K324" s="8"/>
      <c r="L324" s="8"/>
    </row>
    <row r="325" spans="1:12" ht="15" customHeight="1" x14ac:dyDescent="0.35">
      <c r="A325" s="8" t="str">
        <f>IF(מלאי!D325&lt;&gt;"",מלאי!D325,"")</f>
        <v/>
      </c>
      <c r="B325" s="8" t="str">
        <f>IF(מלאי!D325&lt;&gt;"",מלאי!B325&amp;IF(מלאי!C325&lt;&gt;""," ("&amp;מלאי!C325&amp;")",""),"")</f>
        <v/>
      </c>
      <c r="C325" s="8" t="str">
        <f>IF(מלאי!D325&lt;&gt;"",מלאי!A325,"")</f>
        <v/>
      </c>
      <c r="D325" s="8" t="str">
        <f>IF(מלאי!D325&lt;&gt;"",מלאי!H325,"")</f>
        <v/>
      </c>
      <c r="E325" s="8"/>
      <c r="F325" s="8"/>
      <c r="G325" s="8"/>
      <c r="H325" s="8" t="str">
        <f>IF(מלאי!D325&lt;&gt;"",מלאי!I325,"")</f>
        <v/>
      </c>
      <c r="I325" s="8"/>
      <c r="J325" s="8"/>
      <c r="K325" s="8"/>
      <c r="L325" s="8"/>
    </row>
    <row r="326" spans="1:12" ht="15" customHeight="1" x14ac:dyDescent="0.35">
      <c r="A326" s="8" t="str">
        <f>IF(מלאי!D326&lt;&gt;"",מלאי!D326,"")</f>
        <v/>
      </c>
      <c r="B326" s="8" t="str">
        <f>IF(מלאי!D326&lt;&gt;"",מלאי!B326&amp;IF(מלאי!C326&lt;&gt;""," ("&amp;מלאי!C326&amp;")",""),"")</f>
        <v/>
      </c>
      <c r="C326" s="8" t="str">
        <f>IF(מלאי!D326&lt;&gt;"",מלאי!A326,"")</f>
        <v/>
      </c>
      <c r="D326" s="8" t="str">
        <f>IF(מלאי!D326&lt;&gt;"",מלאי!H326,"")</f>
        <v/>
      </c>
      <c r="E326" s="8"/>
      <c r="F326" s="8"/>
      <c r="G326" s="8"/>
      <c r="H326" s="8" t="str">
        <f>IF(מלאי!D326&lt;&gt;"",מלאי!I326,"")</f>
        <v/>
      </c>
      <c r="I326" s="8"/>
      <c r="J326" s="8"/>
      <c r="K326" s="8"/>
      <c r="L326" s="8"/>
    </row>
    <row r="327" spans="1:12" ht="15" customHeight="1" x14ac:dyDescent="0.35">
      <c r="A327" s="8" t="str">
        <f>IF(מלאי!D327&lt;&gt;"",מלאי!D327,"")</f>
        <v/>
      </c>
      <c r="B327" s="8" t="str">
        <f>IF(מלאי!D327&lt;&gt;"",מלאי!B327&amp;IF(מלאי!C327&lt;&gt;""," ("&amp;מלאי!C327&amp;")",""),"")</f>
        <v/>
      </c>
      <c r="C327" s="8" t="str">
        <f>IF(מלאי!D327&lt;&gt;"",מלאי!A327,"")</f>
        <v/>
      </c>
      <c r="D327" s="8" t="str">
        <f>IF(מלאי!D327&lt;&gt;"",מלאי!H327,"")</f>
        <v/>
      </c>
      <c r="E327" s="8"/>
      <c r="F327" s="8"/>
      <c r="G327" s="8"/>
      <c r="H327" s="8" t="str">
        <f>IF(מלאי!D327&lt;&gt;"",מלאי!I327,"")</f>
        <v/>
      </c>
      <c r="I327" s="8"/>
      <c r="J327" s="8"/>
      <c r="K327" s="8"/>
      <c r="L327" s="8"/>
    </row>
    <row r="328" spans="1:12" ht="15" customHeight="1" x14ac:dyDescent="0.35">
      <c r="A328" s="8" t="str">
        <f>IF(מלאי!D328&lt;&gt;"",מלאי!D328,"")</f>
        <v/>
      </c>
      <c r="B328" s="8" t="str">
        <f>IF(מלאי!D328&lt;&gt;"",מלאי!B328&amp;IF(מלאי!C328&lt;&gt;""," ("&amp;מלאי!C328&amp;")",""),"")</f>
        <v/>
      </c>
      <c r="C328" s="8" t="str">
        <f>IF(מלאי!D328&lt;&gt;"",מלאי!A328,"")</f>
        <v/>
      </c>
      <c r="D328" s="8" t="str">
        <f>IF(מלאי!D328&lt;&gt;"",מלאי!H328,"")</f>
        <v/>
      </c>
      <c r="E328" s="8"/>
      <c r="F328" s="8"/>
      <c r="G328" s="8"/>
      <c r="H328" s="8" t="str">
        <f>IF(מלאי!D328&lt;&gt;"",מלאי!I328,"")</f>
        <v/>
      </c>
      <c r="I328" s="8"/>
      <c r="J328" s="8"/>
      <c r="K328" s="8"/>
      <c r="L328" s="8"/>
    </row>
    <row r="329" spans="1:12" ht="15" customHeight="1" x14ac:dyDescent="0.35">
      <c r="A329" s="8" t="str">
        <f>IF(מלאי!D329&lt;&gt;"",מלאי!D329,"")</f>
        <v/>
      </c>
      <c r="B329" s="8" t="str">
        <f>IF(מלאי!D329&lt;&gt;"",מלאי!B329&amp;IF(מלאי!C329&lt;&gt;""," ("&amp;מלאי!C329&amp;")",""),"")</f>
        <v/>
      </c>
      <c r="C329" s="8" t="str">
        <f>IF(מלאי!D329&lt;&gt;"",מלאי!A329,"")</f>
        <v/>
      </c>
      <c r="D329" s="8" t="str">
        <f>IF(מלאי!D329&lt;&gt;"",מלאי!H329,"")</f>
        <v/>
      </c>
      <c r="E329" s="8"/>
      <c r="F329" s="8"/>
      <c r="G329" s="8"/>
      <c r="H329" s="8" t="str">
        <f>IF(מלאי!D329&lt;&gt;"",מלאי!I329,"")</f>
        <v/>
      </c>
      <c r="I329" s="8"/>
      <c r="J329" s="8"/>
      <c r="K329" s="8"/>
      <c r="L329" s="8"/>
    </row>
    <row r="330" spans="1:12" ht="15" customHeight="1" x14ac:dyDescent="0.35">
      <c r="A330" s="8" t="str">
        <f>IF(מלאי!D330&lt;&gt;"",מלאי!D330,"")</f>
        <v/>
      </c>
      <c r="B330" s="8" t="str">
        <f>IF(מלאי!D330&lt;&gt;"",מלאי!B330&amp;IF(מלאי!C330&lt;&gt;""," ("&amp;מלאי!C330&amp;")",""),"")</f>
        <v/>
      </c>
      <c r="C330" s="8" t="str">
        <f>IF(מלאי!D330&lt;&gt;"",מלאי!A330,"")</f>
        <v/>
      </c>
      <c r="D330" s="8" t="str">
        <f>IF(מלאי!D330&lt;&gt;"",מלאי!H330,"")</f>
        <v/>
      </c>
      <c r="E330" s="8"/>
      <c r="F330" s="8"/>
      <c r="G330" s="8"/>
      <c r="H330" s="8" t="str">
        <f>IF(מלאי!D330&lt;&gt;"",מלאי!I330,"")</f>
        <v/>
      </c>
      <c r="I330" s="8"/>
      <c r="J330" s="8"/>
      <c r="K330" s="8"/>
      <c r="L330" s="8"/>
    </row>
    <row r="331" spans="1:12" ht="15" customHeight="1" x14ac:dyDescent="0.35">
      <c r="A331" s="8" t="str">
        <f>IF(מלאי!D331&lt;&gt;"",מלאי!D331,"")</f>
        <v/>
      </c>
      <c r="B331" s="8" t="str">
        <f>IF(מלאי!D331&lt;&gt;"",מלאי!B331&amp;IF(מלאי!C331&lt;&gt;""," ("&amp;מלאי!C331&amp;")",""),"")</f>
        <v/>
      </c>
      <c r="C331" s="8" t="str">
        <f>IF(מלאי!D331&lt;&gt;"",מלאי!A331,"")</f>
        <v/>
      </c>
      <c r="D331" s="8" t="str">
        <f>IF(מלאי!D331&lt;&gt;"",מלאי!H331,"")</f>
        <v/>
      </c>
      <c r="E331" s="8"/>
      <c r="F331" s="8"/>
      <c r="G331" s="8"/>
      <c r="H331" s="8" t="str">
        <f>IF(מלאי!D331&lt;&gt;"",מלאי!I331,"")</f>
        <v/>
      </c>
      <c r="I331" s="8"/>
      <c r="J331" s="8"/>
      <c r="K331" s="8"/>
      <c r="L331" s="8"/>
    </row>
    <row r="332" spans="1:12" ht="15" customHeight="1" x14ac:dyDescent="0.35">
      <c r="A332" s="8" t="str">
        <f>IF(מלאי!D332&lt;&gt;"",מלאי!D332,"")</f>
        <v/>
      </c>
      <c r="B332" s="8" t="str">
        <f>IF(מלאי!D332&lt;&gt;"",מלאי!B332&amp;IF(מלאי!C332&lt;&gt;""," ("&amp;מלאי!C332&amp;")",""),"")</f>
        <v/>
      </c>
      <c r="C332" s="8" t="str">
        <f>IF(מלאי!D332&lt;&gt;"",מלאי!A332,"")</f>
        <v/>
      </c>
      <c r="D332" s="8" t="str">
        <f>IF(מלאי!D332&lt;&gt;"",מלאי!H332,"")</f>
        <v/>
      </c>
      <c r="E332" s="8"/>
      <c r="F332" s="8"/>
      <c r="G332" s="8"/>
      <c r="H332" s="8" t="str">
        <f>IF(מלאי!D332&lt;&gt;"",מלאי!I332,"")</f>
        <v/>
      </c>
      <c r="I332" s="8"/>
      <c r="J332" s="8"/>
      <c r="K332" s="8"/>
      <c r="L332" s="8"/>
    </row>
    <row r="333" spans="1:12" ht="15" customHeight="1" x14ac:dyDescent="0.35">
      <c r="A333" s="8" t="str">
        <f>IF(מלאי!D333&lt;&gt;"",מלאי!D333,"")</f>
        <v/>
      </c>
      <c r="B333" s="8" t="str">
        <f>IF(מלאי!D333&lt;&gt;"",מלאי!B333&amp;IF(מלאי!C333&lt;&gt;""," ("&amp;מלאי!C333&amp;")",""),"")</f>
        <v/>
      </c>
      <c r="C333" s="8" t="str">
        <f>IF(מלאי!D333&lt;&gt;"",מלאי!A333,"")</f>
        <v/>
      </c>
      <c r="D333" s="8" t="str">
        <f>IF(מלאי!D333&lt;&gt;"",מלאי!H333,"")</f>
        <v/>
      </c>
      <c r="E333" s="8"/>
      <c r="F333" s="8"/>
      <c r="G333" s="8"/>
      <c r="H333" s="8" t="str">
        <f>IF(מלאי!D333&lt;&gt;"",מלאי!I333,"")</f>
        <v/>
      </c>
      <c r="I333" s="8"/>
      <c r="J333" s="8"/>
      <c r="K333" s="8"/>
      <c r="L333" s="8"/>
    </row>
    <row r="334" spans="1:12" ht="15" customHeight="1" x14ac:dyDescent="0.35">
      <c r="A334" s="8" t="str">
        <f>IF(מלאי!D334&lt;&gt;"",מלאי!D334,"")</f>
        <v/>
      </c>
      <c r="B334" s="8" t="str">
        <f>IF(מלאי!D334&lt;&gt;"",מלאי!B334&amp;IF(מלאי!C334&lt;&gt;""," ("&amp;מלאי!C334&amp;")",""),"")</f>
        <v/>
      </c>
      <c r="C334" s="8" t="str">
        <f>IF(מלאי!D334&lt;&gt;"",מלאי!A334,"")</f>
        <v/>
      </c>
      <c r="D334" s="8" t="str">
        <f>IF(מלאי!D334&lt;&gt;"",מלאי!H334,"")</f>
        <v/>
      </c>
      <c r="E334" s="8"/>
      <c r="F334" s="8"/>
      <c r="G334" s="8"/>
      <c r="H334" s="8" t="str">
        <f>IF(מלאי!D334&lt;&gt;"",מלאי!I334,"")</f>
        <v/>
      </c>
      <c r="I334" s="8"/>
      <c r="J334" s="8"/>
      <c r="K334" s="8"/>
      <c r="L334" s="8"/>
    </row>
    <row r="335" spans="1:12" ht="15" customHeight="1" x14ac:dyDescent="0.35">
      <c r="A335" s="8" t="str">
        <f>IF(מלאי!D335&lt;&gt;"",מלאי!D335,"")</f>
        <v/>
      </c>
      <c r="B335" s="8" t="str">
        <f>IF(מלאי!D335&lt;&gt;"",מלאי!B335&amp;IF(מלאי!C335&lt;&gt;""," ("&amp;מלאי!C335&amp;")",""),"")</f>
        <v/>
      </c>
      <c r="C335" s="8" t="str">
        <f>IF(מלאי!D335&lt;&gt;"",מלאי!A335,"")</f>
        <v/>
      </c>
      <c r="D335" s="8" t="str">
        <f>IF(מלאי!D335&lt;&gt;"",מלאי!H335,"")</f>
        <v/>
      </c>
      <c r="E335" s="8"/>
      <c r="F335" s="8"/>
      <c r="G335" s="8"/>
      <c r="H335" s="8" t="str">
        <f>IF(מלאי!D335&lt;&gt;"",מלאי!I335,"")</f>
        <v/>
      </c>
      <c r="I335" s="8"/>
      <c r="J335" s="8"/>
      <c r="K335" s="8"/>
      <c r="L335" s="8"/>
    </row>
    <row r="336" spans="1:12" ht="15" customHeight="1" x14ac:dyDescent="0.35">
      <c r="A336" s="8" t="str">
        <f>IF(מלאי!D336&lt;&gt;"",מלאי!D336,"")</f>
        <v/>
      </c>
      <c r="B336" s="8" t="str">
        <f>IF(מלאי!D336&lt;&gt;"",מלאי!B336&amp;IF(מלאי!C336&lt;&gt;""," ("&amp;מלאי!C336&amp;")",""),"")</f>
        <v/>
      </c>
      <c r="C336" s="8" t="str">
        <f>IF(מלאי!D336&lt;&gt;"",מלאי!A336,"")</f>
        <v/>
      </c>
      <c r="D336" s="8" t="str">
        <f>IF(מלאי!D336&lt;&gt;"",מלאי!H336,"")</f>
        <v/>
      </c>
      <c r="E336" s="8"/>
      <c r="F336" s="8"/>
      <c r="G336" s="8"/>
      <c r="H336" s="8" t="str">
        <f>IF(מלאי!D336&lt;&gt;"",מלאי!I336,"")</f>
        <v/>
      </c>
      <c r="I336" s="8"/>
      <c r="J336" s="8"/>
      <c r="K336" s="8"/>
      <c r="L336" s="8"/>
    </row>
    <row r="337" spans="1:12" ht="15" customHeight="1" x14ac:dyDescent="0.35">
      <c r="A337" s="8" t="str">
        <f>IF(מלאי!D337&lt;&gt;"",מלאי!D337,"")</f>
        <v/>
      </c>
      <c r="B337" s="8" t="str">
        <f>IF(מלאי!D337&lt;&gt;"",מלאי!B337&amp;IF(מלאי!C337&lt;&gt;""," ("&amp;מלאי!C337&amp;")",""),"")</f>
        <v/>
      </c>
      <c r="C337" s="8" t="str">
        <f>IF(מלאי!D337&lt;&gt;"",מלאי!A337,"")</f>
        <v/>
      </c>
      <c r="D337" s="8" t="str">
        <f>IF(מלאי!D337&lt;&gt;"",מלאי!H337,"")</f>
        <v/>
      </c>
      <c r="E337" s="8"/>
      <c r="F337" s="8"/>
      <c r="G337" s="8"/>
      <c r="H337" s="8" t="str">
        <f>IF(מלאי!D337&lt;&gt;"",מלאי!I337,"")</f>
        <v/>
      </c>
      <c r="I337" s="8"/>
      <c r="J337" s="8"/>
      <c r="K337" s="8"/>
      <c r="L337" s="8"/>
    </row>
    <row r="338" spans="1:12" ht="15" customHeight="1" x14ac:dyDescent="0.35">
      <c r="A338" s="8" t="str">
        <f>IF(מלאי!D338&lt;&gt;"",מלאי!D338,"")</f>
        <v/>
      </c>
      <c r="B338" s="8" t="str">
        <f>IF(מלאי!D338&lt;&gt;"",מלאי!B338&amp;IF(מלאי!C338&lt;&gt;""," ("&amp;מלאי!C338&amp;")",""),"")</f>
        <v/>
      </c>
      <c r="C338" s="8" t="str">
        <f>IF(מלאי!D338&lt;&gt;"",מלאי!A338,"")</f>
        <v/>
      </c>
      <c r="D338" s="8" t="str">
        <f>IF(מלאי!D338&lt;&gt;"",מלאי!H338,"")</f>
        <v/>
      </c>
      <c r="E338" s="8"/>
      <c r="F338" s="8"/>
      <c r="G338" s="8"/>
      <c r="H338" s="8" t="str">
        <f>IF(מלאי!D338&lt;&gt;"",מלאי!I338,"")</f>
        <v/>
      </c>
      <c r="I338" s="8"/>
      <c r="J338" s="8"/>
      <c r="K338" s="8"/>
      <c r="L338" s="8"/>
    </row>
    <row r="339" spans="1:12" ht="15" customHeight="1" x14ac:dyDescent="0.35">
      <c r="A339" s="8" t="str">
        <f>IF(מלאי!D339&lt;&gt;"",מלאי!D339,"")</f>
        <v/>
      </c>
      <c r="B339" s="8" t="str">
        <f>IF(מלאי!D339&lt;&gt;"",מלאי!B339&amp;IF(מלאי!C339&lt;&gt;""," ("&amp;מלאי!C339&amp;")",""),"")</f>
        <v/>
      </c>
      <c r="C339" s="8" t="str">
        <f>IF(מלאי!D339&lt;&gt;"",מלאי!A339,"")</f>
        <v/>
      </c>
      <c r="D339" s="8" t="str">
        <f>IF(מלאי!D339&lt;&gt;"",מלאי!H339,"")</f>
        <v/>
      </c>
      <c r="E339" s="8"/>
      <c r="F339" s="8"/>
      <c r="G339" s="8"/>
      <c r="H339" s="8" t="str">
        <f>IF(מלאי!D339&lt;&gt;"",מלאי!I339,"")</f>
        <v/>
      </c>
      <c r="I339" s="8"/>
      <c r="J339" s="8"/>
      <c r="K339" s="8"/>
      <c r="L339" s="8"/>
    </row>
    <row r="340" spans="1:12" ht="15" customHeight="1" x14ac:dyDescent="0.35">
      <c r="A340" s="8" t="str">
        <f>IF(מלאי!D340&lt;&gt;"",מלאי!D340,"")</f>
        <v/>
      </c>
      <c r="B340" s="8" t="str">
        <f>IF(מלאי!D340&lt;&gt;"",מלאי!B340&amp;IF(מלאי!C340&lt;&gt;""," ("&amp;מלאי!C340&amp;")",""),"")</f>
        <v/>
      </c>
      <c r="C340" s="8" t="str">
        <f>IF(מלאי!D340&lt;&gt;"",מלאי!A340,"")</f>
        <v/>
      </c>
      <c r="D340" s="8" t="str">
        <f>IF(מלאי!D340&lt;&gt;"",מלאי!H340,"")</f>
        <v/>
      </c>
      <c r="E340" s="8"/>
      <c r="F340" s="8"/>
      <c r="G340" s="8"/>
      <c r="H340" s="8" t="str">
        <f>IF(מלאי!D340&lt;&gt;"",מלאי!I340,"")</f>
        <v/>
      </c>
      <c r="I340" s="8"/>
      <c r="J340" s="8"/>
      <c r="K340" s="8"/>
      <c r="L340" s="8"/>
    </row>
    <row r="341" spans="1:12" ht="15" customHeight="1" x14ac:dyDescent="0.35">
      <c r="A341" s="8" t="str">
        <f>IF(מלאי!D341&lt;&gt;"",מלאי!D341,"")</f>
        <v/>
      </c>
      <c r="B341" s="8" t="str">
        <f>IF(מלאי!D341&lt;&gt;"",מלאי!B341&amp;IF(מלאי!C341&lt;&gt;""," ("&amp;מלאי!C341&amp;")",""),"")</f>
        <v/>
      </c>
      <c r="C341" s="8" t="str">
        <f>IF(מלאי!D341&lt;&gt;"",מלאי!A341,"")</f>
        <v/>
      </c>
      <c r="D341" s="8" t="str">
        <f>IF(מלאי!D341&lt;&gt;"",מלאי!H341,"")</f>
        <v/>
      </c>
      <c r="E341" s="8"/>
      <c r="F341" s="8"/>
      <c r="G341" s="8"/>
      <c r="H341" s="8" t="str">
        <f>IF(מלאי!D341&lt;&gt;"",מלאי!I341,"")</f>
        <v/>
      </c>
      <c r="I341" s="8"/>
      <c r="J341" s="8"/>
      <c r="K341" s="8"/>
      <c r="L341" s="8"/>
    </row>
    <row r="342" spans="1:12" ht="15" customHeight="1" x14ac:dyDescent="0.35">
      <c r="A342" s="8" t="str">
        <f>IF(מלאי!D342&lt;&gt;"",מלאי!D342,"")</f>
        <v/>
      </c>
      <c r="B342" s="8" t="str">
        <f>IF(מלאי!D342&lt;&gt;"",מלאי!B342&amp;IF(מלאי!C342&lt;&gt;""," ("&amp;מלאי!C342&amp;")",""),"")</f>
        <v/>
      </c>
      <c r="C342" s="8" t="str">
        <f>IF(מלאי!D342&lt;&gt;"",מלאי!A342,"")</f>
        <v/>
      </c>
      <c r="D342" s="8" t="str">
        <f>IF(מלאי!D342&lt;&gt;"",מלאי!H342,"")</f>
        <v/>
      </c>
      <c r="E342" s="8"/>
      <c r="F342" s="8"/>
      <c r="G342" s="8"/>
      <c r="H342" s="8" t="str">
        <f>IF(מלאי!D342&lt;&gt;"",מלאי!I342,"")</f>
        <v/>
      </c>
      <c r="I342" s="8"/>
      <c r="J342" s="8"/>
      <c r="K342" s="8"/>
      <c r="L342" s="8"/>
    </row>
    <row r="343" spans="1:12" ht="15" customHeight="1" x14ac:dyDescent="0.35">
      <c r="A343" s="8" t="str">
        <f>IF(מלאי!D343&lt;&gt;"",מלאי!D343,"")</f>
        <v/>
      </c>
      <c r="B343" s="8" t="str">
        <f>IF(מלאי!D343&lt;&gt;"",מלאי!B343&amp;IF(מלאי!C343&lt;&gt;""," ("&amp;מלאי!C343&amp;")",""),"")</f>
        <v/>
      </c>
      <c r="C343" s="8" t="str">
        <f>IF(מלאי!D343&lt;&gt;"",מלאי!A343,"")</f>
        <v/>
      </c>
      <c r="D343" s="8" t="str">
        <f>IF(מלאי!D343&lt;&gt;"",מלאי!H343,"")</f>
        <v/>
      </c>
      <c r="E343" s="8"/>
      <c r="F343" s="8"/>
      <c r="G343" s="8"/>
      <c r="H343" s="8" t="str">
        <f>IF(מלאי!D343&lt;&gt;"",מלאי!I343,"")</f>
        <v/>
      </c>
      <c r="I343" s="8"/>
      <c r="J343" s="8"/>
      <c r="K343" s="8"/>
      <c r="L343" s="8"/>
    </row>
    <row r="344" spans="1:12" ht="15" customHeight="1" x14ac:dyDescent="0.35">
      <c r="A344" s="8" t="str">
        <f>IF(מלאי!D344&lt;&gt;"",מלאי!D344,"")</f>
        <v/>
      </c>
      <c r="B344" s="8" t="str">
        <f>IF(מלאי!D344&lt;&gt;"",מלאי!B344&amp;IF(מלאי!C344&lt;&gt;""," ("&amp;מלאי!C344&amp;")",""),"")</f>
        <v/>
      </c>
      <c r="C344" s="8" t="str">
        <f>IF(מלאי!D344&lt;&gt;"",מלאי!A344,"")</f>
        <v/>
      </c>
      <c r="D344" s="8" t="str">
        <f>IF(מלאי!D344&lt;&gt;"",מלאי!H344,"")</f>
        <v/>
      </c>
      <c r="E344" s="8"/>
      <c r="F344" s="8"/>
      <c r="G344" s="8"/>
      <c r="H344" s="8" t="str">
        <f>IF(מלאי!D344&lt;&gt;"",מלאי!I344,"")</f>
        <v/>
      </c>
      <c r="I344" s="8"/>
      <c r="J344" s="8"/>
      <c r="K344" s="8"/>
      <c r="L344" s="8"/>
    </row>
    <row r="345" spans="1:12" ht="15" customHeight="1" x14ac:dyDescent="0.35">
      <c r="A345" s="8" t="str">
        <f>IF(מלאי!D345&lt;&gt;"",מלאי!D345,"")</f>
        <v/>
      </c>
      <c r="B345" s="8" t="str">
        <f>IF(מלאי!D345&lt;&gt;"",מלאי!B345&amp;IF(מלאי!C345&lt;&gt;""," ("&amp;מלאי!C345&amp;")",""),"")</f>
        <v/>
      </c>
      <c r="C345" s="8" t="str">
        <f>IF(מלאי!D345&lt;&gt;"",מלאי!A345,"")</f>
        <v/>
      </c>
      <c r="D345" s="8" t="str">
        <f>IF(מלאי!D345&lt;&gt;"",מלאי!H345,"")</f>
        <v/>
      </c>
      <c r="E345" s="8"/>
      <c r="F345" s="8"/>
      <c r="G345" s="8"/>
      <c r="H345" s="8" t="str">
        <f>IF(מלאי!D345&lt;&gt;"",מלאי!I345,"")</f>
        <v/>
      </c>
      <c r="I345" s="8"/>
      <c r="J345" s="8"/>
      <c r="K345" s="8"/>
      <c r="L345" s="8"/>
    </row>
    <row r="346" spans="1:12" ht="15" customHeight="1" x14ac:dyDescent="0.35">
      <c r="A346" s="8" t="str">
        <f>IF(מלאי!D346&lt;&gt;"",מלאי!D346,"")</f>
        <v/>
      </c>
      <c r="B346" s="8" t="str">
        <f>IF(מלאי!D346&lt;&gt;"",מלאי!B346&amp;IF(מלאי!C346&lt;&gt;""," ("&amp;מלאי!C346&amp;")",""),"")</f>
        <v/>
      </c>
      <c r="C346" s="8" t="str">
        <f>IF(מלאי!D346&lt;&gt;"",מלאי!A346,"")</f>
        <v/>
      </c>
      <c r="D346" s="8" t="str">
        <f>IF(מלאי!D346&lt;&gt;"",מלאי!H346,"")</f>
        <v/>
      </c>
      <c r="E346" s="8"/>
      <c r="F346" s="8"/>
      <c r="G346" s="8"/>
      <c r="H346" s="8" t="str">
        <f>IF(מלאי!D346&lt;&gt;"",מלאי!I346,"")</f>
        <v/>
      </c>
      <c r="I346" s="8"/>
      <c r="J346" s="8"/>
      <c r="K346" s="8"/>
      <c r="L346" s="8"/>
    </row>
    <row r="347" spans="1:12" ht="15" customHeight="1" x14ac:dyDescent="0.35">
      <c r="A347" s="8" t="str">
        <f>IF(מלאי!D347&lt;&gt;"",מלאי!D347,"")</f>
        <v/>
      </c>
      <c r="B347" s="8" t="str">
        <f>IF(מלאי!D347&lt;&gt;"",מלאי!B347&amp;IF(מלאי!C347&lt;&gt;""," ("&amp;מלאי!C347&amp;")",""),"")</f>
        <v/>
      </c>
      <c r="C347" s="8" t="str">
        <f>IF(מלאי!D347&lt;&gt;"",מלאי!A347,"")</f>
        <v/>
      </c>
      <c r="D347" s="8" t="str">
        <f>IF(מלאי!D347&lt;&gt;"",מלאי!H347,"")</f>
        <v/>
      </c>
      <c r="E347" s="8"/>
      <c r="F347" s="8"/>
      <c r="G347" s="8"/>
      <c r="H347" s="8" t="str">
        <f>IF(מלאי!D347&lt;&gt;"",מלאי!I347,"")</f>
        <v/>
      </c>
      <c r="I347" s="8"/>
      <c r="J347" s="8"/>
      <c r="K347" s="8"/>
      <c r="L347" s="8"/>
    </row>
    <row r="348" spans="1:12" ht="15" customHeight="1" x14ac:dyDescent="0.35">
      <c r="A348" s="8" t="str">
        <f>IF(מלאי!D348&lt;&gt;"",מלאי!D348,"")</f>
        <v/>
      </c>
      <c r="B348" s="8" t="str">
        <f>IF(מלאי!D348&lt;&gt;"",מלאי!B348&amp;IF(מלאי!C348&lt;&gt;""," ("&amp;מלאי!C348&amp;")",""),"")</f>
        <v/>
      </c>
      <c r="C348" s="8" t="str">
        <f>IF(מלאי!D348&lt;&gt;"",מלאי!A348,"")</f>
        <v/>
      </c>
      <c r="D348" s="8" t="str">
        <f>IF(מלאי!D348&lt;&gt;"",מלאי!H348,"")</f>
        <v/>
      </c>
      <c r="E348" s="8"/>
      <c r="F348" s="8"/>
      <c r="G348" s="8"/>
      <c r="H348" s="8" t="str">
        <f>IF(מלאי!D348&lt;&gt;"",מלאי!I348,"")</f>
        <v/>
      </c>
      <c r="I348" s="8"/>
      <c r="J348" s="8"/>
      <c r="K348" s="8"/>
      <c r="L348" s="8"/>
    </row>
    <row r="349" spans="1:12" ht="15" customHeight="1" x14ac:dyDescent="0.35">
      <c r="A349" s="8" t="str">
        <f>IF(מלאי!D349&lt;&gt;"",מלאי!D349,"")</f>
        <v/>
      </c>
      <c r="B349" s="8" t="str">
        <f>IF(מלאי!D349&lt;&gt;"",מלאי!B349&amp;IF(מלאי!C349&lt;&gt;""," ("&amp;מלאי!C349&amp;")",""),"")</f>
        <v/>
      </c>
      <c r="C349" s="8" t="str">
        <f>IF(מלאי!D349&lt;&gt;"",מלאי!A349,"")</f>
        <v/>
      </c>
      <c r="D349" s="8" t="str">
        <f>IF(מלאי!D349&lt;&gt;"",מלאי!H349,"")</f>
        <v/>
      </c>
      <c r="E349" s="8"/>
      <c r="F349" s="8"/>
      <c r="G349" s="8"/>
      <c r="H349" s="8" t="str">
        <f>IF(מלאי!D349&lt;&gt;"",מלאי!I349,"")</f>
        <v/>
      </c>
      <c r="I349" s="8"/>
      <c r="J349" s="8"/>
      <c r="K349" s="8"/>
      <c r="L349" s="8"/>
    </row>
    <row r="350" spans="1:12" ht="15" customHeight="1" x14ac:dyDescent="0.35">
      <c r="A350" s="8" t="str">
        <f>IF(מלאי!D350&lt;&gt;"",מלאי!D350,"")</f>
        <v/>
      </c>
      <c r="B350" s="8" t="str">
        <f>IF(מלאי!D350&lt;&gt;"",מלאי!B350&amp;IF(מלאי!C350&lt;&gt;""," ("&amp;מלאי!C350&amp;")",""),"")</f>
        <v/>
      </c>
      <c r="C350" s="8" t="str">
        <f>IF(מלאי!D350&lt;&gt;"",מלאי!A350,"")</f>
        <v/>
      </c>
      <c r="D350" s="8" t="str">
        <f>IF(מלאי!D350&lt;&gt;"",מלאי!H350,"")</f>
        <v/>
      </c>
      <c r="E350" s="8"/>
      <c r="F350" s="8"/>
      <c r="G350" s="8"/>
      <c r="H350" s="8" t="str">
        <f>IF(מלאי!D350&lt;&gt;"",מלאי!I350,"")</f>
        <v/>
      </c>
      <c r="I350" s="8"/>
      <c r="J350" s="8"/>
      <c r="K350" s="8"/>
      <c r="L350" s="8"/>
    </row>
    <row r="351" spans="1:12" ht="15" customHeight="1" x14ac:dyDescent="0.35">
      <c r="A351" s="8" t="str">
        <f>IF(מלאי!D351&lt;&gt;"",מלאי!D351,"")</f>
        <v/>
      </c>
      <c r="B351" s="8" t="str">
        <f>IF(מלאי!D351&lt;&gt;"",מלאי!B351&amp;IF(מלאי!C351&lt;&gt;""," ("&amp;מלאי!C351&amp;")",""),"")</f>
        <v/>
      </c>
      <c r="C351" s="8" t="str">
        <f>IF(מלאי!D351&lt;&gt;"",מלאי!A351,"")</f>
        <v/>
      </c>
      <c r="D351" s="8" t="str">
        <f>IF(מלאי!D351&lt;&gt;"",מלאי!H351,"")</f>
        <v/>
      </c>
      <c r="E351" s="8"/>
      <c r="F351" s="8"/>
      <c r="G351" s="8"/>
      <c r="H351" s="8" t="str">
        <f>IF(מלאי!D351&lt;&gt;"",מלאי!I351,"")</f>
        <v/>
      </c>
      <c r="I351" s="8"/>
      <c r="J351" s="8"/>
      <c r="K351" s="8"/>
      <c r="L351" s="8"/>
    </row>
    <row r="352" spans="1:12" ht="15" customHeight="1" x14ac:dyDescent="0.35">
      <c r="A352" s="8" t="str">
        <f>IF(מלאי!D352&lt;&gt;"",מלאי!D352,"")</f>
        <v/>
      </c>
      <c r="B352" s="8" t="str">
        <f>IF(מלאי!D352&lt;&gt;"",מלאי!B352&amp;IF(מלאי!C352&lt;&gt;""," ("&amp;מלאי!C352&amp;")",""),"")</f>
        <v/>
      </c>
      <c r="C352" s="8" t="str">
        <f>IF(מלאי!D352&lt;&gt;"",מלאי!A352,"")</f>
        <v/>
      </c>
      <c r="D352" s="8" t="str">
        <f>IF(מלאי!D352&lt;&gt;"",מלאי!H352,"")</f>
        <v/>
      </c>
      <c r="E352" s="8"/>
      <c r="F352" s="8"/>
      <c r="G352" s="8"/>
      <c r="H352" s="8" t="str">
        <f>IF(מלאי!D352&lt;&gt;"",מלאי!I352,"")</f>
        <v/>
      </c>
      <c r="I352" s="8"/>
      <c r="J352" s="8"/>
      <c r="K352" s="8"/>
      <c r="L352" s="8"/>
    </row>
    <row r="353" spans="1:12" ht="15" customHeight="1" x14ac:dyDescent="0.35">
      <c r="A353" s="8" t="str">
        <f>IF(מלאי!D353&lt;&gt;"",מלאי!D353,"")</f>
        <v/>
      </c>
      <c r="B353" s="8" t="str">
        <f>IF(מלאי!D353&lt;&gt;"",מלאי!B353&amp;IF(מלאי!C353&lt;&gt;""," ("&amp;מלאי!C353&amp;")",""),"")</f>
        <v/>
      </c>
      <c r="C353" s="8" t="str">
        <f>IF(מלאי!D353&lt;&gt;"",מלאי!A353,"")</f>
        <v/>
      </c>
      <c r="D353" s="8" t="str">
        <f>IF(מלאי!D353&lt;&gt;"",מלאי!H353,"")</f>
        <v/>
      </c>
      <c r="E353" s="8"/>
      <c r="F353" s="8"/>
      <c r="G353" s="8"/>
      <c r="H353" s="8" t="str">
        <f>IF(מלאי!D353&lt;&gt;"",מלאי!I353,"")</f>
        <v/>
      </c>
      <c r="I353" s="8"/>
      <c r="J353" s="8"/>
      <c r="K353" s="8"/>
      <c r="L353" s="8"/>
    </row>
    <row r="354" spans="1:12" ht="11.15" customHeight="1" x14ac:dyDescent="0.35">
      <c r="A354" s="8" t="str">
        <f>IF(מלאי!D354&lt;&gt;"",מלאי!D354,"")</f>
        <v/>
      </c>
      <c r="B354" s="8" t="str">
        <f>IF(מלאי!D354&lt;&gt;"",מלאי!B354&amp;IF(מלאי!C354&lt;&gt;""," ("&amp;מלאי!C354&amp;")",""),"")</f>
        <v/>
      </c>
      <c r="C354" s="8" t="str">
        <f>IF(מלאי!D354&lt;&gt;"",מלאי!A354,"")</f>
        <v/>
      </c>
      <c r="D354" s="8" t="str">
        <f>IF(מלאי!D354&lt;&gt;"",מלאי!H354,"")</f>
        <v/>
      </c>
      <c r="E354" s="8"/>
      <c r="F354" s="8"/>
      <c r="G354" s="8"/>
      <c r="H354" s="8" t="str">
        <f>IF(מלאי!D354&lt;&gt;"",מלאי!I354,"")</f>
        <v/>
      </c>
      <c r="I354" s="8"/>
      <c r="J354" s="8"/>
      <c r="K354" s="8"/>
      <c r="L354" s="8"/>
    </row>
  </sheetData>
  <autoFilter ref="B1:B354" xr:uid="{00000000-0001-0000-0600-000000000000}"/>
  <mergeCells count="3">
    <mergeCell ref="H3:K3"/>
    <mergeCell ref="A1:L1"/>
    <mergeCell ref="D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4"/>
  <sheetViews>
    <sheetView rightToLeft="1" zoomScale="70" zoomScaleNormal="70" workbookViewId="0">
      <selection activeCell="H55" sqref="H55"/>
    </sheetView>
  </sheetViews>
  <sheetFormatPr defaultColWidth="8.7265625" defaultRowHeight="14.5" x14ac:dyDescent="0.35"/>
  <cols>
    <col min="1" max="1" width="18" customWidth="1"/>
    <col min="2" max="3" width="16" customWidth="1"/>
    <col min="4" max="4" width="14" customWidth="1"/>
    <col min="6" max="6" width="20" customWidth="1"/>
    <col min="7" max="7" width="24" customWidth="1"/>
    <col min="8" max="8" width="28" customWidth="1"/>
    <col min="9" max="9" width="14" customWidth="1"/>
    <col min="10" max="10" width="22" customWidth="1"/>
    <col min="12" max="12" width="26" customWidth="1"/>
    <col min="13" max="14" width="18" customWidth="1"/>
    <col min="15" max="16" width="10" customWidth="1"/>
    <col min="18" max="18" width="24" customWidth="1"/>
    <col min="19" max="19" width="40" customWidth="1"/>
  </cols>
  <sheetData>
    <row r="1" spans="1:19" ht="15" customHeight="1" x14ac:dyDescent="0.35">
      <c r="A1" s="3" t="s">
        <v>117</v>
      </c>
      <c r="B1" s="3" t="s">
        <v>118</v>
      </c>
      <c r="C1" s="3" t="s">
        <v>119</v>
      </c>
      <c r="D1" s="3" t="s">
        <v>120</v>
      </c>
      <c r="F1" s="3" t="s">
        <v>121</v>
      </c>
      <c r="G1" s="3" t="s">
        <v>122</v>
      </c>
      <c r="H1" s="3" t="s">
        <v>123</v>
      </c>
      <c r="I1" s="3" t="s">
        <v>124</v>
      </c>
      <c r="J1" s="3" t="s">
        <v>3</v>
      </c>
      <c r="L1" s="3" t="s">
        <v>125</v>
      </c>
      <c r="M1" s="3" t="s">
        <v>14</v>
      </c>
      <c r="N1" s="3" t="s">
        <v>126</v>
      </c>
      <c r="O1" s="3" t="s">
        <v>127</v>
      </c>
      <c r="P1" s="3" t="s">
        <v>128</v>
      </c>
      <c r="R1" s="3" t="s">
        <v>129</v>
      </c>
      <c r="S1" s="3" t="s">
        <v>106</v>
      </c>
    </row>
    <row r="2" spans="1:19" ht="15" customHeight="1" x14ac:dyDescent="0.35">
      <c r="A2" s="8" t="s">
        <v>39</v>
      </c>
      <c r="B2" s="8" t="s">
        <v>130</v>
      </c>
      <c r="C2" s="8"/>
      <c r="D2" s="6" t="s">
        <v>131</v>
      </c>
      <c r="F2" s="8" t="s">
        <v>0</v>
      </c>
      <c r="G2" s="8" t="s">
        <v>0</v>
      </c>
      <c r="H2" s="8" t="s">
        <v>0</v>
      </c>
      <c r="I2" s="8"/>
      <c r="J2" s="8"/>
      <c r="L2" s="8" t="s">
        <v>0</v>
      </c>
      <c r="M2" s="8" t="s">
        <v>39</v>
      </c>
      <c r="N2" s="8" t="s">
        <v>0</v>
      </c>
      <c r="O2" s="8" t="s">
        <v>0</v>
      </c>
      <c r="P2" s="8" t="s">
        <v>0</v>
      </c>
    </row>
    <row r="3" spans="1:19" ht="15" customHeight="1" x14ac:dyDescent="0.35">
      <c r="A3" s="8" t="s">
        <v>68</v>
      </c>
      <c r="B3" s="8" t="s">
        <v>130</v>
      </c>
      <c r="C3" s="8"/>
      <c r="D3" s="6" t="s">
        <v>131</v>
      </c>
      <c r="F3" s="8" t="s">
        <v>130</v>
      </c>
      <c r="G3" s="8" t="s">
        <v>34</v>
      </c>
      <c r="H3" s="8" t="s">
        <v>70</v>
      </c>
      <c r="I3" s="8" t="s">
        <v>132</v>
      </c>
      <c r="J3" s="8" t="s">
        <v>34</v>
      </c>
      <c r="L3" s="8" t="s">
        <v>45</v>
      </c>
      <c r="M3" s="8" t="s">
        <v>68</v>
      </c>
      <c r="N3" s="8" t="s">
        <v>41</v>
      </c>
      <c r="O3" s="8" t="s">
        <v>40</v>
      </c>
      <c r="P3" s="8" t="s">
        <v>133</v>
      </c>
    </row>
    <row r="4" spans="1:19" ht="15" customHeight="1" x14ac:dyDescent="0.35">
      <c r="A4" s="8" t="s">
        <v>49</v>
      </c>
      <c r="B4" s="8" t="s">
        <v>130</v>
      </c>
      <c r="C4" s="8"/>
      <c r="D4" s="6" t="s">
        <v>131</v>
      </c>
      <c r="F4" s="8" t="s">
        <v>134</v>
      </c>
      <c r="G4" s="8" t="s">
        <v>78</v>
      </c>
      <c r="H4" t="s">
        <v>55</v>
      </c>
      <c r="I4" s="8" t="s">
        <v>135</v>
      </c>
      <c r="J4" s="8" t="s">
        <v>34</v>
      </c>
      <c r="L4" s="8" t="s">
        <v>37</v>
      </c>
      <c r="M4" s="8" t="s">
        <v>49</v>
      </c>
      <c r="N4" s="8" t="s">
        <v>42</v>
      </c>
      <c r="O4" s="8" t="s">
        <v>2</v>
      </c>
      <c r="P4" s="8" t="s">
        <v>136</v>
      </c>
    </row>
    <row r="5" spans="1:19" ht="15" customHeight="1" x14ac:dyDescent="0.35">
      <c r="A5" s="8" t="s">
        <v>137</v>
      </c>
      <c r="B5" s="8" t="s">
        <v>130</v>
      </c>
      <c r="C5" s="8"/>
      <c r="D5" s="6" t="s">
        <v>131</v>
      </c>
      <c r="F5" s="8" t="s">
        <v>138</v>
      </c>
      <c r="G5" s="8" t="s">
        <v>139</v>
      </c>
      <c r="H5" t="s">
        <v>75</v>
      </c>
      <c r="I5" s="8" t="s">
        <v>140</v>
      </c>
      <c r="J5" s="8" t="s">
        <v>34</v>
      </c>
      <c r="L5" s="8" t="s">
        <v>51</v>
      </c>
      <c r="M5" s="8" t="s">
        <v>137</v>
      </c>
      <c r="N5" s="8" t="s">
        <v>141</v>
      </c>
      <c r="P5" s="8" t="s">
        <v>142</v>
      </c>
    </row>
    <row r="6" spans="1:19" ht="15" customHeight="1" x14ac:dyDescent="0.35">
      <c r="A6" s="8" t="s">
        <v>38</v>
      </c>
      <c r="B6" s="8" t="s">
        <v>134</v>
      </c>
      <c r="C6" s="8"/>
      <c r="D6" s="6" t="s">
        <v>131</v>
      </c>
      <c r="F6" s="8" t="s">
        <v>143</v>
      </c>
      <c r="G6" s="8" t="s">
        <v>144</v>
      </c>
      <c r="H6" s="8" t="s">
        <v>62</v>
      </c>
      <c r="I6" s="8" t="s">
        <v>145</v>
      </c>
      <c r="J6" s="8" t="s">
        <v>34</v>
      </c>
      <c r="L6" s="8" t="s">
        <v>77</v>
      </c>
      <c r="M6" s="8" t="s">
        <v>38</v>
      </c>
      <c r="N6" s="8" t="s">
        <v>146</v>
      </c>
      <c r="P6" s="8" t="s">
        <v>147</v>
      </c>
    </row>
    <row r="7" spans="1:19" ht="15" customHeight="1" x14ac:dyDescent="0.35">
      <c r="A7" s="8" t="s">
        <v>46</v>
      </c>
      <c r="B7" s="8" t="s">
        <v>134</v>
      </c>
      <c r="C7" s="8"/>
      <c r="D7" s="6" t="s">
        <v>131</v>
      </c>
      <c r="F7" s="8" t="s">
        <v>148</v>
      </c>
      <c r="G7" s="8" t="s">
        <v>86</v>
      </c>
      <c r="H7" s="8" t="s">
        <v>44</v>
      </c>
      <c r="I7" s="8" t="s">
        <v>149</v>
      </c>
      <c r="J7" s="8" t="s">
        <v>34</v>
      </c>
      <c r="L7" s="8" t="s">
        <v>150</v>
      </c>
      <c r="M7" s="8" t="s">
        <v>46</v>
      </c>
      <c r="P7" s="8" t="s">
        <v>151</v>
      </c>
    </row>
    <row r="8" spans="1:19" ht="15" customHeight="1" x14ac:dyDescent="0.35">
      <c r="A8" s="8" t="s">
        <v>72</v>
      </c>
      <c r="B8" s="8" t="s">
        <v>134</v>
      </c>
      <c r="C8" s="8"/>
      <c r="D8" s="6" t="s">
        <v>131</v>
      </c>
      <c r="F8" s="8" t="s">
        <v>152</v>
      </c>
      <c r="G8" s="8" t="s">
        <v>60</v>
      </c>
      <c r="H8" s="8" t="s">
        <v>35</v>
      </c>
      <c r="I8" s="8" t="s">
        <v>153</v>
      </c>
      <c r="J8" s="8" t="s">
        <v>34</v>
      </c>
      <c r="L8" s="8" t="s">
        <v>91</v>
      </c>
      <c r="M8" s="8" t="s">
        <v>72</v>
      </c>
      <c r="P8" s="8" t="s">
        <v>154</v>
      </c>
    </row>
    <row r="9" spans="1:19" ht="15" customHeight="1" x14ac:dyDescent="0.35">
      <c r="A9" s="8" t="s">
        <v>67</v>
      </c>
      <c r="B9" s="8" t="s">
        <v>134</v>
      </c>
      <c r="C9" s="8"/>
      <c r="D9" s="6" t="s">
        <v>131</v>
      </c>
      <c r="G9" s="8" t="s">
        <v>155</v>
      </c>
      <c r="H9" s="8" t="s">
        <v>156</v>
      </c>
      <c r="I9" s="8"/>
      <c r="J9" s="8" t="s">
        <v>34</v>
      </c>
      <c r="L9" s="8" t="s">
        <v>157</v>
      </c>
      <c r="M9" s="8" t="s">
        <v>67</v>
      </c>
      <c r="P9" s="8" t="s">
        <v>158</v>
      </c>
    </row>
    <row r="10" spans="1:19" ht="15" customHeight="1" x14ac:dyDescent="0.35">
      <c r="A10" s="8" t="s">
        <v>83</v>
      </c>
      <c r="B10" s="8" t="s">
        <v>134</v>
      </c>
      <c r="C10" s="8"/>
      <c r="D10" s="6" t="s">
        <v>131</v>
      </c>
      <c r="G10" s="8" t="s">
        <v>159</v>
      </c>
      <c r="H10" s="8" t="s">
        <v>160</v>
      </c>
      <c r="I10" s="8"/>
      <c r="J10" s="8" t="s">
        <v>34</v>
      </c>
      <c r="L10" s="8" t="s">
        <v>81</v>
      </c>
      <c r="M10" s="8" t="s">
        <v>83</v>
      </c>
    </row>
    <row r="11" spans="1:19" ht="15" customHeight="1" x14ac:dyDescent="0.35">
      <c r="A11" s="8" t="s">
        <v>82</v>
      </c>
      <c r="B11" s="8" t="s">
        <v>134</v>
      </c>
      <c r="C11" s="8" t="s">
        <v>148</v>
      </c>
      <c r="D11" s="6" t="s">
        <v>131</v>
      </c>
      <c r="H11" s="8" t="s">
        <v>58</v>
      </c>
      <c r="I11" s="8" t="s">
        <v>161</v>
      </c>
      <c r="J11" s="8" t="s">
        <v>34</v>
      </c>
      <c r="L11" s="8" t="s">
        <v>80</v>
      </c>
      <c r="M11" s="8" t="s">
        <v>82</v>
      </c>
    </row>
    <row r="12" spans="1:19" ht="15" customHeight="1" x14ac:dyDescent="0.35">
      <c r="A12" s="8" t="s">
        <v>162</v>
      </c>
      <c r="B12" s="8" t="s">
        <v>138</v>
      </c>
      <c r="C12" s="8"/>
      <c r="D12" s="6" t="s">
        <v>131</v>
      </c>
      <c r="H12" s="8" t="s">
        <v>50</v>
      </c>
      <c r="I12" s="8" t="s">
        <v>163</v>
      </c>
      <c r="J12" s="8" t="s">
        <v>34</v>
      </c>
      <c r="L12" s="8" t="s">
        <v>164</v>
      </c>
      <c r="M12" s="8" t="s">
        <v>162</v>
      </c>
    </row>
    <row r="13" spans="1:19" ht="15" customHeight="1" x14ac:dyDescent="0.35">
      <c r="A13" s="8" t="s">
        <v>165</v>
      </c>
      <c r="B13" s="8" t="s">
        <v>138</v>
      </c>
      <c r="C13" s="8"/>
      <c r="D13" s="6" t="s">
        <v>131</v>
      </c>
      <c r="H13" s="8" t="s">
        <v>166</v>
      </c>
      <c r="I13" s="8" t="s">
        <v>167</v>
      </c>
      <c r="J13" s="8" t="s">
        <v>34</v>
      </c>
      <c r="L13" s="8" t="s">
        <v>168</v>
      </c>
      <c r="M13" s="8" t="s">
        <v>165</v>
      </c>
    </row>
    <row r="14" spans="1:19" ht="15" customHeight="1" x14ac:dyDescent="0.35">
      <c r="A14" s="8" t="s">
        <v>64</v>
      </c>
      <c r="B14" s="8" t="s">
        <v>143</v>
      </c>
      <c r="C14" s="8"/>
      <c r="D14" s="6" t="s">
        <v>131</v>
      </c>
      <c r="H14" s="8" t="s">
        <v>169</v>
      </c>
      <c r="I14" s="8" t="s">
        <v>170</v>
      </c>
      <c r="J14" s="8" t="s">
        <v>34</v>
      </c>
      <c r="L14" s="8" t="s">
        <v>171</v>
      </c>
      <c r="M14" s="8" t="s">
        <v>64</v>
      </c>
    </row>
    <row r="15" spans="1:19" ht="15" customHeight="1" x14ac:dyDescent="0.35">
      <c r="A15" s="8" t="s">
        <v>60</v>
      </c>
      <c r="B15" s="8" t="s">
        <v>148</v>
      </c>
      <c r="C15" s="8"/>
      <c r="D15" s="6" t="s">
        <v>131</v>
      </c>
      <c r="H15" s="8" t="s">
        <v>172</v>
      </c>
      <c r="I15" s="8"/>
      <c r="J15" s="8" t="s">
        <v>34</v>
      </c>
      <c r="L15" s="8" t="s">
        <v>173</v>
      </c>
      <c r="M15" s="8" t="s">
        <v>60</v>
      </c>
    </row>
    <row r="16" spans="1:19" ht="15" customHeight="1" x14ac:dyDescent="0.35">
      <c r="A16" s="8" t="s">
        <v>74</v>
      </c>
      <c r="B16" s="8" t="s">
        <v>148</v>
      </c>
      <c r="C16" s="8"/>
      <c r="D16" s="6" t="s">
        <v>131</v>
      </c>
      <c r="H16" s="8" t="s">
        <v>174</v>
      </c>
      <c r="I16" s="8"/>
      <c r="J16" s="8" t="s">
        <v>34</v>
      </c>
      <c r="L16" s="24" t="s">
        <v>311</v>
      </c>
      <c r="M16" s="8" t="s">
        <v>74</v>
      </c>
    </row>
    <row r="17" spans="1:13" ht="15" customHeight="1" x14ac:dyDescent="0.35">
      <c r="A17" s="8" t="s">
        <v>52</v>
      </c>
      <c r="B17" s="8" t="s">
        <v>134</v>
      </c>
      <c r="C17" s="8"/>
      <c r="D17" s="6" t="s">
        <v>131</v>
      </c>
      <c r="H17" s="8" t="s">
        <v>175</v>
      </c>
      <c r="I17" s="8"/>
      <c r="J17" s="8" t="s">
        <v>34</v>
      </c>
      <c r="L17" s="14" t="s">
        <v>313</v>
      </c>
      <c r="M17" s="8" t="s">
        <v>52</v>
      </c>
    </row>
    <row r="18" spans="1:13" ht="15" customHeight="1" x14ac:dyDescent="0.35">
      <c r="A18" s="8" t="s">
        <v>232</v>
      </c>
      <c r="B18" s="10" t="s">
        <v>134</v>
      </c>
      <c r="H18" s="8" t="s">
        <v>93</v>
      </c>
      <c r="I18" s="8" t="s">
        <v>176</v>
      </c>
      <c r="J18" s="8" t="s">
        <v>86</v>
      </c>
      <c r="L18" s="23" t="s">
        <v>152</v>
      </c>
      <c r="M18" s="8" t="s">
        <v>232</v>
      </c>
    </row>
    <row r="19" spans="1:13" ht="15" customHeight="1" x14ac:dyDescent="0.35">
      <c r="H19" s="8" t="s">
        <v>89</v>
      </c>
      <c r="I19" s="8" t="s">
        <v>177</v>
      </c>
      <c r="J19" s="8" t="s">
        <v>86</v>
      </c>
    </row>
    <row r="20" spans="1:13" ht="15" customHeight="1" x14ac:dyDescent="0.35">
      <c r="H20" s="8" t="s">
        <v>178</v>
      </c>
      <c r="I20" s="8" t="s">
        <v>179</v>
      </c>
      <c r="J20" s="8" t="s">
        <v>86</v>
      </c>
    </row>
    <row r="21" spans="1:13" ht="15" customHeight="1" x14ac:dyDescent="0.35">
      <c r="H21" s="8" t="s">
        <v>87</v>
      </c>
      <c r="I21" s="8" t="s">
        <v>180</v>
      </c>
      <c r="J21" s="8" t="s">
        <v>86</v>
      </c>
    </row>
    <row r="22" spans="1:13" ht="15" customHeight="1" x14ac:dyDescent="0.35">
      <c r="H22" s="8" t="s">
        <v>181</v>
      </c>
      <c r="I22" s="8" t="s">
        <v>182</v>
      </c>
      <c r="J22" s="8" t="s">
        <v>86</v>
      </c>
    </row>
    <row r="23" spans="1:13" ht="15" customHeight="1" x14ac:dyDescent="0.35">
      <c r="H23" s="8" t="s">
        <v>183</v>
      </c>
      <c r="I23" s="8"/>
      <c r="J23" s="8" t="s">
        <v>86</v>
      </c>
    </row>
    <row r="24" spans="1:13" ht="15" customHeight="1" x14ac:dyDescent="0.35">
      <c r="H24" t="s">
        <v>79</v>
      </c>
      <c r="I24" s="8" t="s">
        <v>184</v>
      </c>
      <c r="J24" s="8" t="s">
        <v>78</v>
      </c>
    </row>
    <row r="25" spans="1:13" ht="15" customHeight="1" x14ac:dyDescent="0.35">
      <c r="H25" t="s">
        <v>185</v>
      </c>
      <c r="I25" t="s">
        <v>186</v>
      </c>
      <c r="J25" s="8" t="s">
        <v>78</v>
      </c>
    </row>
    <row r="26" spans="1:13" ht="15" customHeight="1" x14ac:dyDescent="0.35">
      <c r="H26" s="8" t="s">
        <v>187</v>
      </c>
      <c r="I26" s="8" t="s">
        <v>188</v>
      </c>
      <c r="J26" s="8" t="s">
        <v>78</v>
      </c>
    </row>
    <row r="27" spans="1:13" ht="15" customHeight="1" x14ac:dyDescent="0.35">
      <c r="H27" s="8" t="s">
        <v>189</v>
      </c>
      <c r="I27" s="8"/>
      <c r="J27" s="8" t="s">
        <v>78</v>
      </c>
    </row>
    <row r="28" spans="1:13" ht="15" customHeight="1" x14ac:dyDescent="0.35">
      <c r="H28" s="8" t="s">
        <v>190</v>
      </c>
      <c r="I28" s="8" t="s">
        <v>191</v>
      </c>
      <c r="J28" s="8" t="s">
        <v>60</v>
      </c>
    </row>
    <row r="29" spans="1:13" ht="15" customHeight="1" x14ac:dyDescent="0.35">
      <c r="H29" s="8" t="s">
        <v>192</v>
      </c>
      <c r="I29" s="8" t="s">
        <v>193</v>
      </c>
      <c r="J29" s="8" t="s">
        <v>144</v>
      </c>
    </row>
    <row r="30" spans="1:13" ht="15" customHeight="1" x14ac:dyDescent="0.35">
      <c r="H30" s="8" t="s">
        <v>194</v>
      </c>
      <c r="I30" s="8" t="s">
        <v>195</v>
      </c>
      <c r="J30" s="8" t="s">
        <v>144</v>
      </c>
    </row>
    <row r="31" spans="1:13" ht="15" customHeight="1" x14ac:dyDescent="0.35">
      <c r="H31" s="8" t="s">
        <v>196</v>
      </c>
      <c r="I31" s="8" t="s">
        <v>197</v>
      </c>
      <c r="J31" s="8" t="s">
        <v>144</v>
      </c>
    </row>
    <row r="32" spans="1:13" ht="15" customHeight="1" x14ac:dyDescent="0.35">
      <c r="H32" s="8" t="s">
        <v>198</v>
      </c>
      <c r="I32" s="8" t="s">
        <v>199</v>
      </c>
      <c r="J32" s="8" t="s">
        <v>144</v>
      </c>
    </row>
    <row r="33" spans="8:10" ht="15" customHeight="1" x14ac:dyDescent="0.35">
      <c r="H33" s="8" t="s">
        <v>200</v>
      </c>
      <c r="I33" s="8" t="s">
        <v>201</v>
      </c>
      <c r="J33" s="8" t="s">
        <v>144</v>
      </c>
    </row>
    <row r="34" spans="8:10" ht="15" customHeight="1" x14ac:dyDescent="0.35">
      <c r="H34" s="8" t="s">
        <v>202</v>
      </c>
      <c r="I34" s="8"/>
      <c r="J34" s="8" t="s">
        <v>144</v>
      </c>
    </row>
    <row r="35" spans="8:10" ht="15" customHeight="1" x14ac:dyDescent="0.35">
      <c r="H35" s="8" t="s">
        <v>203</v>
      </c>
      <c r="I35" s="8"/>
      <c r="J35" s="8" t="s">
        <v>144</v>
      </c>
    </row>
    <row r="36" spans="8:10" ht="15" customHeight="1" x14ac:dyDescent="0.35">
      <c r="H36" s="8" t="s">
        <v>204</v>
      </c>
      <c r="I36" s="8" t="s">
        <v>205</v>
      </c>
      <c r="J36" s="8" t="s">
        <v>139</v>
      </c>
    </row>
    <row r="37" spans="8:10" ht="15" customHeight="1" x14ac:dyDescent="0.35">
      <c r="H37" s="8" t="s">
        <v>206</v>
      </c>
      <c r="I37" t="s">
        <v>207</v>
      </c>
      <c r="J37" s="8" t="s">
        <v>139</v>
      </c>
    </row>
    <row r="38" spans="8:10" ht="15" customHeight="1" x14ac:dyDescent="0.35">
      <c r="H38" s="8" t="s">
        <v>208</v>
      </c>
      <c r="I38" s="8" t="s">
        <v>209</v>
      </c>
      <c r="J38" s="8" t="s">
        <v>139</v>
      </c>
    </row>
    <row r="39" spans="8:10" ht="15" customHeight="1" x14ac:dyDescent="0.35">
      <c r="H39" s="8" t="s">
        <v>210</v>
      </c>
      <c r="I39" s="8" t="s">
        <v>211</v>
      </c>
      <c r="J39" s="8" t="s">
        <v>139</v>
      </c>
    </row>
    <row r="40" spans="8:10" ht="15" customHeight="1" x14ac:dyDescent="0.35">
      <c r="H40" s="8" t="s">
        <v>212</v>
      </c>
      <c r="I40" s="8" t="s">
        <v>213</v>
      </c>
      <c r="J40" s="8" t="s">
        <v>139</v>
      </c>
    </row>
    <row r="41" spans="8:10" ht="15" customHeight="1" x14ac:dyDescent="0.35">
      <c r="H41" s="8" t="s">
        <v>214</v>
      </c>
      <c r="I41" s="8" t="s">
        <v>215</v>
      </c>
      <c r="J41" s="8" t="s">
        <v>139</v>
      </c>
    </row>
    <row r="42" spans="8:10" ht="15" customHeight="1" x14ac:dyDescent="0.35">
      <c r="H42" s="8" t="s">
        <v>216</v>
      </c>
      <c r="I42" s="8" t="s">
        <v>217</v>
      </c>
      <c r="J42" s="8" t="s">
        <v>139</v>
      </c>
    </row>
    <row r="43" spans="8:10" ht="15" customHeight="1" x14ac:dyDescent="0.35">
      <c r="H43" s="8" t="s">
        <v>218</v>
      </c>
      <c r="I43" s="8" t="s">
        <v>219</v>
      </c>
      <c r="J43" s="8" t="s">
        <v>159</v>
      </c>
    </row>
    <row r="44" spans="8:10" ht="15" customHeight="1" x14ac:dyDescent="0.35">
      <c r="H44" s="8" t="s">
        <v>220</v>
      </c>
      <c r="I44" s="8" t="s">
        <v>221</v>
      </c>
      <c r="J44" s="8" t="s">
        <v>159</v>
      </c>
    </row>
    <row r="45" spans="8:10" ht="15" customHeight="1" x14ac:dyDescent="0.35">
      <c r="H45" s="8" t="s">
        <v>222</v>
      </c>
      <c r="I45" s="8" t="s">
        <v>223</v>
      </c>
      <c r="J45" s="8" t="s">
        <v>159</v>
      </c>
    </row>
    <row r="46" spans="8:10" ht="15" customHeight="1" x14ac:dyDescent="0.35">
      <c r="H46" s="8" t="s">
        <v>224</v>
      </c>
      <c r="I46" s="8" t="s">
        <v>225</v>
      </c>
      <c r="J46" s="8" t="s">
        <v>159</v>
      </c>
    </row>
    <row r="47" spans="8:10" ht="15" customHeight="1" x14ac:dyDescent="0.35">
      <c r="H47" s="8" t="s">
        <v>226</v>
      </c>
      <c r="I47" s="8"/>
      <c r="J47" s="8" t="s">
        <v>155</v>
      </c>
    </row>
    <row r="48" spans="8:10" x14ac:dyDescent="0.35">
      <c r="H48" s="10" t="s">
        <v>303</v>
      </c>
      <c r="J48" s="8" t="s">
        <v>34</v>
      </c>
    </row>
    <row r="49" spans="8:10" x14ac:dyDescent="0.35">
      <c r="H49" s="8" t="s">
        <v>307</v>
      </c>
      <c r="J49" s="8" t="s">
        <v>34</v>
      </c>
    </row>
    <row r="50" spans="8:10" x14ac:dyDescent="0.35">
      <c r="H50" s="15" t="s">
        <v>334</v>
      </c>
      <c r="J50" s="16" t="s">
        <v>159</v>
      </c>
    </row>
    <row r="51" spans="8:10" x14ac:dyDescent="0.35">
      <c r="H51" s="10" t="s">
        <v>357</v>
      </c>
      <c r="J51" s="16" t="s">
        <v>159</v>
      </c>
    </row>
    <row r="52" spans="8:10" x14ac:dyDescent="0.35">
      <c r="H52" s="10" t="s">
        <v>359</v>
      </c>
      <c r="J52" s="8" t="s">
        <v>139</v>
      </c>
    </row>
    <row r="53" spans="8:10" x14ac:dyDescent="0.35">
      <c r="H53" s="10" t="s">
        <v>362</v>
      </c>
      <c r="J53" s="8" t="s">
        <v>139</v>
      </c>
    </row>
    <row r="54" spans="8:10" x14ac:dyDescent="0.35">
      <c r="H54" s="10" t="s">
        <v>411</v>
      </c>
      <c r="J54" s="8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A60C-F8DA-D648-A5B7-C885DA1CC59F}">
  <dimension ref="A1:H103"/>
  <sheetViews>
    <sheetView tabSelected="1" zoomScaleNormal="100" zoomScaleSheetLayoutView="130" workbookViewId="0">
      <pane ySplit="1" topLeftCell="A67" activePane="bottomLeft" state="frozen"/>
      <selection pane="bottomLeft"/>
    </sheetView>
  </sheetViews>
  <sheetFormatPr defaultRowHeight="14.5" x14ac:dyDescent="0.35"/>
  <cols>
    <col min="1" max="1" width="23.7265625" customWidth="1"/>
    <col min="2" max="2" width="13.26953125" bestFit="1" customWidth="1"/>
    <col min="3" max="3" width="15.1796875" bestFit="1" customWidth="1"/>
    <col min="4" max="4" width="10.81640625" bestFit="1" customWidth="1"/>
    <col min="5" max="5" width="12.81640625" bestFit="1" customWidth="1"/>
    <col min="6" max="6" width="13.1796875" bestFit="1" customWidth="1"/>
    <col min="7" max="7" width="20.7265625" bestFit="1" customWidth="1"/>
    <col min="8" max="8" width="21.453125" bestFit="1" customWidth="1"/>
    <col min="9" max="9" width="15.26953125" bestFit="1" customWidth="1"/>
  </cols>
  <sheetData>
    <row r="1" spans="1:8" x14ac:dyDescent="0.35">
      <c r="A1" t="s">
        <v>4</v>
      </c>
      <c r="B1" t="s">
        <v>380</v>
      </c>
      <c r="C1" t="s">
        <v>385</v>
      </c>
      <c r="D1" t="s">
        <v>381</v>
      </c>
      <c r="E1" t="s">
        <v>383</v>
      </c>
      <c r="F1" t="s">
        <v>384</v>
      </c>
      <c r="G1" t="s">
        <v>382</v>
      </c>
      <c r="H1" t="s">
        <v>10</v>
      </c>
    </row>
    <row r="2" spans="1:8" x14ac:dyDescent="0.35">
      <c r="A2" s="8" t="s">
        <v>70</v>
      </c>
      <c r="B2">
        <v>1</v>
      </c>
      <c r="C2">
        <v>2</v>
      </c>
      <c r="D2">
        <v>2</v>
      </c>
      <c r="E2" t="s">
        <v>134</v>
      </c>
      <c r="F2" s="26"/>
    </row>
    <row r="3" spans="1:8" x14ac:dyDescent="0.35">
      <c r="A3" s="25" t="s">
        <v>55</v>
      </c>
      <c r="B3">
        <v>1</v>
      </c>
      <c r="C3">
        <v>2</v>
      </c>
      <c r="D3">
        <v>2</v>
      </c>
      <c r="E3" t="s">
        <v>134</v>
      </c>
      <c r="F3" t="s">
        <v>130</v>
      </c>
    </row>
    <row r="4" spans="1:8" x14ac:dyDescent="0.35">
      <c r="A4" s="25" t="s">
        <v>75</v>
      </c>
      <c r="B4">
        <v>1</v>
      </c>
      <c r="C4">
        <v>2</v>
      </c>
      <c r="D4">
        <v>2</v>
      </c>
      <c r="E4" t="s">
        <v>134</v>
      </c>
      <c r="F4" s="26"/>
    </row>
    <row r="5" spans="1:8" x14ac:dyDescent="0.35">
      <c r="A5" s="8" t="s">
        <v>62</v>
      </c>
      <c r="B5">
        <v>1</v>
      </c>
      <c r="C5">
        <v>1</v>
      </c>
      <c r="D5">
        <v>1</v>
      </c>
      <c r="E5" t="s">
        <v>134</v>
      </c>
      <c r="F5" s="26"/>
    </row>
    <row r="6" spans="1:8" x14ac:dyDescent="0.35">
      <c r="A6" s="8" t="s">
        <v>62</v>
      </c>
      <c r="B6">
        <v>0</v>
      </c>
      <c r="C6">
        <v>1</v>
      </c>
      <c r="D6">
        <v>1</v>
      </c>
      <c r="E6" t="s">
        <v>143</v>
      </c>
      <c r="F6" t="s">
        <v>134</v>
      </c>
      <c r="G6" t="s">
        <v>51</v>
      </c>
    </row>
    <row r="7" spans="1:8" x14ac:dyDescent="0.35">
      <c r="A7" s="8" t="s">
        <v>62</v>
      </c>
      <c r="B7">
        <v>0</v>
      </c>
      <c r="C7">
        <v>2</v>
      </c>
      <c r="D7">
        <v>1</v>
      </c>
      <c r="E7" t="s">
        <v>143</v>
      </c>
      <c r="F7" s="26"/>
    </row>
    <row r="8" spans="1:8" x14ac:dyDescent="0.35">
      <c r="A8" s="8" t="s">
        <v>44</v>
      </c>
      <c r="B8">
        <v>1</v>
      </c>
      <c r="C8">
        <v>2</v>
      </c>
      <c r="D8">
        <v>2</v>
      </c>
      <c r="E8" t="s">
        <v>134</v>
      </c>
      <c r="F8" t="s">
        <v>130</v>
      </c>
      <c r="H8" t="s">
        <v>387</v>
      </c>
    </row>
    <row r="9" spans="1:8" x14ac:dyDescent="0.35">
      <c r="A9" s="8" t="s">
        <v>44</v>
      </c>
      <c r="B9">
        <v>1</v>
      </c>
      <c r="C9">
        <v>2</v>
      </c>
      <c r="D9">
        <v>2</v>
      </c>
      <c r="E9" t="s">
        <v>134</v>
      </c>
      <c r="F9" t="s">
        <v>134</v>
      </c>
      <c r="H9" t="s">
        <v>386</v>
      </c>
    </row>
    <row r="10" spans="1:8" x14ac:dyDescent="0.35">
      <c r="A10" s="8" t="s">
        <v>35</v>
      </c>
      <c r="B10">
        <v>1</v>
      </c>
      <c r="C10">
        <v>2</v>
      </c>
      <c r="D10">
        <v>2</v>
      </c>
      <c r="E10" t="s">
        <v>134</v>
      </c>
      <c r="F10" t="s">
        <v>130</v>
      </c>
      <c r="H10" t="s">
        <v>387</v>
      </c>
    </row>
    <row r="11" spans="1:8" x14ac:dyDescent="0.35">
      <c r="A11" s="8" t="s">
        <v>35</v>
      </c>
      <c r="B11">
        <v>1</v>
      </c>
      <c r="C11">
        <v>2</v>
      </c>
      <c r="D11">
        <v>2</v>
      </c>
      <c r="E11" t="s">
        <v>134</v>
      </c>
      <c r="F11" t="s">
        <v>134</v>
      </c>
      <c r="H11" t="s">
        <v>386</v>
      </c>
    </row>
    <row r="12" spans="1:8" x14ac:dyDescent="0.35">
      <c r="A12" s="8" t="s">
        <v>35</v>
      </c>
      <c r="B12">
        <v>1</v>
      </c>
      <c r="C12">
        <v>2</v>
      </c>
      <c r="D12">
        <v>2</v>
      </c>
      <c r="E12" t="s">
        <v>134</v>
      </c>
      <c r="F12" t="s">
        <v>148</v>
      </c>
      <c r="H12" t="s">
        <v>386</v>
      </c>
    </row>
    <row r="13" spans="1:8" x14ac:dyDescent="0.35">
      <c r="A13" s="8" t="s">
        <v>156</v>
      </c>
      <c r="B13">
        <v>1</v>
      </c>
      <c r="C13">
        <v>1</v>
      </c>
      <c r="D13">
        <v>1</v>
      </c>
      <c r="E13" t="s">
        <v>134</v>
      </c>
      <c r="F13" t="s">
        <v>134</v>
      </c>
    </row>
    <row r="14" spans="1:8" x14ac:dyDescent="0.35">
      <c r="A14" s="8" t="s">
        <v>160</v>
      </c>
      <c r="B14">
        <v>1</v>
      </c>
      <c r="C14">
        <v>1</v>
      </c>
      <c r="D14">
        <v>1</v>
      </c>
      <c r="E14" t="s">
        <v>134</v>
      </c>
      <c r="F14" t="s">
        <v>134</v>
      </c>
    </row>
    <row r="15" spans="1:8" x14ac:dyDescent="0.35">
      <c r="A15" s="8" t="s">
        <v>58</v>
      </c>
      <c r="B15">
        <v>1</v>
      </c>
      <c r="C15">
        <v>2</v>
      </c>
      <c r="D15">
        <v>2</v>
      </c>
      <c r="E15" t="s">
        <v>134</v>
      </c>
      <c r="F15" t="s">
        <v>134</v>
      </c>
    </row>
    <row r="16" spans="1:8" x14ac:dyDescent="0.35">
      <c r="A16" s="8" t="s">
        <v>50</v>
      </c>
      <c r="B16">
        <v>1</v>
      </c>
      <c r="C16">
        <v>2</v>
      </c>
      <c r="D16">
        <v>2</v>
      </c>
      <c r="E16" t="s">
        <v>134</v>
      </c>
      <c r="F16" t="s">
        <v>134</v>
      </c>
      <c r="G16" t="s">
        <v>51</v>
      </c>
    </row>
    <row r="17" spans="1:8" x14ac:dyDescent="0.35">
      <c r="A17" s="8" t="s">
        <v>50</v>
      </c>
      <c r="B17">
        <v>1</v>
      </c>
      <c r="C17">
        <v>2</v>
      </c>
      <c r="D17">
        <v>2</v>
      </c>
      <c r="E17" t="s">
        <v>130</v>
      </c>
      <c r="F17" t="s">
        <v>130</v>
      </c>
      <c r="G17" t="s">
        <v>51</v>
      </c>
    </row>
    <row r="18" spans="1:8" x14ac:dyDescent="0.35">
      <c r="A18" s="8" t="s">
        <v>50</v>
      </c>
      <c r="B18">
        <v>0</v>
      </c>
      <c r="C18">
        <v>2</v>
      </c>
      <c r="D18">
        <v>0</v>
      </c>
      <c r="E18" t="s">
        <v>0</v>
      </c>
      <c r="F18" t="s">
        <v>0</v>
      </c>
      <c r="G18" t="s">
        <v>45</v>
      </c>
      <c r="H18" t="s">
        <v>388</v>
      </c>
    </row>
    <row r="19" spans="1:8" x14ac:dyDescent="0.35">
      <c r="A19" s="8" t="s">
        <v>303</v>
      </c>
      <c r="B19">
        <v>1</v>
      </c>
      <c r="C19">
        <v>1</v>
      </c>
      <c r="D19">
        <v>1</v>
      </c>
      <c r="E19" t="s">
        <v>134</v>
      </c>
      <c r="F19" t="s">
        <v>134</v>
      </c>
      <c r="G19" t="s">
        <v>51</v>
      </c>
    </row>
    <row r="20" spans="1:8" x14ac:dyDescent="0.35">
      <c r="A20" s="8" t="s">
        <v>166</v>
      </c>
      <c r="B20">
        <v>1</v>
      </c>
      <c r="C20">
        <v>2</v>
      </c>
      <c r="D20">
        <v>2</v>
      </c>
      <c r="E20" t="s">
        <v>138</v>
      </c>
      <c r="F20" t="s">
        <v>138</v>
      </c>
      <c r="H20" t="s">
        <v>389</v>
      </c>
    </row>
    <row r="21" spans="1:8" x14ac:dyDescent="0.35">
      <c r="A21" s="8" t="s">
        <v>169</v>
      </c>
      <c r="B21">
        <v>1</v>
      </c>
      <c r="C21">
        <v>2</v>
      </c>
      <c r="D21">
        <v>2</v>
      </c>
      <c r="E21" t="s">
        <v>138</v>
      </c>
      <c r="F21" t="s">
        <v>138</v>
      </c>
      <c r="H21" t="s">
        <v>389</v>
      </c>
    </row>
    <row r="22" spans="1:8" x14ac:dyDescent="0.35">
      <c r="A22" s="8" t="s">
        <v>172</v>
      </c>
      <c r="B22">
        <v>1</v>
      </c>
      <c r="C22">
        <v>2</v>
      </c>
      <c r="D22">
        <v>2</v>
      </c>
      <c r="E22" t="s">
        <v>138</v>
      </c>
      <c r="F22" t="s">
        <v>138</v>
      </c>
      <c r="H22" t="s">
        <v>389</v>
      </c>
    </row>
    <row r="23" spans="1:8" x14ac:dyDescent="0.35">
      <c r="A23" s="8" t="s">
        <v>174</v>
      </c>
      <c r="B23">
        <v>1</v>
      </c>
      <c r="C23">
        <v>2</v>
      </c>
      <c r="D23">
        <v>2</v>
      </c>
      <c r="E23" t="s">
        <v>138</v>
      </c>
      <c r="F23" t="s">
        <v>138</v>
      </c>
      <c r="H23" t="s">
        <v>389</v>
      </c>
    </row>
    <row r="24" spans="1:8" x14ac:dyDescent="0.35">
      <c r="A24" s="8" t="s">
        <v>175</v>
      </c>
      <c r="B24">
        <v>1</v>
      </c>
      <c r="C24">
        <v>2</v>
      </c>
      <c r="D24">
        <v>2</v>
      </c>
      <c r="E24" t="s">
        <v>138</v>
      </c>
      <c r="F24" t="s">
        <v>138</v>
      </c>
      <c r="H24" t="s">
        <v>389</v>
      </c>
    </row>
    <row r="25" spans="1:8" x14ac:dyDescent="0.35">
      <c r="A25" s="8" t="s">
        <v>166</v>
      </c>
      <c r="B25">
        <v>1</v>
      </c>
      <c r="C25">
        <v>2</v>
      </c>
      <c r="D25">
        <v>2</v>
      </c>
      <c r="E25" t="s">
        <v>138</v>
      </c>
      <c r="F25" t="s">
        <v>138</v>
      </c>
      <c r="H25" t="s">
        <v>390</v>
      </c>
    </row>
    <row r="26" spans="1:8" x14ac:dyDescent="0.35">
      <c r="A26" s="8" t="s">
        <v>169</v>
      </c>
      <c r="B26">
        <v>1</v>
      </c>
      <c r="C26">
        <v>2</v>
      </c>
      <c r="D26">
        <v>2</v>
      </c>
      <c r="E26" t="s">
        <v>138</v>
      </c>
      <c r="F26" t="s">
        <v>138</v>
      </c>
      <c r="H26" t="s">
        <v>390</v>
      </c>
    </row>
    <row r="27" spans="1:8" x14ac:dyDescent="0.35">
      <c r="A27" s="8" t="s">
        <v>172</v>
      </c>
      <c r="B27">
        <v>1</v>
      </c>
      <c r="C27">
        <v>2</v>
      </c>
      <c r="D27">
        <v>2</v>
      </c>
      <c r="E27" t="s">
        <v>138</v>
      </c>
      <c r="F27" t="s">
        <v>138</v>
      </c>
      <c r="H27" t="s">
        <v>390</v>
      </c>
    </row>
    <row r="28" spans="1:8" x14ac:dyDescent="0.35">
      <c r="A28" s="8" t="s">
        <v>174</v>
      </c>
      <c r="B28">
        <v>1</v>
      </c>
      <c r="C28">
        <v>2</v>
      </c>
      <c r="D28">
        <v>2</v>
      </c>
      <c r="E28" t="s">
        <v>138</v>
      </c>
      <c r="F28" t="s">
        <v>138</v>
      </c>
      <c r="H28" t="s">
        <v>390</v>
      </c>
    </row>
    <row r="29" spans="1:8" x14ac:dyDescent="0.35">
      <c r="A29" s="8" t="s">
        <v>192</v>
      </c>
      <c r="B29">
        <v>1</v>
      </c>
      <c r="C29">
        <v>2</v>
      </c>
      <c r="D29">
        <v>2</v>
      </c>
      <c r="E29" t="s">
        <v>138</v>
      </c>
      <c r="F29" t="s">
        <v>138</v>
      </c>
      <c r="H29" t="s">
        <v>138</v>
      </c>
    </row>
    <row r="30" spans="1:8" x14ac:dyDescent="0.35">
      <c r="A30" s="8" t="s">
        <v>175</v>
      </c>
      <c r="B30">
        <v>1</v>
      </c>
      <c r="C30">
        <v>2</v>
      </c>
      <c r="D30">
        <v>2</v>
      </c>
      <c r="E30" t="s">
        <v>138</v>
      </c>
      <c r="F30" t="s">
        <v>138</v>
      </c>
      <c r="H30" t="s">
        <v>390</v>
      </c>
    </row>
    <row r="31" spans="1:8" x14ac:dyDescent="0.35">
      <c r="A31" s="8" t="s">
        <v>222</v>
      </c>
      <c r="B31">
        <v>1</v>
      </c>
      <c r="C31">
        <v>2</v>
      </c>
      <c r="D31">
        <v>2</v>
      </c>
      <c r="E31" t="s">
        <v>138</v>
      </c>
      <c r="F31" t="s">
        <v>138</v>
      </c>
    </row>
    <row r="32" spans="1:8" x14ac:dyDescent="0.35">
      <c r="A32" s="8" t="s">
        <v>93</v>
      </c>
      <c r="B32">
        <v>1</v>
      </c>
      <c r="C32">
        <v>2</v>
      </c>
      <c r="D32">
        <v>2</v>
      </c>
      <c r="E32" t="s">
        <v>134</v>
      </c>
      <c r="F32" t="s">
        <v>0</v>
      </c>
    </row>
    <row r="33" spans="1:8" x14ac:dyDescent="0.35">
      <c r="A33" s="8" t="s">
        <v>93</v>
      </c>
      <c r="B33">
        <v>0</v>
      </c>
      <c r="C33">
        <v>2</v>
      </c>
      <c r="D33">
        <v>0</v>
      </c>
      <c r="E33" t="s">
        <v>134</v>
      </c>
      <c r="F33" t="s">
        <v>0</v>
      </c>
      <c r="G33" t="s">
        <v>51</v>
      </c>
    </row>
    <row r="34" spans="1:8" ht="25" x14ac:dyDescent="0.35">
      <c r="A34" s="8" t="s">
        <v>89</v>
      </c>
      <c r="B34">
        <v>1</v>
      </c>
      <c r="C34">
        <v>2</v>
      </c>
      <c r="D34">
        <v>2</v>
      </c>
      <c r="E34" t="s">
        <v>134</v>
      </c>
      <c r="F34" s="26"/>
    </row>
    <row r="35" spans="1:8" x14ac:dyDescent="0.35">
      <c r="A35" s="8" t="s">
        <v>178</v>
      </c>
      <c r="B35">
        <v>1</v>
      </c>
      <c r="C35">
        <v>2</v>
      </c>
      <c r="D35">
        <v>2</v>
      </c>
      <c r="E35" t="s">
        <v>134</v>
      </c>
      <c r="F35" t="s">
        <v>134</v>
      </c>
    </row>
    <row r="36" spans="1:8" x14ac:dyDescent="0.35">
      <c r="A36" s="8" t="s">
        <v>87</v>
      </c>
      <c r="B36">
        <v>2</v>
      </c>
      <c r="C36">
        <v>2</v>
      </c>
      <c r="D36">
        <v>2</v>
      </c>
      <c r="E36" t="s">
        <v>134</v>
      </c>
      <c r="F36" t="s">
        <v>134</v>
      </c>
    </row>
    <row r="37" spans="1:8" x14ac:dyDescent="0.35">
      <c r="A37" s="8" t="s">
        <v>181</v>
      </c>
      <c r="B37">
        <v>1</v>
      </c>
      <c r="C37">
        <v>1</v>
      </c>
      <c r="D37">
        <v>2</v>
      </c>
      <c r="E37" t="s">
        <v>134</v>
      </c>
      <c r="F37" t="s">
        <v>134</v>
      </c>
    </row>
    <row r="38" spans="1:8" x14ac:dyDescent="0.35">
      <c r="A38" s="8" t="s">
        <v>183</v>
      </c>
      <c r="B38">
        <v>1</v>
      </c>
      <c r="C38">
        <v>2</v>
      </c>
      <c r="D38">
        <v>0</v>
      </c>
      <c r="E38" t="s">
        <v>134</v>
      </c>
      <c r="F38" t="s">
        <v>0</v>
      </c>
      <c r="G38" s="25"/>
    </row>
    <row r="39" spans="1:8" x14ac:dyDescent="0.35">
      <c r="A39" s="25" t="s">
        <v>79</v>
      </c>
      <c r="B39">
        <v>1</v>
      </c>
      <c r="C39">
        <v>1</v>
      </c>
      <c r="D39">
        <v>1</v>
      </c>
      <c r="E39" t="s">
        <v>134</v>
      </c>
      <c r="F39" t="s">
        <v>130</v>
      </c>
      <c r="G39" s="25" t="s">
        <v>80</v>
      </c>
    </row>
    <row r="40" spans="1:8" x14ac:dyDescent="0.35">
      <c r="A40" s="25" t="s">
        <v>79</v>
      </c>
      <c r="B40">
        <v>0</v>
      </c>
      <c r="C40">
        <v>1</v>
      </c>
      <c r="D40">
        <v>1</v>
      </c>
      <c r="E40" t="s">
        <v>130</v>
      </c>
      <c r="F40" t="s">
        <v>130</v>
      </c>
      <c r="G40" s="25" t="s">
        <v>80</v>
      </c>
    </row>
    <row r="41" spans="1:8" x14ac:dyDescent="0.35">
      <c r="A41" s="25" t="s">
        <v>79</v>
      </c>
      <c r="B41">
        <v>1</v>
      </c>
      <c r="C41">
        <v>1</v>
      </c>
      <c r="D41">
        <v>1</v>
      </c>
      <c r="E41" t="s">
        <v>134</v>
      </c>
      <c r="F41" t="s">
        <v>134</v>
      </c>
      <c r="G41" s="25" t="s">
        <v>80</v>
      </c>
    </row>
    <row r="42" spans="1:8" x14ac:dyDescent="0.35">
      <c r="A42" s="25" t="s">
        <v>79</v>
      </c>
      <c r="B42">
        <v>0</v>
      </c>
      <c r="C42">
        <v>1</v>
      </c>
      <c r="D42">
        <v>1</v>
      </c>
      <c r="E42" t="s">
        <v>134</v>
      </c>
      <c r="F42" t="s">
        <v>148</v>
      </c>
      <c r="G42" s="25" t="s">
        <v>80</v>
      </c>
    </row>
    <row r="43" spans="1:8" x14ac:dyDescent="0.35">
      <c r="A43" s="25" t="s">
        <v>79</v>
      </c>
      <c r="B43">
        <v>1</v>
      </c>
      <c r="C43">
        <v>2</v>
      </c>
      <c r="D43">
        <v>2</v>
      </c>
      <c r="E43" t="s">
        <v>134</v>
      </c>
      <c r="F43" t="s">
        <v>0</v>
      </c>
      <c r="G43" s="25" t="s">
        <v>81</v>
      </c>
    </row>
    <row r="44" spans="1:8" x14ac:dyDescent="0.35">
      <c r="A44" s="25" t="s">
        <v>79</v>
      </c>
      <c r="B44">
        <v>1</v>
      </c>
      <c r="C44">
        <v>2</v>
      </c>
      <c r="D44">
        <v>2</v>
      </c>
      <c r="E44" t="s">
        <v>134</v>
      </c>
      <c r="F44" t="s">
        <v>0</v>
      </c>
      <c r="G44" s="25" t="s">
        <v>157</v>
      </c>
    </row>
    <row r="45" spans="1:8" x14ac:dyDescent="0.35">
      <c r="A45" s="25" t="s">
        <v>79</v>
      </c>
      <c r="B45">
        <v>0</v>
      </c>
      <c r="C45">
        <v>2</v>
      </c>
      <c r="D45">
        <v>2</v>
      </c>
      <c r="E45" t="s">
        <v>134</v>
      </c>
      <c r="F45" t="s">
        <v>0</v>
      </c>
      <c r="G45" s="25" t="s">
        <v>77</v>
      </c>
      <c r="H45" t="s">
        <v>401</v>
      </c>
    </row>
    <row r="46" spans="1:8" x14ac:dyDescent="0.35">
      <c r="A46" t="s">
        <v>185</v>
      </c>
      <c r="B46">
        <v>0</v>
      </c>
      <c r="C46">
        <v>1</v>
      </c>
      <c r="D46">
        <v>2</v>
      </c>
      <c r="E46" t="s">
        <v>134</v>
      </c>
      <c r="F46" t="s">
        <v>134</v>
      </c>
      <c r="G46" s="25" t="s">
        <v>80</v>
      </c>
    </row>
    <row r="47" spans="1:8" x14ac:dyDescent="0.35">
      <c r="A47" s="25" t="s">
        <v>185</v>
      </c>
      <c r="B47">
        <v>0</v>
      </c>
      <c r="C47">
        <v>1</v>
      </c>
      <c r="D47">
        <v>1</v>
      </c>
      <c r="E47" t="s">
        <v>134</v>
      </c>
      <c r="F47" t="s">
        <v>130</v>
      </c>
      <c r="G47" s="25" t="s">
        <v>80</v>
      </c>
    </row>
    <row r="48" spans="1:8" x14ac:dyDescent="0.35">
      <c r="A48" s="25" t="s">
        <v>185</v>
      </c>
      <c r="B48">
        <v>0</v>
      </c>
      <c r="C48">
        <v>1</v>
      </c>
      <c r="D48">
        <v>1</v>
      </c>
      <c r="E48" t="s">
        <v>130</v>
      </c>
      <c r="F48" t="s">
        <v>130</v>
      </c>
      <c r="G48" s="25" t="s">
        <v>80</v>
      </c>
    </row>
    <row r="49" spans="1:8" x14ac:dyDescent="0.35">
      <c r="A49" s="25" t="s">
        <v>185</v>
      </c>
      <c r="B49">
        <v>0</v>
      </c>
      <c r="C49">
        <v>1</v>
      </c>
      <c r="D49">
        <v>1</v>
      </c>
      <c r="E49" t="s">
        <v>134</v>
      </c>
      <c r="F49" t="s">
        <v>148</v>
      </c>
      <c r="G49" s="25" t="s">
        <v>80</v>
      </c>
    </row>
    <row r="50" spans="1:8" x14ac:dyDescent="0.35">
      <c r="A50" s="25" t="s">
        <v>185</v>
      </c>
      <c r="B50">
        <v>0</v>
      </c>
      <c r="C50">
        <v>2</v>
      </c>
      <c r="D50">
        <v>2</v>
      </c>
      <c r="E50" t="s">
        <v>134</v>
      </c>
      <c r="F50" t="s">
        <v>0</v>
      </c>
      <c r="G50" s="25" t="s">
        <v>81</v>
      </c>
    </row>
    <row r="51" spans="1:8" x14ac:dyDescent="0.35">
      <c r="A51" s="25" t="s">
        <v>185</v>
      </c>
      <c r="B51">
        <v>0</v>
      </c>
      <c r="C51">
        <v>2</v>
      </c>
      <c r="D51">
        <v>2</v>
      </c>
      <c r="E51" t="s">
        <v>134</v>
      </c>
      <c r="F51" t="s">
        <v>0</v>
      </c>
      <c r="G51" s="25" t="s">
        <v>157</v>
      </c>
    </row>
    <row r="52" spans="1:8" x14ac:dyDescent="0.35">
      <c r="A52" s="25" t="s">
        <v>185</v>
      </c>
      <c r="B52">
        <v>0</v>
      </c>
      <c r="C52">
        <v>1</v>
      </c>
      <c r="D52">
        <v>1</v>
      </c>
      <c r="E52" t="s">
        <v>134</v>
      </c>
      <c r="F52" t="s">
        <v>0</v>
      </c>
      <c r="G52" s="25" t="s">
        <v>77</v>
      </c>
    </row>
    <row r="53" spans="1:8" x14ac:dyDescent="0.35">
      <c r="A53" s="8" t="s">
        <v>187</v>
      </c>
      <c r="B53">
        <v>0</v>
      </c>
      <c r="C53">
        <v>2</v>
      </c>
      <c r="D53">
        <v>2</v>
      </c>
      <c r="E53" t="s">
        <v>134</v>
      </c>
      <c r="F53" t="s">
        <v>130</v>
      </c>
      <c r="G53" s="25" t="s">
        <v>80</v>
      </c>
    </row>
    <row r="54" spans="1:8" x14ac:dyDescent="0.35">
      <c r="A54" s="8" t="s">
        <v>187</v>
      </c>
      <c r="B54">
        <v>0</v>
      </c>
      <c r="C54">
        <v>2</v>
      </c>
      <c r="D54">
        <v>2</v>
      </c>
      <c r="E54" t="s">
        <v>134</v>
      </c>
      <c r="F54" t="s">
        <v>0</v>
      </c>
      <c r="G54" s="25" t="s">
        <v>81</v>
      </c>
    </row>
    <row r="55" spans="1:8" x14ac:dyDescent="0.35">
      <c r="A55" s="8" t="s">
        <v>187</v>
      </c>
      <c r="B55">
        <v>0</v>
      </c>
      <c r="C55">
        <v>2</v>
      </c>
      <c r="D55">
        <v>2</v>
      </c>
      <c r="E55" t="s">
        <v>134</v>
      </c>
      <c r="F55" t="s">
        <v>0</v>
      </c>
      <c r="G55" s="25" t="s">
        <v>157</v>
      </c>
    </row>
    <row r="56" spans="1:8" x14ac:dyDescent="0.35">
      <c r="A56" s="8" t="s">
        <v>187</v>
      </c>
      <c r="B56">
        <v>0</v>
      </c>
      <c r="C56">
        <v>2</v>
      </c>
      <c r="D56">
        <v>2</v>
      </c>
      <c r="E56" t="s">
        <v>134</v>
      </c>
      <c r="F56" t="s">
        <v>0</v>
      </c>
      <c r="G56" s="25" t="s">
        <v>77</v>
      </c>
      <c r="H56" t="s">
        <v>401</v>
      </c>
    </row>
    <row r="57" spans="1:8" x14ac:dyDescent="0.35">
      <c r="A57" s="8" t="s">
        <v>189</v>
      </c>
      <c r="B57">
        <v>0</v>
      </c>
      <c r="C57">
        <v>0</v>
      </c>
      <c r="D57">
        <v>0</v>
      </c>
    </row>
    <row r="58" spans="1:8" x14ac:dyDescent="0.35">
      <c r="A58" s="8" t="s">
        <v>190</v>
      </c>
      <c r="B58">
        <v>3</v>
      </c>
      <c r="C58">
        <v>2</v>
      </c>
      <c r="D58">
        <v>2</v>
      </c>
      <c r="E58" t="s">
        <v>148</v>
      </c>
      <c r="F58" s="26"/>
    </row>
    <row r="59" spans="1:8" x14ac:dyDescent="0.35">
      <c r="A59" s="27" t="s">
        <v>192</v>
      </c>
      <c r="B59">
        <v>1</v>
      </c>
      <c r="C59">
        <v>2</v>
      </c>
      <c r="D59">
        <v>2</v>
      </c>
      <c r="E59" t="s">
        <v>134</v>
      </c>
      <c r="F59" s="26"/>
    </row>
    <row r="60" spans="1:8" x14ac:dyDescent="0.35">
      <c r="A60" s="27" t="s">
        <v>192</v>
      </c>
      <c r="B60">
        <v>1</v>
      </c>
      <c r="C60">
        <v>2</v>
      </c>
      <c r="D60">
        <v>2</v>
      </c>
      <c r="E60" t="s">
        <v>130</v>
      </c>
      <c r="F60" s="26"/>
    </row>
    <row r="61" spans="1:8" x14ac:dyDescent="0.35">
      <c r="A61" s="8" t="s">
        <v>192</v>
      </c>
      <c r="B61">
        <v>1</v>
      </c>
      <c r="C61">
        <v>1</v>
      </c>
      <c r="D61">
        <v>1</v>
      </c>
      <c r="E61" t="s">
        <v>148</v>
      </c>
      <c r="F61" s="26"/>
    </row>
    <row r="62" spans="1:8" x14ac:dyDescent="0.35">
      <c r="A62" s="27" t="s">
        <v>194</v>
      </c>
      <c r="B62">
        <v>1</v>
      </c>
      <c r="C62">
        <v>2</v>
      </c>
      <c r="D62">
        <v>2</v>
      </c>
      <c r="E62" t="s">
        <v>134</v>
      </c>
      <c r="F62" t="s">
        <v>130</v>
      </c>
      <c r="G62" t="s">
        <v>45</v>
      </c>
    </row>
    <row r="63" spans="1:8" x14ac:dyDescent="0.35">
      <c r="A63" s="8" t="s">
        <v>194</v>
      </c>
      <c r="B63">
        <v>1</v>
      </c>
      <c r="C63">
        <v>2</v>
      </c>
      <c r="D63">
        <v>2</v>
      </c>
      <c r="E63" t="s">
        <v>134</v>
      </c>
      <c r="F63" t="s">
        <v>130</v>
      </c>
      <c r="G63" t="s">
        <v>37</v>
      </c>
    </row>
    <row r="64" spans="1:8" x14ac:dyDescent="0.35">
      <c r="A64" s="27" t="s">
        <v>196</v>
      </c>
      <c r="B64">
        <v>1</v>
      </c>
      <c r="C64">
        <v>2</v>
      </c>
      <c r="D64">
        <v>2</v>
      </c>
      <c r="E64" t="s">
        <v>134</v>
      </c>
      <c r="F64" s="26"/>
    </row>
    <row r="65" spans="1:7" x14ac:dyDescent="0.35">
      <c r="A65" s="27" t="s">
        <v>196</v>
      </c>
      <c r="B65">
        <v>1</v>
      </c>
      <c r="C65">
        <v>2</v>
      </c>
      <c r="D65">
        <v>2</v>
      </c>
      <c r="E65" t="s">
        <v>130</v>
      </c>
      <c r="F65" s="26"/>
    </row>
    <row r="66" spans="1:7" x14ac:dyDescent="0.35">
      <c r="A66" s="8" t="s">
        <v>196</v>
      </c>
      <c r="B66">
        <v>1</v>
      </c>
      <c r="C66">
        <v>1</v>
      </c>
      <c r="D66">
        <v>1</v>
      </c>
      <c r="E66" t="s">
        <v>148</v>
      </c>
      <c r="F66" s="26"/>
    </row>
    <row r="67" spans="1:7" x14ac:dyDescent="0.35">
      <c r="A67" s="8" t="s">
        <v>198</v>
      </c>
      <c r="B67">
        <v>1</v>
      </c>
      <c r="C67">
        <v>0</v>
      </c>
      <c r="D67">
        <v>0</v>
      </c>
      <c r="E67" t="s">
        <v>134</v>
      </c>
      <c r="F67" s="26"/>
    </row>
    <row r="68" spans="1:7" x14ac:dyDescent="0.35">
      <c r="A68" s="27" t="s">
        <v>200</v>
      </c>
      <c r="B68">
        <v>1</v>
      </c>
      <c r="C68">
        <v>2</v>
      </c>
      <c r="D68">
        <v>2</v>
      </c>
      <c r="E68" t="s">
        <v>134</v>
      </c>
      <c r="F68" s="26"/>
    </row>
    <row r="69" spans="1:7" x14ac:dyDescent="0.35">
      <c r="A69" s="27" t="s">
        <v>200</v>
      </c>
      <c r="B69">
        <v>1</v>
      </c>
      <c r="C69">
        <v>2</v>
      </c>
      <c r="D69">
        <v>2</v>
      </c>
      <c r="E69" t="s">
        <v>130</v>
      </c>
      <c r="F69" s="26"/>
    </row>
    <row r="70" spans="1:7" x14ac:dyDescent="0.35">
      <c r="A70" s="8" t="s">
        <v>200</v>
      </c>
      <c r="B70">
        <v>1</v>
      </c>
      <c r="C70">
        <v>1</v>
      </c>
      <c r="D70">
        <v>1</v>
      </c>
      <c r="E70" t="s">
        <v>148</v>
      </c>
      <c r="F70" s="26"/>
    </row>
    <row r="71" spans="1:7" x14ac:dyDescent="0.35">
      <c r="A71" s="8" t="s">
        <v>202</v>
      </c>
      <c r="B71">
        <v>1</v>
      </c>
      <c r="C71">
        <v>2</v>
      </c>
      <c r="D71">
        <v>2</v>
      </c>
      <c r="E71" t="s">
        <v>134</v>
      </c>
      <c r="F71" s="26"/>
      <c r="G71" t="s">
        <v>311</v>
      </c>
    </row>
    <row r="72" spans="1:7" x14ac:dyDescent="0.35">
      <c r="A72" s="8" t="s">
        <v>203</v>
      </c>
      <c r="B72">
        <v>1</v>
      </c>
      <c r="C72">
        <v>2</v>
      </c>
      <c r="D72">
        <v>2</v>
      </c>
      <c r="E72" t="s">
        <v>134</v>
      </c>
      <c r="F72" s="26"/>
      <c r="G72" t="s">
        <v>311</v>
      </c>
    </row>
    <row r="73" spans="1:7" x14ac:dyDescent="0.35">
      <c r="A73" s="27" t="s">
        <v>202</v>
      </c>
      <c r="B73">
        <v>1</v>
      </c>
      <c r="C73">
        <v>2</v>
      </c>
      <c r="D73">
        <v>2</v>
      </c>
      <c r="E73" t="s">
        <v>134</v>
      </c>
      <c r="F73" s="26"/>
      <c r="G73" t="s">
        <v>313</v>
      </c>
    </row>
    <row r="74" spans="1:7" x14ac:dyDescent="0.35">
      <c r="A74" s="27" t="s">
        <v>203</v>
      </c>
      <c r="B74">
        <v>1</v>
      </c>
      <c r="C74">
        <v>2</v>
      </c>
      <c r="D74">
        <v>2</v>
      </c>
      <c r="E74" t="s">
        <v>134</v>
      </c>
      <c r="F74" s="26"/>
      <c r="G74" t="s">
        <v>313</v>
      </c>
    </row>
    <row r="75" spans="1:7" x14ac:dyDescent="0.35">
      <c r="A75" s="27" t="s">
        <v>202</v>
      </c>
      <c r="B75">
        <v>1</v>
      </c>
      <c r="C75">
        <v>1</v>
      </c>
      <c r="D75">
        <v>1</v>
      </c>
      <c r="E75" t="s">
        <v>0</v>
      </c>
      <c r="F75" s="26"/>
      <c r="G75" t="s">
        <v>168</v>
      </c>
    </row>
    <row r="76" spans="1:7" x14ac:dyDescent="0.35">
      <c r="A76" s="27" t="s">
        <v>203</v>
      </c>
      <c r="B76">
        <v>1</v>
      </c>
      <c r="C76">
        <v>1</v>
      </c>
      <c r="D76">
        <v>1</v>
      </c>
      <c r="E76" t="s">
        <v>0</v>
      </c>
      <c r="F76" s="26"/>
      <c r="G76" t="s">
        <v>168</v>
      </c>
    </row>
    <row r="77" spans="1:7" x14ac:dyDescent="0.35">
      <c r="A77" s="27" t="s">
        <v>196</v>
      </c>
      <c r="B77">
        <v>1</v>
      </c>
      <c r="C77">
        <v>1</v>
      </c>
      <c r="D77">
        <v>1</v>
      </c>
      <c r="E77" t="s">
        <v>0</v>
      </c>
      <c r="F77" s="26"/>
      <c r="G77" t="s">
        <v>168</v>
      </c>
    </row>
    <row r="78" spans="1:7" x14ac:dyDescent="0.35">
      <c r="A78" s="27" t="s">
        <v>202</v>
      </c>
      <c r="B78">
        <v>1</v>
      </c>
      <c r="C78">
        <v>1</v>
      </c>
      <c r="D78">
        <v>1</v>
      </c>
      <c r="E78" t="s">
        <v>134</v>
      </c>
      <c r="F78" s="26"/>
      <c r="G78" t="s">
        <v>171</v>
      </c>
    </row>
    <row r="79" spans="1:7" x14ac:dyDescent="0.35">
      <c r="A79" s="27" t="s">
        <v>203</v>
      </c>
      <c r="B79">
        <v>1</v>
      </c>
      <c r="C79">
        <v>1</v>
      </c>
      <c r="D79">
        <v>1</v>
      </c>
      <c r="E79" t="s">
        <v>134</v>
      </c>
      <c r="F79" s="26"/>
      <c r="G79" t="s">
        <v>171</v>
      </c>
    </row>
    <row r="80" spans="1:7" x14ac:dyDescent="0.35">
      <c r="A80" s="27" t="s">
        <v>196</v>
      </c>
      <c r="B80">
        <v>1</v>
      </c>
      <c r="C80">
        <v>1</v>
      </c>
      <c r="D80">
        <v>1</v>
      </c>
      <c r="E80" t="s">
        <v>0</v>
      </c>
      <c r="F80" s="26"/>
      <c r="G80" t="s">
        <v>171</v>
      </c>
    </row>
    <row r="81" spans="1:8" x14ac:dyDescent="0.35">
      <c r="A81" s="8" t="s">
        <v>202</v>
      </c>
      <c r="B81">
        <v>1</v>
      </c>
      <c r="C81">
        <v>2</v>
      </c>
      <c r="D81">
        <v>2</v>
      </c>
      <c r="E81" t="s">
        <v>134</v>
      </c>
      <c r="F81" s="26"/>
      <c r="G81" t="s">
        <v>173</v>
      </c>
    </row>
    <row r="82" spans="1:8" x14ac:dyDescent="0.35">
      <c r="A82" s="8" t="s">
        <v>203</v>
      </c>
      <c r="B82">
        <v>1</v>
      </c>
      <c r="C82">
        <v>2</v>
      </c>
      <c r="D82">
        <v>2</v>
      </c>
      <c r="E82" t="s">
        <v>134</v>
      </c>
      <c r="F82" s="26"/>
      <c r="G82" t="s">
        <v>173</v>
      </c>
    </row>
    <row r="83" spans="1:8" x14ac:dyDescent="0.35">
      <c r="A83" s="8" t="s">
        <v>204</v>
      </c>
      <c r="B83">
        <v>1</v>
      </c>
      <c r="C83">
        <v>2</v>
      </c>
      <c r="D83">
        <v>2</v>
      </c>
      <c r="E83" t="s">
        <v>134</v>
      </c>
      <c r="F83" t="s">
        <v>0</v>
      </c>
    </row>
    <row r="84" spans="1:8" x14ac:dyDescent="0.35">
      <c r="A84" t="s">
        <v>206</v>
      </c>
      <c r="B84">
        <v>0</v>
      </c>
      <c r="C84">
        <v>1</v>
      </c>
      <c r="D84">
        <v>2</v>
      </c>
      <c r="E84" t="s">
        <v>134</v>
      </c>
      <c r="F84" t="s">
        <v>134</v>
      </c>
      <c r="G84" s="25" t="s">
        <v>80</v>
      </c>
    </row>
    <row r="85" spans="1:8" x14ac:dyDescent="0.35">
      <c r="A85" t="s">
        <v>206</v>
      </c>
      <c r="B85">
        <v>0</v>
      </c>
      <c r="C85">
        <v>1</v>
      </c>
      <c r="D85">
        <v>1</v>
      </c>
      <c r="E85" t="s">
        <v>134</v>
      </c>
      <c r="F85" t="s">
        <v>130</v>
      </c>
      <c r="G85" s="25" t="s">
        <v>80</v>
      </c>
    </row>
    <row r="86" spans="1:8" x14ac:dyDescent="0.35">
      <c r="A86" t="s">
        <v>206</v>
      </c>
      <c r="B86">
        <v>0</v>
      </c>
      <c r="C86">
        <v>1</v>
      </c>
      <c r="D86">
        <v>1</v>
      </c>
      <c r="E86" t="s">
        <v>130</v>
      </c>
      <c r="F86" t="s">
        <v>130</v>
      </c>
      <c r="G86" s="25" t="s">
        <v>80</v>
      </c>
    </row>
    <row r="87" spans="1:8" x14ac:dyDescent="0.35">
      <c r="A87" t="s">
        <v>206</v>
      </c>
      <c r="B87">
        <v>0</v>
      </c>
      <c r="C87">
        <v>1</v>
      </c>
      <c r="D87">
        <v>1</v>
      </c>
      <c r="E87" t="s">
        <v>134</v>
      </c>
      <c r="F87" t="s">
        <v>148</v>
      </c>
      <c r="G87" s="25" t="s">
        <v>80</v>
      </c>
    </row>
    <row r="88" spans="1:8" x14ac:dyDescent="0.35">
      <c r="A88" t="s">
        <v>206</v>
      </c>
      <c r="B88">
        <v>0</v>
      </c>
      <c r="C88">
        <v>2</v>
      </c>
      <c r="D88">
        <v>2</v>
      </c>
      <c r="E88" t="s">
        <v>134</v>
      </c>
      <c r="F88" t="s">
        <v>0</v>
      </c>
      <c r="G88" s="25" t="s">
        <v>81</v>
      </c>
    </row>
    <row r="89" spans="1:8" x14ac:dyDescent="0.35">
      <c r="A89" t="s">
        <v>206</v>
      </c>
      <c r="B89">
        <v>0</v>
      </c>
      <c r="C89">
        <v>2</v>
      </c>
      <c r="D89">
        <v>2</v>
      </c>
      <c r="E89" t="s">
        <v>134</v>
      </c>
      <c r="F89" t="s">
        <v>0</v>
      </c>
      <c r="G89" s="25" t="s">
        <v>157</v>
      </c>
    </row>
    <row r="90" spans="1:8" x14ac:dyDescent="0.35">
      <c r="A90" s="8" t="s">
        <v>210</v>
      </c>
      <c r="B90">
        <v>0</v>
      </c>
      <c r="C90">
        <v>2</v>
      </c>
      <c r="D90">
        <v>2</v>
      </c>
      <c r="E90" t="s">
        <v>134</v>
      </c>
      <c r="F90" t="s">
        <v>0</v>
      </c>
    </row>
    <row r="91" spans="1:8" x14ac:dyDescent="0.35">
      <c r="A91" s="8" t="s">
        <v>212</v>
      </c>
      <c r="B91">
        <v>0</v>
      </c>
      <c r="C91">
        <v>2</v>
      </c>
      <c r="D91">
        <v>2</v>
      </c>
      <c r="E91" t="s">
        <v>134</v>
      </c>
      <c r="F91" t="s">
        <v>0</v>
      </c>
    </row>
    <row r="92" spans="1:8" x14ac:dyDescent="0.35">
      <c r="A92" s="8" t="s">
        <v>214</v>
      </c>
      <c r="B92">
        <v>0</v>
      </c>
      <c r="C92">
        <v>2</v>
      </c>
      <c r="D92">
        <v>2</v>
      </c>
      <c r="E92" t="s">
        <v>143</v>
      </c>
      <c r="F92" s="26"/>
    </row>
    <row r="93" spans="1:8" x14ac:dyDescent="0.35">
      <c r="A93" s="8" t="s">
        <v>216</v>
      </c>
      <c r="B93">
        <v>0</v>
      </c>
      <c r="C93">
        <v>2</v>
      </c>
      <c r="D93">
        <v>2</v>
      </c>
      <c r="E93" t="s">
        <v>134</v>
      </c>
      <c r="F93" t="s">
        <v>134</v>
      </c>
    </row>
    <row r="94" spans="1:8" x14ac:dyDescent="0.35">
      <c r="A94" s="8" t="s">
        <v>218</v>
      </c>
      <c r="B94">
        <v>1</v>
      </c>
      <c r="C94">
        <v>2</v>
      </c>
      <c r="D94">
        <v>2</v>
      </c>
      <c r="F94" s="26"/>
    </row>
    <row r="95" spans="1:8" x14ac:dyDescent="0.35">
      <c r="A95" s="8" t="s">
        <v>220</v>
      </c>
      <c r="B95">
        <v>1</v>
      </c>
      <c r="C95">
        <v>2</v>
      </c>
      <c r="D95">
        <v>2</v>
      </c>
      <c r="H95" t="s">
        <v>399</v>
      </c>
    </row>
    <row r="96" spans="1:8" x14ac:dyDescent="0.35">
      <c r="A96" s="8" t="s">
        <v>220</v>
      </c>
      <c r="B96">
        <v>1</v>
      </c>
      <c r="C96">
        <v>2</v>
      </c>
      <c r="D96">
        <v>2</v>
      </c>
      <c r="H96" t="s">
        <v>398</v>
      </c>
    </row>
    <row r="97" spans="1:8" x14ac:dyDescent="0.35">
      <c r="A97" s="8" t="s">
        <v>222</v>
      </c>
      <c r="B97">
        <v>1</v>
      </c>
      <c r="C97">
        <v>2</v>
      </c>
      <c r="D97">
        <v>2</v>
      </c>
      <c r="E97" t="s">
        <v>134</v>
      </c>
      <c r="F97" t="s">
        <v>134</v>
      </c>
    </row>
    <row r="98" spans="1:8" x14ac:dyDescent="0.35">
      <c r="A98" s="8" t="s">
        <v>224</v>
      </c>
      <c r="B98">
        <v>10</v>
      </c>
      <c r="C98">
        <v>10</v>
      </c>
      <c r="D98">
        <v>2</v>
      </c>
      <c r="E98" t="s">
        <v>134</v>
      </c>
      <c r="F98" s="26"/>
    </row>
    <row r="99" spans="1:8" x14ac:dyDescent="0.35">
      <c r="A99" s="8" t="s">
        <v>226</v>
      </c>
      <c r="B99">
        <v>1</v>
      </c>
      <c r="C99">
        <v>2</v>
      </c>
      <c r="D99">
        <v>2</v>
      </c>
      <c r="E99" t="s">
        <v>134</v>
      </c>
      <c r="F99" s="26"/>
      <c r="H99" t="s">
        <v>400</v>
      </c>
    </row>
    <row r="100" spans="1:8" x14ac:dyDescent="0.35">
      <c r="A100" s="10" t="s">
        <v>303</v>
      </c>
      <c r="B100">
        <v>0</v>
      </c>
      <c r="C100">
        <v>1</v>
      </c>
      <c r="D100">
        <v>1</v>
      </c>
      <c r="E100" t="s">
        <v>134</v>
      </c>
      <c r="F100" t="s">
        <v>134</v>
      </c>
    </row>
    <row r="101" spans="1:8" x14ac:dyDescent="0.35">
      <c r="A101" s="15" t="s">
        <v>334</v>
      </c>
      <c r="B101">
        <v>1</v>
      </c>
      <c r="C101">
        <v>1</v>
      </c>
      <c r="D101">
        <v>1</v>
      </c>
      <c r="E101" t="s">
        <v>134</v>
      </c>
      <c r="F101" t="s">
        <v>134</v>
      </c>
    </row>
    <row r="102" spans="1:8" x14ac:dyDescent="0.35">
      <c r="A102" s="10" t="s">
        <v>357</v>
      </c>
      <c r="B102">
        <v>1</v>
      </c>
      <c r="C102">
        <v>2</v>
      </c>
      <c r="D102">
        <v>2</v>
      </c>
      <c r="E102" t="s">
        <v>134</v>
      </c>
      <c r="F102" t="s">
        <v>134</v>
      </c>
    </row>
    <row r="103" spans="1:8" x14ac:dyDescent="0.35">
      <c r="A103" s="10" t="s">
        <v>362</v>
      </c>
      <c r="B103">
        <v>0</v>
      </c>
      <c r="C103">
        <v>1</v>
      </c>
      <c r="D103">
        <v>1</v>
      </c>
      <c r="E103" t="s">
        <v>134</v>
      </c>
      <c r="F103" t="s">
        <v>0</v>
      </c>
    </row>
  </sheetData>
  <phoneticPr fontId="1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115A88-7F35-4358-8336-9152CE9CFD32}">
          <x14:formula1>
            <xm:f>הגדרות!$H$3:$H$70</xm:f>
          </x14:formula1>
          <xm:sqref>A2:A151</xm:sqref>
        </x14:dataValidation>
        <x14:dataValidation type="list" allowBlank="1" showInputMessage="1" showErrorMessage="1" xr:uid="{87CCE622-0EFA-400D-8059-8AB349C4C867}">
          <x14:formula1>
            <xm:f>הגדרות!$F$2:$F$8</xm:f>
          </x14:formula1>
          <xm:sqref>E2:F103</xm:sqref>
        </x14:dataValidation>
        <x14:dataValidation type="list" allowBlank="1" showInputMessage="1" showErrorMessage="1" xr:uid="{B5951700-084C-4D16-B3C6-603A7FDBF178}">
          <x14:formula1>
            <xm:f>הגדרות!$L$2:$L$19</xm:f>
          </x14:formula1>
          <xm:sqref>G2:G150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מלאי</vt:lpstr>
      <vt:lpstr>השאלות</vt:lpstr>
      <vt:lpstr>תכולה</vt:lpstr>
      <vt:lpstr>ערכים טכנולוגיים</vt:lpstr>
      <vt:lpstr>הגדרות</vt:lpstr>
      <vt:lpstr>מלאי רצוי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Yotam Efron</cp:lastModifiedBy>
  <cp:revision>0</cp:revision>
  <dcterms:created xsi:type="dcterms:W3CDTF">2026-03-15T13:31:15Z</dcterms:created>
  <dcterms:modified xsi:type="dcterms:W3CDTF">2026-04-19T14:28:04Z</dcterms:modified>
  <dc:language>en-US</dc:language>
</cp:coreProperties>
</file>